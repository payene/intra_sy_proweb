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raki/Library/Mobile Documents/com~apple~CloudDocs/data/PROWEB/PLANNING/"/>
    </mc:Choice>
  </mc:AlternateContent>
  <xr:revisionPtr revIDLastSave="0" documentId="13_ncr:1_{E979AFC5-C0E8-894D-96B8-F64CEA32539C}" xr6:coauthVersionLast="28" xr6:coauthVersionMax="28" xr10:uidLastSave="{00000000-0000-0000-0000-000000000000}"/>
  <bookViews>
    <workbookView xWindow="0" yWindow="0" windowWidth="33600" windowHeight="21000" activeTab="11" xr2:uid="{00000000-000D-0000-FFFF-FFFF00000000}"/>
  </bookViews>
  <sheets>
    <sheet name="S01" sheetId="33" r:id="rId1"/>
    <sheet name="S02" sheetId="36" r:id="rId2"/>
    <sheet name="S03" sheetId="35" r:id="rId3"/>
    <sheet name="S04" sheetId="37" r:id="rId4"/>
    <sheet name="S05" sheetId="18" r:id="rId5"/>
    <sheet name="S06" sheetId="28" r:id="rId6"/>
    <sheet name="S07" sheetId="29" r:id="rId7"/>
    <sheet name="S08" sheetId="30" r:id="rId8"/>
    <sheet name="S09" sheetId="38" r:id="rId9"/>
    <sheet name="S10" sheetId="31" r:id="rId10"/>
    <sheet name="S11" sheetId="32" r:id="rId11"/>
    <sheet name="S12" sheetId="34" r:id="rId12"/>
  </sheets>
  <functionGroups builtInGroupCount="19"/>
  <definedNames>
    <definedName name="_xlnm._FilterDatabase" localSheetId="0" hidden="1">'S01'!$B$5:$B$51</definedName>
    <definedName name="_xlnm._FilterDatabase" localSheetId="1" hidden="1">'S02'!$B$5:$B$51</definedName>
    <definedName name="_xlnm._FilterDatabase" localSheetId="2" hidden="1">'S03'!$B$5:$B$51</definedName>
    <definedName name="_xlnm._FilterDatabase" localSheetId="3" hidden="1">'S04'!$B$5:$B$51</definedName>
    <definedName name="_xlnm._FilterDatabase" localSheetId="4" hidden="1">'S05'!$B$5:$B$51</definedName>
    <definedName name="_xlnm._FilterDatabase" localSheetId="5" hidden="1">'S06'!$B$5:$B$51</definedName>
    <definedName name="_xlnm._FilterDatabase" localSheetId="6" hidden="1">'S07'!$B$5:$B$51</definedName>
    <definedName name="_xlnm._FilterDatabase" localSheetId="7" hidden="1">'S08'!$B$5:$B$51</definedName>
    <definedName name="_xlnm._FilterDatabase" localSheetId="8" hidden="1">'S09'!$B$5:$B$51</definedName>
    <definedName name="_xlnm._FilterDatabase" localSheetId="9" hidden="1">'S10'!$B$5:$B$51</definedName>
    <definedName name="_xlnm._FilterDatabase" localSheetId="10" hidden="1">'S11'!$B$5:$B$51</definedName>
    <definedName name="_xlnm._FilterDatabase" localSheetId="11" hidden="1">'S12'!$B$5:$B$51</definedName>
    <definedName name="Actions" localSheetId="0">'S01'!$B$110:$B$150</definedName>
    <definedName name="Actions" localSheetId="1">'S02'!$B$110:$B$150</definedName>
    <definedName name="Actions" localSheetId="2">'S03'!$B$110:$B$150</definedName>
    <definedName name="Actions" localSheetId="3">'S04'!$B$110:$B$150</definedName>
    <definedName name="Actions" localSheetId="4">'S05'!$B$110:$B$150</definedName>
    <definedName name="Actions" localSheetId="5">'S06'!$B$108:$B$148</definedName>
    <definedName name="Actions" localSheetId="6">'S07'!$B$108:$B$148</definedName>
    <definedName name="Actions" localSheetId="7">'S08'!$B$110:$B$150</definedName>
    <definedName name="Actions" localSheetId="8">'S09'!$B$106:$B$146</definedName>
    <definedName name="Actions" localSheetId="9">'S10'!$B$106:$B$146</definedName>
    <definedName name="Actions" localSheetId="10">'S11'!$B$106:$B$146</definedName>
    <definedName name="Actions" localSheetId="11">'S12'!$B$106:$B$146</definedName>
    <definedName name="Actions">#REF!</definedName>
    <definedName name="Heures" localSheetId="0">'S01'!$L$112:$L$150</definedName>
    <definedName name="Heures" localSheetId="1">'S02'!$L$112:$L$150</definedName>
    <definedName name="Heures" localSheetId="2">'S03'!$L$112:$L$150</definedName>
    <definedName name="Heures" localSheetId="3">'S04'!$L$112:$L$150</definedName>
    <definedName name="Heures" localSheetId="4">'S05'!$L$112:$L$150</definedName>
    <definedName name="Heures" localSheetId="5">'S06'!$L$110:$L$148</definedName>
    <definedName name="Heures" localSheetId="6">'S07'!$L$110:$L$148</definedName>
    <definedName name="Heures" localSheetId="7">'S08'!$L$112:$L$150</definedName>
    <definedName name="Heures" localSheetId="8">'S09'!$L$108:$L$146</definedName>
    <definedName name="Heures" localSheetId="9">'S10'!$L$108:$L$146</definedName>
    <definedName name="Heures" localSheetId="10">'S11'!$L$108:$L$146</definedName>
    <definedName name="Heures" localSheetId="11">'S12'!$L$108:$L$146</definedName>
    <definedName name="Heures">#REF!</definedName>
  </definedNames>
  <calcPr calcId="171027" concurrentCalc="0"/>
  <webPublishing codePage="1252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80" i="32" l="1"/>
  <c r="C7" i="38"/>
  <c r="C9" i="38"/>
  <c r="C11" i="38"/>
  <c r="C13" i="38"/>
  <c r="C15" i="38"/>
  <c r="C17" i="38"/>
  <c r="C19" i="38"/>
  <c r="C21" i="38"/>
  <c r="C23" i="38"/>
  <c r="C25" i="38"/>
  <c r="C27" i="38"/>
  <c r="C29" i="38"/>
  <c r="C31" i="38"/>
  <c r="C33" i="38"/>
  <c r="C35" i="38"/>
  <c r="C37" i="38"/>
  <c r="C39" i="38"/>
  <c r="C41" i="38"/>
  <c r="C43" i="38"/>
  <c r="C45" i="38"/>
  <c r="C47" i="38"/>
  <c r="C49" i="38"/>
  <c r="C51" i="38"/>
  <c r="C53" i="38"/>
  <c r="C55" i="38"/>
  <c r="C57" i="38"/>
  <c r="C59" i="38"/>
  <c r="C61" i="38"/>
  <c r="C63" i="38"/>
  <c r="C65" i="38"/>
  <c r="C67" i="38"/>
  <c r="C69" i="38"/>
  <c r="C71" i="38"/>
  <c r="C73" i="38"/>
  <c r="C75" i="38"/>
  <c r="C77" i="38"/>
  <c r="C79" i="38"/>
  <c r="C81" i="38"/>
  <c r="C83" i="38"/>
  <c r="C85" i="38"/>
  <c r="C87" i="38"/>
  <c r="C89" i="38"/>
  <c r="C91" i="38"/>
  <c r="C93" i="38"/>
  <c r="C95" i="38"/>
  <c r="C97" i="38"/>
  <c r="C99" i="38"/>
  <c r="C101" i="38"/>
  <c r="C103" i="38"/>
  <c r="C106" i="38"/>
  <c r="D7" i="38"/>
  <c r="D9" i="38"/>
  <c r="D11" i="38"/>
  <c r="D13" i="38"/>
  <c r="D15" i="38"/>
  <c r="D17" i="38"/>
  <c r="D19" i="38"/>
  <c r="D21" i="38"/>
  <c r="D23" i="38"/>
  <c r="D25" i="38"/>
  <c r="D27" i="38"/>
  <c r="D29" i="38"/>
  <c r="D31" i="38"/>
  <c r="D33" i="38"/>
  <c r="D35" i="38"/>
  <c r="D37" i="38"/>
  <c r="D39" i="38"/>
  <c r="D41" i="38"/>
  <c r="D43" i="38"/>
  <c r="D45" i="38"/>
  <c r="D47" i="38"/>
  <c r="D49" i="38"/>
  <c r="D51" i="38"/>
  <c r="D53" i="38"/>
  <c r="D55" i="38"/>
  <c r="D57" i="38"/>
  <c r="D59" i="38"/>
  <c r="D61" i="38"/>
  <c r="D63" i="38"/>
  <c r="D65" i="38"/>
  <c r="D67" i="38"/>
  <c r="D69" i="38"/>
  <c r="D71" i="38"/>
  <c r="D73" i="38"/>
  <c r="D75" i="38"/>
  <c r="D77" i="38"/>
  <c r="D79" i="38"/>
  <c r="D81" i="38"/>
  <c r="D83" i="38"/>
  <c r="D85" i="38"/>
  <c r="D87" i="38"/>
  <c r="D89" i="38"/>
  <c r="D91" i="38"/>
  <c r="D93" i="38"/>
  <c r="D95" i="38"/>
  <c r="D97" i="38"/>
  <c r="D99" i="38"/>
  <c r="D101" i="38"/>
  <c r="D103" i="38"/>
  <c r="D106" i="38"/>
  <c r="E7" i="38"/>
  <c r="E9" i="38"/>
  <c r="E11" i="38"/>
  <c r="E13" i="38"/>
  <c r="E15" i="38"/>
  <c r="E17" i="38"/>
  <c r="E19" i="38"/>
  <c r="E21" i="38"/>
  <c r="E23" i="38"/>
  <c r="E25" i="38"/>
  <c r="E27" i="38"/>
  <c r="E29" i="38"/>
  <c r="E31" i="38"/>
  <c r="E33" i="38"/>
  <c r="E35" i="38"/>
  <c r="E37" i="38"/>
  <c r="E39" i="38"/>
  <c r="E41" i="38"/>
  <c r="E43" i="38"/>
  <c r="E45" i="38"/>
  <c r="E47" i="38"/>
  <c r="E49" i="38"/>
  <c r="E51" i="38"/>
  <c r="E53" i="38"/>
  <c r="E55" i="38"/>
  <c r="E57" i="38"/>
  <c r="E59" i="38"/>
  <c r="E61" i="38"/>
  <c r="E63" i="38"/>
  <c r="E65" i="38"/>
  <c r="E67" i="38"/>
  <c r="E69" i="38"/>
  <c r="E71" i="38"/>
  <c r="E73" i="38"/>
  <c r="E75" i="38"/>
  <c r="E77" i="38"/>
  <c r="E79" i="38"/>
  <c r="E81" i="38"/>
  <c r="E83" i="38"/>
  <c r="E85" i="38"/>
  <c r="E87" i="38"/>
  <c r="E89" i="38"/>
  <c r="E91" i="38"/>
  <c r="E93" i="38"/>
  <c r="E95" i="38"/>
  <c r="E97" i="38"/>
  <c r="E99" i="38"/>
  <c r="E101" i="38"/>
  <c r="E103" i="38"/>
  <c r="E106" i="38"/>
  <c r="F7" i="38"/>
  <c r="F9" i="38"/>
  <c r="F11" i="38"/>
  <c r="F13" i="38"/>
  <c r="F15" i="38"/>
  <c r="F17" i="38"/>
  <c r="F19" i="38"/>
  <c r="F21" i="38"/>
  <c r="F23" i="38"/>
  <c r="F25" i="38"/>
  <c r="F27" i="38"/>
  <c r="F29" i="38"/>
  <c r="F31" i="38"/>
  <c r="F33" i="38"/>
  <c r="F35" i="38"/>
  <c r="F37" i="38"/>
  <c r="F39" i="38"/>
  <c r="F41" i="38"/>
  <c r="F43" i="38"/>
  <c r="F45" i="38"/>
  <c r="F47" i="38"/>
  <c r="F49" i="38"/>
  <c r="F51" i="38"/>
  <c r="F53" i="38"/>
  <c r="F55" i="38"/>
  <c r="F57" i="38"/>
  <c r="F59" i="38"/>
  <c r="F61" i="38"/>
  <c r="F63" i="38"/>
  <c r="F65" i="38"/>
  <c r="F67" i="38"/>
  <c r="F69" i="38"/>
  <c r="F71" i="38"/>
  <c r="F73" i="38"/>
  <c r="F75" i="38"/>
  <c r="F77" i="38"/>
  <c r="F79" i="38"/>
  <c r="F81" i="38"/>
  <c r="F83" i="38"/>
  <c r="F85" i="38"/>
  <c r="F87" i="38"/>
  <c r="F89" i="38"/>
  <c r="F91" i="38"/>
  <c r="F93" i="38"/>
  <c r="F95" i="38"/>
  <c r="F97" i="38"/>
  <c r="F99" i="38"/>
  <c r="F101" i="38"/>
  <c r="F103" i="38"/>
  <c r="F106" i="38"/>
  <c r="G7" i="38"/>
  <c r="G9" i="38"/>
  <c r="G11" i="38"/>
  <c r="G13" i="38"/>
  <c r="G15" i="38"/>
  <c r="G17" i="38"/>
  <c r="G19" i="38"/>
  <c r="G21" i="38"/>
  <c r="G23" i="38"/>
  <c r="G25" i="38"/>
  <c r="G27" i="38"/>
  <c r="G29" i="38"/>
  <c r="G31" i="38"/>
  <c r="G33" i="38"/>
  <c r="G35" i="38"/>
  <c r="G37" i="38"/>
  <c r="G39" i="38"/>
  <c r="G41" i="38"/>
  <c r="G43" i="38"/>
  <c r="G45" i="38"/>
  <c r="G47" i="38"/>
  <c r="G49" i="38"/>
  <c r="G51" i="38"/>
  <c r="G53" i="38"/>
  <c r="G55" i="38"/>
  <c r="G57" i="38"/>
  <c r="G59" i="38"/>
  <c r="G61" i="38"/>
  <c r="G63" i="38"/>
  <c r="G65" i="38"/>
  <c r="G67" i="38"/>
  <c r="G69" i="38"/>
  <c r="G71" i="38"/>
  <c r="G73" i="38"/>
  <c r="G75" i="38"/>
  <c r="G77" i="38"/>
  <c r="G79" i="38"/>
  <c r="G81" i="38"/>
  <c r="G83" i="38"/>
  <c r="G85" i="38"/>
  <c r="G87" i="38"/>
  <c r="G89" i="38"/>
  <c r="G91" i="38"/>
  <c r="G93" i="38"/>
  <c r="G95" i="38"/>
  <c r="G97" i="38"/>
  <c r="G99" i="38"/>
  <c r="G101" i="38"/>
  <c r="G103" i="38"/>
  <c r="G106" i="38"/>
  <c r="H7" i="38"/>
  <c r="H9" i="38"/>
  <c r="H11" i="38"/>
  <c r="H13" i="38"/>
  <c r="H15" i="38"/>
  <c r="H17" i="38"/>
  <c r="H19" i="38"/>
  <c r="H21" i="38"/>
  <c r="H23" i="38"/>
  <c r="H25" i="38"/>
  <c r="H27" i="38"/>
  <c r="H29" i="38"/>
  <c r="H31" i="38"/>
  <c r="H33" i="38"/>
  <c r="H35" i="38"/>
  <c r="H37" i="38"/>
  <c r="H39" i="38"/>
  <c r="H41" i="38"/>
  <c r="H43" i="38"/>
  <c r="H45" i="38"/>
  <c r="H47" i="38"/>
  <c r="H49" i="38"/>
  <c r="H51" i="38"/>
  <c r="H53" i="38"/>
  <c r="H55" i="38"/>
  <c r="H57" i="38"/>
  <c r="H59" i="38"/>
  <c r="H61" i="38"/>
  <c r="H63" i="38"/>
  <c r="H65" i="38"/>
  <c r="H67" i="38"/>
  <c r="H69" i="38"/>
  <c r="H71" i="38"/>
  <c r="H73" i="38"/>
  <c r="H75" i="38"/>
  <c r="H77" i="38"/>
  <c r="H79" i="38"/>
  <c r="H81" i="38"/>
  <c r="H83" i="38"/>
  <c r="H85" i="38"/>
  <c r="H87" i="38"/>
  <c r="H89" i="38"/>
  <c r="H91" i="38"/>
  <c r="H93" i="38"/>
  <c r="H95" i="38"/>
  <c r="H97" i="38"/>
  <c r="H99" i="38"/>
  <c r="H101" i="38"/>
  <c r="H103" i="38"/>
  <c r="H106" i="38"/>
  <c r="I7" i="38"/>
  <c r="I9" i="38"/>
  <c r="I11" i="38"/>
  <c r="I13" i="38"/>
  <c r="I15" i="38"/>
  <c r="I17" i="38"/>
  <c r="I19" i="38"/>
  <c r="I21" i="38"/>
  <c r="I23" i="38"/>
  <c r="I25" i="38"/>
  <c r="I27" i="38"/>
  <c r="I29" i="38"/>
  <c r="I31" i="38"/>
  <c r="I33" i="38"/>
  <c r="I35" i="38"/>
  <c r="I37" i="38"/>
  <c r="I39" i="38"/>
  <c r="I41" i="38"/>
  <c r="I43" i="38"/>
  <c r="I45" i="38"/>
  <c r="I47" i="38"/>
  <c r="I49" i="38"/>
  <c r="I51" i="38"/>
  <c r="I53" i="38"/>
  <c r="I55" i="38"/>
  <c r="I57" i="38"/>
  <c r="I59" i="38"/>
  <c r="I61" i="38"/>
  <c r="I63" i="38"/>
  <c r="I65" i="38"/>
  <c r="I67" i="38"/>
  <c r="I69" i="38"/>
  <c r="I71" i="38"/>
  <c r="I73" i="38"/>
  <c r="I75" i="38"/>
  <c r="I77" i="38"/>
  <c r="I79" i="38"/>
  <c r="I81" i="38"/>
  <c r="I83" i="38"/>
  <c r="I85" i="38"/>
  <c r="I87" i="38"/>
  <c r="I89" i="38"/>
  <c r="I91" i="38"/>
  <c r="I93" i="38"/>
  <c r="I95" i="38"/>
  <c r="I97" i="38"/>
  <c r="I99" i="38"/>
  <c r="I101" i="38"/>
  <c r="I103" i="38"/>
  <c r="I106" i="38"/>
  <c r="J106" i="38"/>
  <c r="C107" i="38"/>
  <c r="D107" i="38"/>
  <c r="E107" i="38"/>
  <c r="F107" i="38"/>
  <c r="G107" i="38"/>
  <c r="H107" i="38"/>
  <c r="I107" i="38"/>
  <c r="J107" i="38"/>
  <c r="C108" i="38"/>
  <c r="D108" i="38"/>
  <c r="E108" i="38"/>
  <c r="F108" i="38"/>
  <c r="G108" i="38"/>
  <c r="H108" i="38"/>
  <c r="I108" i="38"/>
  <c r="J108" i="38"/>
  <c r="C109" i="38"/>
  <c r="D109" i="38"/>
  <c r="E109" i="38"/>
  <c r="F109" i="38"/>
  <c r="G109" i="38"/>
  <c r="H109" i="38"/>
  <c r="I109" i="38"/>
  <c r="J109" i="38"/>
  <c r="C110" i="38"/>
  <c r="D110" i="38"/>
  <c r="E110" i="38"/>
  <c r="F110" i="38"/>
  <c r="G110" i="38"/>
  <c r="H110" i="38"/>
  <c r="I110" i="38"/>
  <c r="J110" i="38"/>
  <c r="C111" i="38"/>
  <c r="D111" i="38"/>
  <c r="E111" i="38"/>
  <c r="F111" i="38"/>
  <c r="G111" i="38"/>
  <c r="H111" i="38"/>
  <c r="I111" i="38"/>
  <c r="J111" i="38"/>
  <c r="C112" i="38"/>
  <c r="D112" i="38"/>
  <c r="E112" i="38"/>
  <c r="F112" i="38"/>
  <c r="G112" i="38"/>
  <c r="H112" i="38"/>
  <c r="I112" i="38"/>
  <c r="J112" i="38"/>
  <c r="C113" i="38"/>
  <c r="D113" i="38"/>
  <c r="E113" i="38"/>
  <c r="F113" i="38"/>
  <c r="G113" i="38"/>
  <c r="H113" i="38"/>
  <c r="I113" i="38"/>
  <c r="J113" i="38"/>
  <c r="C114" i="38"/>
  <c r="D114" i="38"/>
  <c r="E114" i="38"/>
  <c r="F114" i="38"/>
  <c r="G114" i="38"/>
  <c r="H114" i="38"/>
  <c r="I114" i="38"/>
  <c r="J114" i="38"/>
  <c r="C115" i="38"/>
  <c r="D115" i="38"/>
  <c r="E115" i="38"/>
  <c r="F115" i="38"/>
  <c r="G115" i="38"/>
  <c r="H115" i="38"/>
  <c r="I115" i="38"/>
  <c r="J115" i="38"/>
  <c r="C116" i="38"/>
  <c r="D116" i="38"/>
  <c r="E116" i="38"/>
  <c r="F116" i="38"/>
  <c r="G116" i="38"/>
  <c r="H116" i="38"/>
  <c r="I116" i="38"/>
  <c r="J116" i="38"/>
  <c r="C117" i="38"/>
  <c r="D117" i="38"/>
  <c r="E117" i="38"/>
  <c r="F117" i="38"/>
  <c r="G117" i="38"/>
  <c r="H117" i="38"/>
  <c r="I117" i="38"/>
  <c r="J117" i="38"/>
  <c r="C118" i="38"/>
  <c r="D118" i="38"/>
  <c r="E118" i="38"/>
  <c r="F118" i="38"/>
  <c r="G118" i="38"/>
  <c r="H118" i="38"/>
  <c r="I118" i="38"/>
  <c r="J118" i="38"/>
  <c r="C119" i="38"/>
  <c r="D119" i="38"/>
  <c r="E119" i="38"/>
  <c r="F119" i="38"/>
  <c r="G119" i="38"/>
  <c r="H119" i="38"/>
  <c r="I119" i="38"/>
  <c r="J119" i="38"/>
  <c r="C120" i="38"/>
  <c r="D120" i="38"/>
  <c r="E120" i="38"/>
  <c r="F120" i="38"/>
  <c r="G120" i="38"/>
  <c r="H120" i="38"/>
  <c r="I120" i="38"/>
  <c r="J120" i="38"/>
  <c r="C121" i="38"/>
  <c r="D121" i="38"/>
  <c r="E121" i="38"/>
  <c r="F121" i="38"/>
  <c r="G121" i="38"/>
  <c r="H121" i="38"/>
  <c r="I121" i="38"/>
  <c r="J121" i="38"/>
  <c r="C122" i="38"/>
  <c r="D122" i="38"/>
  <c r="E122" i="38"/>
  <c r="F122" i="38"/>
  <c r="G122" i="38"/>
  <c r="H122" i="38"/>
  <c r="I122" i="38"/>
  <c r="J122" i="38"/>
  <c r="C123" i="38"/>
  <c r="D123" i="38"/>
  <c r="E123" i="38"/>
  <c r="F123" i="38"/>
  <c r="G123" i="38"/>
  <c r="H123" i="38"/>
  <c r="I123" i="38"/>
  <c r="J123" i="38"/>
  <c r="C124" i="38"/>
  <c r="D124" i="38"/>
  <c r="E124" i="38"/>
  <c r="F124" i="38"/>
  <c r="G124" i="38"/>
  <c r="H124" i="38"/>
  <c r="I124" i="38"/>
  <c r="J124" i="38"/>
  <c r="C125" i="38"/>
  <c r="D125" i="38"/>
  <c r="E125" i="38"/>
  <c r="F125" i="38"/>
  <c r="G125" i="38"/>
  <c r="H125" i="38"/>
  <c r="I125" i="38"/>
  <c r="J125" i="38"/>
  <c r="C126" i="38"/>
  <c r="D126" i="38"/>
  <c r="E126" i="38"/>
  <c r="F126" i="38"/>
  <c r="G126" i="38"/>
  <c r="H126" i="38"/>
  <c r="I126" i="38"/>
  <c r="J126" i="38"/>
  <c r="C127" i="38"/>
  <c r="D127" i="38"/>
  <c r="E127" i="38"/>
  <c r="F127" i="38"/>
  <c r="G127" i="38"/>
  <c r="H127" i="38"/>
  <c r="I127" i="38"/>
  <c r="J127" i="38"/>
  <c r="C128" i="38"/>
  <c r="D128" i="38"/>
  <c r="E128" i="38"/>
  <c r="F128" i="38"/>
  <c r="G128" i="38"/>
  <c r="H128" i="38"/>
  <c r="I128" i="38"/>
  <c r="J128" i="38"/>
  <c r="C129" i="38"/>
  <c r="D129" i="38"/>
  <c r="E129" i="38"/>
  <c r="F129" i="38"/>
  <c r="G129" i="38"/>
  <c r="H129" i="38"/>
  <c r="I129" i="38"/>
  <c r="J129" i="38"/>
  <c r="C130" i="38"/>
  <c r="D130" i="38"/>
  <c r="E130" i="38"/>
  <c r="F130" i="38"/>
  <c r="G130" i="38"/>
  <c r="H130" i="38"/>
  <c r="I130" i="38"/>
  <c r="J130" i="38"/>
  <c r="C131" i="38"/>
  <c r="D131" i="38"/>
  <c r="E131" i="38"/>
  <c r="F131" i="38"/>
  <c r="G131" i="38"/>
  <c r="H131" i="38"/>
  <c r="I131" i="38"/>
  <c r="J131" i="38"/>
  <c r="C5" i="38"/>
  <c r="C104" i="38"/>
  <c r="C132" i="38"/>
  <c r="D104" i="38"/>
  <c r="D132" i="38"/>
  <c r="E104" i="38"/>
  <c r="E132" i="38"/>
  <c r="F104" i="38"/>
  <c r="F132" i="38"/>
  <c r="G104" i="38"/>
  <c r="G132" i="38"/>
  <c r="H104" i="38"/>
  <c r="H132" i="38"/>
  <c r="I104" i="38"/>
  <c r="I132" i="38"/>
  <c r="J132" i="38"/>
  <c r="C133" i="38"/>
  <c r="D133" i="38"/>
  <c r="E133" i="38"/>
  <c r="F133" i="38"/>
  <c r="G133" i="38"/>
  <c r="H133" i="38"/>
  <c r="I133" i="38"/>
  <c r="J133" i="38"/>
  <c r="C134" i="38"/>
  <c r="D134" i="38"/>
  <c r="E134" i="38"/>
  <c r="F134" i="38"/>
  <c r="G134" i="38"/>
  <c r="H134" i="38"/>
  <c r="I134" i="38"/>
  <c r="J134" i="38"/>
  <c r="C135" i="38"/>
  <c r="D135" i="38"/>
  <c r="E135" i="38"/>
  <c r="F135" i="38"/>
  <c r="G135" i="38"/>
  <c r="H135" i="38"/>
  <c r="I135" i="38"/>
  <c r="J135" i="38"/>
  <c r="C136" i="38"/>
  <c r="D136" i="38"/>
  <c r="E136" i="38"/>
  <c r="F136" i="38"/>
  <c r="G136" i="38"/>
  <c r="H136" i="38"/>
  <c r="I136" i="38"/>
  <c r="J136" i="38"/>
  <c r="C137" i="38"/>
  <c r="D137" i="38"/>
  <c r="E137" i="38"/>
  <c r="F137" i="38"/>
  <c r="G137" i="38"/>
  <c r="H137" i="38"/>
  <c r="I137" i="38"/>
  <c r="J137" i="38"/>
  <c r="J143" i="38"/>
  <c r="I143" i="38"/>
  <c r="H143" i="38"/>
  <c r="G143" i="38"/>
  <c r="F143" i="38"/>
  <c r="E143" i="38"/>
  <c r="D143" i="38"/>
  <c r="C143" i="38"/>
  <c r="C142" i="38"/>
  <c r="D142" i="38"/>
  <c r="E142" i="38"/>
  <c r="F142" i="38"/>
  <c r="G142" i="38"/>
  <c r="H142" i="38"/>
  <c r="I142" i="38"/>
  <c r="J142" i="38"/>
  <c r="C141" i="38"/>
  <c r="D141" i="38"/>
  <c r="E141" i="38"/>
  <c r="F141" i="38"/>
  <c r="G141" i="38"/>
  <c r="H141" i="38"/>
  <c r="I141" i="38"/>
  <c r="J141" i="38"/>
  <c r="C140" i="38"/>
  <c r="D140" i="38"/>
  <c r="E140" i="38"/>
  <c r="F140" i="38"/>
  <c r="G140" i="38"/>
  <c r="H140" i="38"/>
  <c r="I140" i="38"/>
  <c r="J140" i="38"/>
  <c r="C139" i="38"/>
  <c r="D139" i="38"/>
  <c r="E139" i="38"/>
  <c r="F139" i="38"/>
  <c r="G139" i="38"/>
  <c r="H139" i="38"/>
  <c r="I139" i="38"/>
  <c r="J139" i="38"/>
  <c r="C138" i="38"/>
  <c r="D138" i="38"/>
  <c r="E138" i="38"/>
  <c r="F138" i="38"/>
  <c r="G138" i="38"/>
  <c r="H138" i="38"/>
  <c r="I138" i="38"/>
  <c r="J138" i="38"/>
  <c r="A102" i="38"/>
  <c r="A96" i="38"/>
  <c r="A94" i="38"/>
  <c r="A92" i="38"/>
  <c r="A90" i="38"/>
  <c r="A88" i="38"/>
  <c r="A86" i="38"/>
  <c r="A84" i="38"/>
  <c r="A82" i="38"/>
  <c r="A80" i="38"/>
  <c r="A78" i="38"/>
  <c r="A76" i="38"/>
  <c r="A74" i="38"/>
  <c r="A72" i="38"/>
  <c r="A70" i="38"/>
  <c r="A68" i="38"/>
  <c r="A66" i="38"/>
  <c r="A64" i="38"/>
  <c r="A62" i="38"/>
  <c r="A60" i="38"/>
  <c r="A58" i="38"/>
  <c r="A56" i="38"/>
  <c r="A54" i="38"/>
  <c r="A52" i="38"/>
  <c r="A50" i="38"/>
  <c r="A48" i="38"/>
  <c r="A46" i="38"/>
  <c r="A44" i="38"/>
  <c r="A42" i="38"/>
  <c r="A40" i="38"/>
  <c r="A38" i="38"/>
  <c r="A36" i="38"/>
  <c r="A34" i="38"/>
  <c r="A32" i="38"/>
  <c r="A30" i="38"/>
  <c r="A28" i="38"/>
  <c r="A26" i="38"/>
  <c r="A24" i="38"/>
  <c r="A22" i="38"/>
  <c r="A20" i="38"/>
  <c r="A18" i="38"/>
  <c r="A16" i="38"/>
  <c r="A14" i="38"/>
  <c r="A12" i="38"/>
  <c r="A10" i="38"/>
  <c r="A8" i="38"/>
  <c r="A6" i="38"/>
  <c r="D5" i="38"/>
  <c r="E5" i="38"/>
  <c r="F5" i="38"/>
  <c r="G5" i="38"/>
  <c r="H5" i="38"/>
  <c r="I5" i="38"/>
  <c r="C3" i="38"/>
  <c r="H3" i="38"/>
  <c r="F3" i="38"/>
  <c r="D3" i="38"/>
  <c r="I1" i="38"/>
  <c r="H1" i="38"/>
  <c r="G1" i="38"/>
  <c r="F1" i="38"/>
  <c r="E1" i="38"/>
  <c r="D1" i="38"/>
  <c r="C1" i="38"/>
  <c r="C7" i="37"/>
  <c r="C9" i="37"/>
  <c r="C11" i="37"/>
  <c r="C13" i="37"/>
  <c r="C15" i="37"/>
  <c r="C17" i="37"/>
  <c r="C19" i="37"/>
  <c r="C21" i="37"/>
  <c r="C23" i="37"/>
  <c r="C25" i="37"/>
  <c r="C27" i="37"/>
  <c r="C29" i="37"/>
  <c r="C31" i="37"/>
  <c r="C33" i="37"/>
  <c r="C35" i="37"/>
  <c r="C37" i="37"/>
  <c r="C39" i="37"/>
  <c r="C41" i="37"/>
  <c r="C43" i="37"/>
  <c r="C45" i="37"/>
  <c r="C47" i="37"/>
  <c r="C49" i="37"/>
  <c r="C51" i="37"/>
  <c r="C53" i="37"/>
  <c r="C55" i="37"/>
  <c r="C57" i="37"/>
  <c r="C59" i="37"/>
  <c r="C61" i="37"/>
  <c r="C63" i="37"/>
  <c r="C65" i="37"/>
  <c r="C67" i="37"/>
  <c r="C69" i="37"/>
  <c r="C71" i="37"/>
  <c r="C73" i="37"/>
  <c r="C75" i="37"/>
  <c r="C77" i="37"/>
  <c r="C79" i="37"/>
  <c r="C81" i="37"/>
  <c r="C83" i="37"/>
  <c r="C85" i="37"/>
  <c r="C87" i="37"/>
  <c r="C89" i="37"/>
  <c r="C91" i="37"/>
  <c r="C93" i="37"/>
  <c r="C95" i="37"/>
  <c r="C97" i="37"/>
  <c r="C99" i="37"/>
  <c r="C101" i="37"/>
  <c r="C103" i="37"/>
  <c r="C105" i="37"/>
  <c r="C107" i="37"/>
  <c r="C131" i="37"/>
  <c r="D7" i="37"/>
  <c r="D9" i="37"/>
  <c r="D11" i="37"/>
  <c r="D13" i="37"/>
  <c r="D15" i="37"/>
  <c r="D17" i="37"/>
  <c r="D19" i="37"/>
  <c r="D21" i="37"/>
  <c r="D23" i="37"/>
  <c r="D25" i="37"/>
  <c r="D27" i="37"/>
  <c r="D29" i="37"/>
  <c r="D31" i="37"/>
  <c r="D33" i="37"/>
  <c r="D35" i="37"/>
  <c r="D37" i="37"/>
  <c r="D39" i="37"/>
  <c r="D41" i="37"/>
  <c r="D43" i="37"/>
  <c r="D45" i="37"/>
  <c r="D47" i="37"/>
  <c r="D49" i="37"/>
  <c r="D51" i="37"/>
  <c r="D53" i="37"/>
  <c r="D55" i="37"/>
  <c r="D57" i="37"/>
  <c r="D59" i="37"/>
  <c r="D61" i="37"/>
  <c r="D63" i="37"/>
  <c r="D65" i="37"/>
  <c r="D67" i="37"/>
  <c r="D69" i="37"/>
  <c r="D71" i="37"/>
  <c r="D73" i="37"/>
  <c r="D75" i="37"/>
  <c r="D77" i="37"/>
  <c r="D79" i="37"/>
  <c r="D81" i="37"/>
  <c r="D83" i="37"/>
  <c r="D85" i="37"/>
  <c r="D87" i="37"/>
  <c r="D89" i="37"/>
  <c r="D91" i="37"/>
  <c r="D93" i="37"/>
  <c r="D95" i="37"/>
  <c r="D97" i="37"/>
  <c r="D99" i="37"/>
  <c r="D101" i="37"/>
  <c r="D103" i="37"/>
  <c r="D105" i="37"/>
  <c r="D107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E35" i="37"/>
  <c r="E37" i="37"/>
  <c r="E39" i="37"/>
  <c r="E41" i="37"/>
  <c r="E43" i="37"/>
  <c r="E45" i="37"/>
  <c r="E47" i="37"/>
  <c r="E49" i="37"/>
  <c r="E51" i="37"/>
  <c r="E53" i="37"/>
  <c r="E55" i="37"/>
  <c r="E57" i="37"/>
  <c r="E59" i="37"/>
  <c r="E61" i="37"/>
  <c r="E63" i="37"/>
  <c r="E65" i="37"/>
  <c r="E67" i="37"/>
  <c r="E69" i="37"/>
  <c r="E71" i="37"/>
  <c r="E73" i="37"/>
  <c r="E75" i="37"/>
  <c r="E77" i="37"/>
  <c r="E79" i="37"/>
  <c r="E81" i="37"/>
  <c r="E83" i="37"/>
  <c r="E85" i="37"/>
  <c r="E87" i="37"/>
  <c r="E89" i="37"/>
  <c r="E91" i="37"/>
  <c r="E93" i="37"/>
  <c r="E95" i="37"/>
  <c r="E97" i="37"/>
  <c r="E99" i="37"/>
  <c r="E101" i="37"/>
  <c r="E103" i="37"/>
  <c r="E105" i="37"/>
  <c r="E107" i="37"/>
  <c r="F7" i="37"/>
  <c r="F9" i="37"/>
  <c r="F11" i="37"/>
  <c r="F13" i="37"/>
  <c r="F15" i="37"/>
  <c r="F17" i="37"/>
  <c r="F19" i="37"/>
  <c r="F21" i="37"/>
  <c r="F23" i="37"/>
  <c r="F25" i="37"/>
  <c r="F27" i="37"/>
  <c r="F29" i="37"/>
  <c r="F31" i="37"/>
  <c r="F33" i="37"/>
  <c r="F35" i="37"/>
  <c r="F37" i="37"/>
  <c r="F39" i="37"/>
  <c r="F41" i="37"/>
  <c r="F43" i="37"/>
  <c r="F45" i="37"/>
  <c r="F47" i="37"/>
  <c r="F49" i="37"/>
  <c r="F51" i="37"/>
  <c r="F53" i="37"/>
  <c r="F55" i="37"/>
  <c r="F57" i="37"/>
  <c r="F59" i="37"/>
  <c r="F61" i="37"/>
  <c r="F63" i="37"/>
  <c r="F65" i="37"/>
  <c r="F67" i="37"/>
  <c r="F69" i="37"/>
  <c r="F71" i="37"/>
  <c r="F73" i="37"/>
  <c r="F75" i="37"/>
  <c r="F77" i="37"/>
  <c r="F79" i="37"/>
  <c r="F81" i="37"/>
  <c r="F83" i="37"/>
  <c r="F85" i="37"/>
  <c r="F87" i="37"/>
  <c r="F89" i="37"/>
  <c r="F91" i="37"/>
  <c r="F93" i="37"/>
  <c r="F95" i="37"/>
  <c r="F97" i="37"/>
  <c r="F99" i="37"/>
  <c r="F101" i="37"/>
  <c r="F103" i="37"/>
  <c r="F105" i="37"/>
  <c r="F107" i="37"/>
  <c r="G7" i="37"/>
  <c r="G9" i="37"/>
  <c r="G11" i="37"/>
  <c r="G13" i="37"/>
  <c r="G15" i="37"/>
  <c r="G17" i="37"/>
  <c r="G19" i="37"/>
  <c r="G21" i="37"/>
  <c r="G23" i="37"/>
  <c r="G25" i="37"/>
  <c r="G27" i="37"/>
  <c r="G29" i="37"/>
  <c r="G31" i="37"/>
  <c r="G33" i="37"/>
  <c r="G35" i="37"/>
  <c r="G37" i="37"/>
  <c r="G39" i="37"/>
  <c r="G41" i="37"/>
  <c r="G43" i="37"/>
  <c r="G45" i="37"/>
  <c r="G47" i="37"/>
  <c r="G49" i="37"/>
  <c r="G51" i="37"/>
  <c r="G53" i="37"/>
  <c r="G55" i="37"/>
  <c r="G57" i="37"/>
  <c r="G59" i="37"/>
  <c r="G61" i="37"/>
  <c r="G63" i="37"/>
  <c r="G65" i="37"/>
  <c r="G67" i="37"/>
  <c r="G69" i="37"/>
  <c r="G71" i="37"/>
  <c r="G73" i="37"/>
  <c r="G75" i="37"/>
  <c r="G77" i="37"/>
  <c r="G79" i="37"/>
  <c r="G81" i="37"/>
  <c r="G83" i="37"/>
  <c r="G85" i="37"/>
  <c r="G87" i="37"/>
  <c r="G89" i="37"/>
  <c r="G91" i="37"/>
  <c r="G93" i="37"/>
  <c r="G95" i="37"/>
  <c r="G97" i="37"/>
  <c r="G99" i="37"/>
  <c r="G101" i="37"/>
  <c r="G103" i="37"/>
  <c r="G105" i="37"/>
  <c r="G107" i="37"/>
  <c r="H7" i="37"/>
  <c r="H9" i="37"/>
  <c r="H11" i="37"/>
  <c r="H13" i="37"/>
  <c r="H15" i="37"/>
  <c r="H17" i="37"/>
  <c r="H19" i="37"/>
  <c r="H21" i="37"/>
  <c r="H23" i="37"/>
  <c r="H25" i="37"/>
  <c r="H27" i="37"/>
  <c r="H29" i="37"/>
  <c r="H31" i="37"/>
  <c r="H33" i="37"/>
  <c r="H35" i="37"/>
  <c r="H37" i="37"/>
  <c r="H39" i="37"/>
  <c r="H41" i="37"/>
  <c r="H43" i="37"/>
  <c r="H45" i="37"/>
  <c r="H47" i="37"/>
  <c r="H49" i="37"/>
  <c r="H51" i="37"/>
  <c r="H53" i="37"/>
  <c r="H55" i="37"/>
  <c r="H57" i="37"/>
  <c r="H59" i="37"/>
  <c r="H61" i="37"/>
  <c r="H63" i="37"/>
  <c r="H65" i="37"/>
  <c r="H67" i="37"/>
  <c r="H69" i="37"/>
  <c r="H71" i="37"/>
  <c r="H73" i="37"/>
  <c r="H75" i="37"/>
  <c r="H77" i="37"/>
  <c r="H79" i="37"/>
  <c r="H81" i="37"/>
  <c r="H83" i="37"/>
  <c r="H85" i="37"/>
  <c r="H87" i="37"/>
  <c r="H89" i="37"/>
  <c r="H91" i="37"/>
  <c r="H93" i="37"/>
  <c r="H95" i="37"/>
  <c r="H97" i="37"/>
  <c r="H99" i="37"/>
  <c r="H101" i="37"/>
  <c r="H103" i="37"/>
  <c r="H105" i="37"/>
  <c r="H107" i="37"/>
  <c r="I7" i="37"/>
  <c r="I9" i="37"/>
  <c r="I11" i="37"/>
  <c r="I13" i="37"/>
  <c r="I15" i="37"/>
  <c r="I17" i="37"/>
  <c r="I19" i="37"/>
  <c r="I21" i="37"/>
  <c r="I23" i="37"/>
  <c r="I25" i="37"/>
  <c r="I27" i="37"/>
  <c r="I29" i="37"/>
  <c r="I31" i="37"/>
  <c r="I33" i="37"/>
  <c r="I35" i="37"/>
  <c r="I37" i="37"/>
  <c r="I39" i="37"/>
  <c r="I41" i="37"/>
  <c r="I43" i="37"/>
  <c r="I45" i="37"/>
  <c r="I47" i="37"/>
  <c r="I49" i="37"/>
  <c r="I51" i="37"/>
  <c r="I53" i="37"/>
  <c r="I55" i="37"/>
  <c r="I57" i="37"/>
  <c r="I59" i="37"/>
  <c r="I61" i="37"/>
  <c r="I63" i="37"/>
  <c r="I65" i="37"/>
  <c r="I67" i="37"/>
  <c r="I69" i="37"/>
  <c r="I71" i="37"/>
  <c r="I73" i="37"/>
  <c r="I75" i="37"/>
  <c r="I77" i="37"/>
  <c r="I79" i="37"/>
  <c r="I81" i="37"/>
  <c r="I83" i="37"/>
  <c r="I85" i="37"/>
  <c r="I87" i="37"/>
  <c r="I89" i="37"/>
  <c r="I91" i="37"/>
  <c r="I93" i="37"/>
  <c r="I95" i="37"/>
  <c r="I97" i="37"/>
  <c r="I99" i="37"/>
  <c r="I101" i="37"/>
  <c r="I103" i="37"/>
  <c r="I105" i="37"/>
  <c r="I107" i="37"/>
  <c r="E19" i="35"/>
  <c r="E17" i="35"/>
  <c r="E15" i="35"/>
  <c r="E13" i="35"/>
  <c r="E11" i="35"/>
  <c r="E9" i="35"/>
  <c r="E7" i="35"/>
  <c r="E39" i="32"/>
  <c r="G85" i="32"/>
  <c r="F85" i="32"/>
  <c r="E85" i="32"/>
  <c r="H91" i="32"/>
  <c r="C53" i="28"/>
  <c r="D53" i="28"/>
  <c r="E53" i="28"/>
  <c r="F53" i="28"/>
  <c r="G53" i="28"/>
  <c r="H53" i="28"/>
  <c r="C7" i="18"/>
  <c r="C9" i="18"/>
  <c r="C11" i="18"/>
  <c r="C13" i="18"/>
  <c r="C15" i="18"/>
  <c r="C17" i="18"/>
  <c r="C19" i="18"/>
  <c r="C21" i="18"/>
  <c r="C23" i="18"/>
  <c r="C25" i="18"/>
  <c r="C27" i="18"/>
  <c r="C29" i="18"/>
  <c r="C31" i="18"/>
  <c r="C33" i="18"/>
  <c r="C35" i="18"/>
  <c r="C37" i="18"/>
  <c r="C39" i="18"/>
  <c r="C41" i="18"/>
  <c r="C43" i="18"/>
  <c r="C45" i="18"/>
  <c r="C47" i="18"/>
  <c r="C49" i="18"/>
  <c r="C51" i="18"/>
  <c r="C53" i="18"/>
  <c r="C55" i="18"/>
  <c r="C57" i="18"/>
  <c r="C59" i="18"/>
  <c r="C61" i="18"/>
  <c r="C63" i="18"/>
  <c r="C65" i="18"/>
  <c r="C67" i="18"/>
  <c r="C69" i="18"/>
  <c r="C71" i="18"/>
  <c r="C73" i="18"/>
  <c r="C75" i="18"/>
  <c r="C77" i="18"/>
  <c r="C79" i="18"/>
  <c r="C81" i="18"/>
  <c r="C83" i="18"/>
  <c r="C85" i="18"/>
  <c r="C87" i="18"/>
  <c r="C89" i="18"/>
  <c r="C91" i="18"/>
  <c r="C93" i="18"/>
  <c r="C95" i="18"/>
  <c r="C97" i="18"/>
  <c r="C99" i="18"/>
  <c r="C101" i="18"/>
  <c r="C103" i="18"/>
  <c r="C105" i="18"/>
  <c r="C107" i="18"/>
  <c r="D7" i="18"/>
  <c r="D9" i="18"/>
  <c r="D11" i="18"/>
  <c r="D13" i="18"/>
  <c r="D15" i="18"/>
  <c r="D17" i="18"/>
  <c r="D19" i="18"/>
  <c r="D21" i="18"/>
  <c r="D23" i="18"/>
  <c r="D25" i="18"/>
  <c r="D27" i="18"/>
  <c r="D29" i="18"/>
  <c r="D31" i="18"/>
  <c r="D33" i="18"/>
  <c r="D35" i="18"/>
  <c r="D37" i="18"/>
  <c r="D39" i="18"/>
  <c r="D41" i="18"/>
  <c r="D43" i="18"/>
  <c r="D45" i="18"/>
  <c r="D47" i="18"/>
  <c r="D49" i="18"/>
  <c r="D51" i="18"/>
  <c r="D53" i="18"/>
  <c r="D55" i="18"/>
  <c r="D57" i="18"/>
  <c r="D59" i="18"/>
  <c r="D61" i="18"/>
  <c r="D63" i="18"/>
  <c r="D65" i="18"/>
  <c r="D67" i="18"/>
  <c r="D69" i="18"/>
  <c r="D71" i="18"/>
  <c r="D73" i="18"/>
  <c r="D75" i="18"/>
  <c r="D77" i="18"/>
  <c r="D79" i="18"/>
  <c r="D81" i="18"/>
  <c r="D83" i="18"/>
  <c r="D85" i="18"/>
  <c r="D87" i="18"/>
  <c r="D89" i="18"/>
  <c r="D91" i="18"/>
  <c r="D93" i="18"/>
  <c r="D95" i="18"/>
  <c r="D97" i="18"/>
  <c r="D99" i="18"/>
  <c r="D101" i="18"/>
  <c r="D103" i="18"/>
  <c r="D105" i="18"/>
  <c r="D107" i="18"/>
  <c r="E7" i="18"/>
  <c r="E9" i="18"/>
  <c r="E11" i="18"/>
  <c r="E13" i="18"/>
  <c r="E15" i="18"/>
  <c r="E17" i="18"/>
  <c r="E19" i="18"/>
  <c r="E21" i="18"/>
  <c r="E23" i="18"/>
  <c r="E25" i="18"/>
  <c r="E27" i="18"/>
  <c r="E29" i="18"/>
  <c r="E31" i="18"/>
  <c r="E33" i="18"/>
  <c r="E35" i="18"/>
  <c r="E37" i="18"/>
  <c r="E39" i="18"/>
  <c r="E41" i="18"/>
  <c r="E43" i="18"/>
  <c r="E45" i="18"/>
  <c r="E47" i="18"/>
  <c r="E49" i="18"/>
  <c r="E51" i="18"/>
  <c r="E53" i="18"/>
  <c r="E55" i="18"/>
  <c r="E57" i="18"/>
  <c r="E59" i="18"/>
  <c r="E61" i="18"/>
  <c r="E63" i="18"/>
  <c r="E65" i="18"/>
  <c r="E67" i="18"/>
  <c r="E69" i="18"/>
  <c r="E71" i="18"/>
  <c r="E73" i="18"/>
  <c r="E75" i="18"/>
  <c r="E77" i="18"/>
  <c r="E79" i="18"/>
  <c r="E81" i="18"/>
  <c r="E83" i="18"/>
  <c r="E85" i="18"/>
  <c r="E87" i="18"/>
  <c r="E89" i="18"/>
  <c r="E91" i="18"/>
  <c r="E93" i="18"/>
  <c r="E95" i="18"/>
  <c r="E97" i="18"/>
  <c r="E99" i="18"/>
  <c r="E101" i="18"/>
  <c r="E103" i="18"/>
  <c r="E105" i="18"/>
  <c r="E107" i="18"/>
  <c r="F7" i="18"/>
  <c r="F9" i="18"/>
  <c r="F11" i="18"/>
  <c r="F13" i="18"/>
  <c r="F15" i="18"/>
  <c r="F17" i="18"/>
  <c r="F19" i="18"/>
  <c r="F21" i="18"/>
  <c r="F23" i="18"/>
  <c r="F25" i="18"/>
  <c r="F27" i="18"/>
  <c r="F29" i="18"/>
  <c r="F31" i="18"/>
  <c r="F33" i="18"/>
  <c r="F35" i="18"/>
  <c r="F37" i="18"/>
  <c r="F39" i="18"/>
  <c r="F41" i="18"/>
  <c r="F43" i="18"/>
  <c r="F45" i="18"/>
  <c r="F47" i="18"/>
  <c r="F49" i="18"/>
  <c r="F51" i="18"/>
  <c r="F53" i="18"/>
  <c r="F55" i="18"/>
  <c r="F57" i="18"/>
  <c r="F59" i="18"/>
  <c r="F61" i="18"/>
  <c r="F63" i="18"/>
  <c r="F65" i="18"/>
  <c r="F67" i="18"/>
  <c r="F69" i="18"/>
  <c r="F71" i="18"/>
  <c r="F73" i="18"/>
  <c r="F75" i="18"/>
  <c r="F77" i="18"/>
  <c r="F79" i="18"/>
  <c r="F81" i="18"/>
  <c r="F83" i="18"/>
  <c r="F85" i="18"/>
  <c r="F87" i="18"/>
  <c r="F89" i="18"/>
  <c r="F91" i="18"/>
  <c r="F93" i="18"/>
  <c r="F95" i="18"/>
  <c r="F97" i="18"/>
  <c r="F99" i="18"/>
  <c r="F101" i="18"/>
  <c r="F103" i="18"/>
  <c r="F105" i="18"/>
  <c r="F107" i="18"/>
  <c r="G7" i="18"/>
  <c r="G9" i="18"/>
  <c r="G11" i="18"/>
  <c r="G13" i="18"/>
  <c r="G15" i="18"/>
  <c r="G17" i="18"/>
  <c r="G19" i="18"/>
  <c r="G21" i="18"/>
  <c r="G23" i="18"/>
  <c r="G25" i="18"/>
  <c r="G27" i="18"/>
  <c r="G29" i="18"/>
  <c r="G31" i="18"/>
  <c r="G33" i="18"/>
  <c r="G35" i="18"/>
  <c r="G37" i="18"/>
  <c r="G39" i="18"/>
  <c r="G41" i="18"/>
  <c r="G43" i="18"/>
  <c r="G45" i="18"/>
  <c r="G47" i="18"/>
  <c r="G49" i="18"/>
  <c r="G51" i="18"/>
  <c r="G53" i="18"/>
  <c r="G55" i="18"/>
  <c r="G57" i="18"/>
  <c r="G59" i="18"/>
  <c r="G61" i="18"/>
  <c r="G63" i="18"/>
  <c r="G65" i="18"/>
  <c r="G67" i="18"/>
  <c r="G69" i="18"/>
  <c r="G71" i="18"/>
  <c r="G73" i="18"/>
  <c r="G75" i="18"/>
  <c r="G77" i="18"/>
  <c r="G79" i="18"/>
  <c r="G81" i="18"/>
  <c r="G83" i="18"/>
  <c r="G85" i="18"/>
  <c r="G87" i="18"/>
  <c r="G89" i="18"/>
  <c r="G91" i="18"/>
  <c r="G93" i="18"/>
  <c r="G95" i="18"/>
  <c r="G97" i="18"/>
  <c r="G99" i="18"/>
  <c r="G101" i="18"/>
  <c r="G103" i="18"/>
  <c r="G105" i="18"/>
  <c r="G107" i="18"/>
  <c r="H7" i="18"/>
  <c r="H9" i="18"/>
  <c r="H11" i="18"/>
  <c r="H13" i="18"/>
  <c r="H15" i="18"/>
  <c r="H17" i="18"/>
  <c r="H19" i="18"/>
  <c r="H21" i="18"/>
  <c r="H23" i="18"/>
  <c r="H25" i="18"/>
  <c r="H27" i="18"/>
  <c r="H29" i="18"/>
  <c r="H31" i="18"/>
  <c r="H33" i="18"/>
  <c r="H35" i="18"/>
  <c r="H37" i="18"/>
  <c r="H39" i="18"/>
  <c r="H41" i="18"/>
  <c r="H43" i="18"/>
  <c r="H45" i="18"/>
  <c r="H47" i="18"/>
  <c r="H49" i="18"/>
  <c r="H51" i="18"/>
  <c r="H53" i="18"/>
  <c r="H55" i="18"/>
  <c r="H57" i="18"/>
  <c r="H59" i="18"/>
  <c r="H61" i="18"/>
  <c r="H63" i="18"/>
  <c r="H65" i="18"/>
  <c r="H67" i="18"/>
  <c r="H69" i="18"/>
  <c r="H71" i="18"/>
  <c r="H73" i="18"/>
  <c r="H75" i="18"/>
  <c r="H77" i="18"/>
  <c r="H79" i="18"/>
  <c r="H81" i="18"/>
  <c r="H83" i="18"/>
  <c r="H85" i="18"/>
  <c r="H87" i="18"/>
  <c r="H89" i="18"/>
  <c r="H91" i="18"/>
  <c r="H93" i="18"/>
  <c r="H95" i="18"/>
  <c r="H97" i="18"/>
  <c r="H99" i="18"/>
  <c r="H101" i="18"/>
  <c r="H103" i="18"/>
  <c r="H105" i="18"/>
  <c r="H107" i="18"/>
  <c r="I7" i="18"/>
  <c r="I9" i="18"/>
  <c r="I11" i="18"/>
  <c r="I13" i="18"/>
  <c r="I15" i="18"/>
  <c r="I17" i="18"/>
  <c r="I19" i="18"/>
  <c r="I21" i="18"/>
  <c r="I23" i="18"/>
  <c r="I25" i="18"/>
  <c r="I27" i="18"/>
  <c r="I29" i="18"/>
  <c r="I31" i="18"/>
  <c r="I33" i="18"/>
  <c r="I35" i="18"/>
  <c r="I37" i="18"/>
  <c r="I39" i="18"/>
  <c r="I41" i="18"/>
  <c r="I43" i="18"/>
  <c r="I45" i="18"/>
  <c r="I47" i="18"/>
  <c r="I49" i="18"/>
  <c r="I51" i="18"/>
  <c r="I53" i="18"/>
  <c r="I55" i="18"/>
  <c r="I57" i="18"/>
  <c r="I59" i="18"/>
  <c r="I61" i="18"/>
  <c r="I63" i="18"/>
  <c r="I65" i="18"/>
  <c r="I67" i="18"/>
  <c r="I69" i="18"/>
  <c r="I71" i="18"/>
  <c r="I73" i="18"/>
  <c r="I75" i="18"/>
  <c r="I77" i="18"/>
  <c r="I79" i="18"/>
  <c r="I81" i="18"/>
  <c r="I83" i="18"/>
  <c r="I85" i="18"/>
  <c r="I87" i="18"/>
  <c r="I89" i="18"/>
  <c r="I91" i="18"/>
  <c r="I93" i="18"/>
  <c r="I95" i="18"/>
  <c r="I97" i="18"/>
  <c r="I99" i="18"/>
  <c r="I101" i="18"/>
  <c r="I103" i="18"/>
  <c r="I105" i="18"/>
  <c r="I107" i="18"/>
  <c r="C117" i="37"/>
  <c r="C123" i="37"/>
  <c r="C124" i="37"/>
  <c r="C128" i="37"/>
  <c r="E128" i="37"/>
  <c r="C129" i="37"/>
  <c r="C132" i="37"/>
  <c r="E132" i="37"/>
  <c r="C133" i="37"/>
  <c r="C134" i="37"/>
  <c r="D134" i="37"/>
  <c r="C135" i="37"/>
  <c r="D135" i="37"/>
  <c r="C5" i="37"/>
  <c r="C108" i="37"/>
  <c r="D108" i="37"/>
  <c r="C139" i="37"/>
  <c r="D139" i="37"/>
  <c r="E139" i="37"/>
  <c r="G139" i="37"/>
  <c r="C140" i="37"/>
  <c r="F140" i="37"/>
  <c r="G140" i="37"/>
  <c r="C141" i="37"/>
  <c r="D141" i="37"/>
  <c r="E141" i="37"/>
  <c r="F141" i="37"/>
  <c r="C146" i="37"/>
  <c r="D146" i="37"/>
  <c r="E146" i="37"/>
  <c r="F146" i="37"/>
  <c r="G146" i="37"/>
  <c r="I146" i="37"/>
  <c r="C145" i="37"/>
  <c r="D145" i="37"/>
  <c r="E145" i="37"/>
  <c r="F145" i="37"/>
  <c r="G145" i="37"/>
  <c r="I145" i="37"/>
  <c r="C144" i="37"/>
  <c r="D144" i="37"/>
  <c r="E144" i="37"/>
  <c r="F144" i="37"/>
  <c r="G144" i="37"/>
  <c r="I144" i="37"/>
  <c r="C143" i="37"/>
  <c r="D143" i="37"/>
  <c r="E143" i="37"/>
  <c r="F143" i="37"/>
  <c r="G143" i="37"/>
  <c r="I143" i="37"/>
  <c r="C142" i="37"/>
  <c r="D142" i="37"/>
  <c r="E142" i="37"/>
  <c r="F142" i="37"/>
  <c r="G142" i="37"/>
  <c r="I142" i="37"/>
  <c r="A106" i="37"/>
  <c r="A100" i="37"/>
  <c r="A98" i="37"/>
  <c r="A96" i="37"/>
  <c r="A94" i="37"/>
  <c r="A92" i="37"/>
  <c r="A90" i="37"/>
  <c r="A88" i="37"/>
  <c r="A86" i="37"/>
  <c r="A84" i="37"/>
  <c r="A82" i="37"/>
  <c r="A80" i="37"/>
  <c r="A78" i="37"/>
  <c r="A76" i="37"/>
  <c r="A74" i="37"/>
  <c r="A72" i="37"/>
  <c r="A70" i="37"/>
  <c r="A68" i="37"/>
  <c r="A66" i="37"/>
  <c r="A64" i="37"/>
  <c r="A62" i="37"/>
  <c r="A60" i="37"/>
  <c r="A58" i="37"/>
  <c r="A56" i="37"/>
  <c r="A54" i="37"/>
  <c r="A52" i="37"/>
  <c r="A50" i="37"/>
  <c r="A48" i="37"/>
  <c r="A46" i="37"/>
  <c r="A44" i="37"/>
  <c r="A42" i="37"/>
  <c r="A40" i="37"/>
  <c r="A38" i="37"/>
  <c r="A36" i="37"/>
  <c r="A34" i="37"/>
  <c r="A32" i="37"/>
  <c r="A30" i="37"/>
  <c r="A28" i="37"/>
  <c r="A26" i="37"/>
  <c r="A24" i="37"/>
  <c r="A22" i="37"/>
  <c r="A20" i="37"/>
  <c r="A18" i="37"/>
  <c r="A16" i="37"/>
  <c r="A14" i="37"/>
  <c r="A12" i="37"/>
  <c r="A10" i="37"/>
  <c r="A8" i="37"/>
  <c r="A6" i="37"/>
  <c r="D5" i="37"/>
  <c r="E5" i="37"/>
  <c r="F5" i="37"/>
  <c r="G5" i="37"/>
  <c r="H5" i="37"/>
  <c r="I5" i="37"/>
  <c r="C3" i="37"/>
  <c r="H3" i="37"/>
  <c r="I1" i="37"/>
  <c r="H1" i="37"/>
  <c r="G1" i="37"/>
  <c r="F1" i="37"/>
  <c r="E1" i="37"/>
  <c r="D1" i="37"/>
  <c r="C1" i="37"/>
  <c r="C7" i="31"/>
  <c r="C9" i="31"/>
  <c r="C11" i="31"/>
  <c r="C13" i="31"/>
  <c r="C15" i="31"/>
  <c r="C17" i="31"/>
  <c r="C19" i="31"/>
  <c r="C21" i="31"/>
  <c r="C23" i="31"/>
  <c r="C25" i="31"/>
  <c r="C27" i="31"/>
  <c r="C29" i="31"/>
  <c r="C31" i="31"/>
  <c r="C33" i="31"/>
  <c r="C35" i="31"/>
  <c r="C37" i="31"/>
  <c r="C39" i="31"/>
  <c r="C41" i="31"/>
  <c r="C43" i="31"/>
  <c r="C45" i="31"/>
  <c r="C47" i="31"/>
  <c r="C49" i="31"/>
  <c r="C51" i="31"/>
  <c r="C53" i="31"/>
  <c r="C55" i="31"/>
  <c r="C57" i="31"/>
  <c r="C59" i="31"/>
  <c r="C61" i="31"/>
  <c r="C63" i="31"/>
  <c r="C65" i="31"/>
  <c r="C67" i="31"/>
  <c r="C69" i="31"/>
  <c r="C71" i="31"/>
  <c r="C73" i="31"/>
  <c r="C75" i="31"/>
  <c r="C77" i="31"/>
  <c r="C79" i="31"/>
  <c r="C81" i="31"/>
  <c r="C83" i="31"/>
  <c r="C85" i="31"/>
  <c r="C87" i="31"/>
  <c r="C89" i="31"/>
  <c r="C91" i="31"/>
  <c r="C93" i="31"/>
  <c r="C95" i="31"/>
  <c r="C97" i="31"/>
  <c r="C99" i="31"/>
  <c r="C101" i="31"/>
  <c r="C103" i="31"/>
  <c r="C136" i="31"/>
  <c r="D7" i="31"/>
  <c r="D9" i="31"/>
  <c r="D11" i="31"/>
  <c r="D13" i="31"/>
  <c r="D15" i="31"/>
  <c r="D17" i="31"/>
  <c r="D19" i="31"/>
  <c r="D21" i="31"/>
  <c r="D23" i="31"/>
  <c r="D25" i="31"/>
  <c r="D27" i="31"/>
  <c r="D29" i="31"/>
  <c r="D31" i="31"/>
  <c r="D33" i="31"/>
  <c r="D35" i="31"/>
  <c r="D37" i="31"/>
  <c r="D39" i="31"/>
  <c r="D41" i="31"/>
  <c r="D43" i="31"/>
  <c r="D45" i="31"/>
  <c r="D47" i="31"/>
  <c r="D49" i="31"/>
  <c r="D51" i="31"/>
  <c r="D53" i="31"/>
  <c r="D55" i="31"/>
  <c r="D57" i="31"/>
  <c r="D59" i="31"/>
  <c r="D61" i="31"/>
  <c r="D63" i="31"/>
  <c r="D65" i="31"/>
  <c r="D67" i="31"/>
  <c r="D69" i="31"/>
  <c r="D71" i="31"/>
  <c r="D73" i="31"/>
  <c r="D75" i="31"/>
  <c r="D77" i="31"/>
  <c r="D79" i="31"/>
  <c r="D81" i="31"/>
  <c r="D83" i="31"/>
  <c r="D85" i="31"/>
  <c r="D87" i="31"/>
  <c r="D89" i="31"/>
  <c r="D91" i="31"/>
  <c r="D93" i="31"/>
  <c r="D95" i="31"/>
  <c r="D97" i="31"/>
  <c r="D99" i="31"/>
  <c r="D101" i="31"/>
  <c r="D103" i="31"/>
  <c r="E7" i="31"/>
  <c r="E9" i="31"/>
  <c r="E11" i="31"/>
  <c r="E13" i="31"/>
  <c r="E15" i="31"/>
  <c r="E17" i="31"/>
  <c r="E19" i="31"/>
  <c r="E21" i="31"/>
  <c r="E23" i="31"/>
  <c r="E25" i="31"/>
  <c r="E27" i="31"/>
  <c r="E29" i="31"/>
  <c r="E31" i="31"/>
  <c r="E33" i="31"/>
  <c r="E35" i="31"/>
  <c r="E37" i="31"/>
  <c r="E39" i="31"/>
  <c r="E41" i="31"/>
  <c r="E43" i="31"/>
  <c r="E45" i="31"/>
  <c r="E47" i="31"/>
  <c r="E49" i="31"/>
  <c r="E51" i="31"/>
  <c r="E53" i="31"/>
  <c r="E55" i="31"/>
  <c r="E57" i="31"/>
  <c r="E59" i="31"/>
  <c r="E61" i="31"/>
  <c r="E63" i="31"/>
  <c r="E65" i="31"/>
  <c r="E67" i="31"/>
  <c r="E69" i="31"/>
  <c r="E71" i="31"/>
  <c r="E73" i="31"/>
  <c r="E75" i="31"/>
  <c r="E77" i="31"/>
  <c r="E79" i="31"/>
  <c r="E81" i="31"/>
  <c r="E83" i="31"/>
  <c r="E85" i="31"/>
  <c r="E87" i="31"/>
  <c r="E89" i="31"/>
  <c r="E91" i="31"/>
  <c r="E93" i="31"/>
  <c r="E95" i="31"/>
  <c r="E97" i="31"/>
  <c r="E99" i="31"/>
  <c r="E101" i="31"/>
  <c r="E103" i="31"/>
  <c r="F7" i="31"/>
  <c r="F9" i="31"/>
  <c r="F11" i="31"/>
  <c r="F13" i="31"/>
  <c r="F15" i="31"/>
  <c r="F17" i="31"/>
  <c r="F19" i="31"/>
  <c r="F21" i="31"/>
  <c r="F23" i="31"/>
  <c r="F25" i="31"/>
  <c r="F27" i="31"/>
  <c r="F29" i="31"/>
  <c r="F31" i="31"/>
  <c r="F33" i="31"/>
  <c r="F35" i="31"/>
  <c r="F37" i="31"/>
  <c r="F39" i="31"/>
  <c r="F41" i="31"/>
  <c r="F43" i="31"/>
  <c r="F45" i="31"/>
  <c r="F47" i="31"/>
  <c r="F49" i="31"/>
  <c r="F51" i="31"/>
  <c r="F53" i="31"/>
  <c r="F55" i="31"/>
  <c r="F57" i="31"/>
  <c r="F59" i="31"/>
  <c r="F61" i="31"/>
  <c r="F63" i="31"/>
  <c r="F65" i="31"/>
  <c r="F67" i="31"/>
  <c r="F69" i="31"/>
  <c r="F71" i="31"/>
  <c r="F73" i="31"/>
  <c r="F75" i="31"/>
  <c r="F77" i="31"/>
  <c r="F79" i="31"/>
  <c r="F81" i="31"/>
  <c r="F83" i="31"/>
  <c r="F85" i="31"/>
  <c r="F87" i="31"/>
  <c r="F89" i="31"/>
  <c r="F91" i="31"/>
  <c r="F93" i="31"/>
  <c r="F95" i="31"/>
  <c r="F97" i="31"/>
  <c r="F99" i="31"/>
  <c r="F101" i="31"/>
  <c r="F103" i="31"/>
  <c r="F106" i="31"/>
  <c r="G7" i="31"/>
  <c r="G9" i="31"/>
  <c r="G11" i="31"/>
  <c r="G13" i="31"/>
  <c r="G15" i="31"/>
  <c r="G17" i="31"/>
  <c r="G19" i="31"/>
  <c r="G21" i="31"/>
  <c r="G23" i="31"/>
  <c r="G25" i="31"/>
  <c r="G27" i="31"/>
  <c r="G29" i="31"/>
  <c r="G31" i="31"/>
  <c r="G33" i="31"/>
  <c r="G35" i="31"/>
  <c r="G37" i="31"/>
  <c r="G39" i="31"/>
  <c r="G41" i="31"/>
  <c r="G43" i="31"/>
  <c r="G45" i="31"/>
  <c r="G47" i="31"/>
  <c r="G49" i="31"/>
  <c r="G51" i="31"/>
  <c r="G53" i="31"/>
  <c r="G55" i="31"/>
  <c r="G57" i="31"/>
  <c r="G59" i="31"/>
  <c r="G61" i="31"/>
  <c r="G63" i="31"/>
  <c r="G65" i="31"/>
  <c r="G67" i="31"/>
  <c r="G69" i="31"/>
  <c r="G71" i="31"/>
  <c r="G73" i="31"/>
  <c r="G75" i="31"/>
  <c r="G77" i="31"/>
  <c r="G79" i="31"/>
  <c r="G81" i="31"/>
  <c r="G83" i="31"/>
  <c r="G85" i="31"/>
  <c r="G87" i="31"/>
  <c r="G89" i="31"/>
  <c r="G91" i="31"/>
  <c r="G93" i="31"/>
  <c r="G95" i="31"/>
  <c r="G97" i="31"/>
  <c r="G99" i="31"/>
  <c r="G101" i="31"/>
  <c r="G103" i="31"/>
  <c r="H7" i="31"/>
  <c r="H9" i="31"/>
  <c r="H11" i="31"/>
  <c r="H13" i="31"/>
  <c r="H15" i="31"/>
  <c r="H17" i="31"/>
  <c r="H19" i="31"/>
  <c r="H21" i="31"/>
  <c r="H23" i="31"/>
  <c r="H25" i="31"/>
  <c r="H27" i="31"/>
  <c r="H29" i="31"/>
  <c r="H31" i="31"/>
  <c r="H33" i="31"/>
  <c r="H35" i="31"/>
  <c r="H37" i="31"/>
  <c r="H39" i="31"/>
  <c r="H41" i="31"/>
  <c r="H43" i="31"/>
  <c r="H45" i="31"/>
  <c r="H47" i="31"/>
  <c r="H49" i="31"/>
  <c r="H51" i="31"/>
  <c r="H53" i="31"/>
  <c r="H55" i="31"/>
  <c r="H57" i="31"/>
  <c r="H59" i="31"/>
  <c r="H61" i="31"/>
  <c r="H63" i="31"/>
  <c r="H65" i="31"/>
  <c r="H67" i="31"/>
  <c r="H69" i="31"/>
  <c r="H71" i="31"/>
  <c r="H73" i="31"/>
  <c r="H75" i="31"/>
  <c r="H77" i="31"/>
  <c r="H79" i="31"/>
  <c r="H81" i="31"/>
  <c r="H83" i="31"/>
  <c r="H85" i="31"/>
  <c r="H87" i="31"/>
  <c r="H89" i="31"/>
  <c r="H91" i="31"/>
  <c r="H93" i="31"/>
  <c r="H95" i="31"/>
  <c r="H97" i="31"/>
  <c r="H99" i="31"/>
  <c r="H101" i="31"/>
  <c r="H103" i="31"/>
  <c r="H108" i="31"/>
  <c r="I7" i="31"/>
  <c r="I9" i="31"/>
  <c r="I11" i="31"/>
  <c r="I13" i="31"/>
  <c r="I15" i="31"/>
  <c r="I17" i="31"/>
  <c r="I19" i="31"/>
  <c r="I21" i="31"/>
  <c r="I23" i="31"/>
  <c r="I25" i="31"/>
  <c r="I27" i="31"/>
  <c r="I29" i="31"/>
  <c r="I31" i="31"/>
  <c r="I33" i="31"/>
  <c r="I35" i="31"/>
  <c r="I37" i="31"/>
  <c r="I39" i="31"/>
  <c r="I41" i="31"/>
  <c r="I43" i="31"/>
  <c r="I45" i="31"/>
  <c r="I47" i="31"/>
  <c r="I49" i="31"/>
  <c r="I51" i="31"/>
  <c r="I53" i="31"/>
  <c r="I55" i="31"/>
  <c r="I57" i="31"/>
  <c r="I59" i="31"/>
  <c r="I61" i="31"/>
  <c r="I63" i="31"/>
  <c r="I65" i="31"/>
  <c r="I67" i="31"/>
  <c r="I69" i="31"/>
  <c r="I71" i="31"/>
  <c r="I73" i="31"/>
  <c r="I75" i="31"/>
  <c r="I77" i="31"/>
  <c r="I79" i="31"/>
  <c r="I81" i="31"/>
  <c r="I83" i="31"/>
  <c r="I85" i="31"/>
  <c r="I87" i="31"/>
  <c r="I89" i="31"/>
  <c r="I91" i="31"/>
  <c r="I93" i="31"/>
  <c r="I95" i="31"/>
  <c r="I97" i="31"/>
  <c r="I99" i="31"/>
  <c r="I101" i="31"/>
  <c r="I103" i="31"/>
  <c r="I142" i="31"/>
  <c r="C7" i="30"/>
  <c r="C9" i="30"/>
  <c r="C11" i="30"/>
  <c r="C13" i="30"/>
  <c r="C15" i="30"/>
  <c r="C17" i="30"/>
  <c r="C19" i="30"/>
  <c r="C21" i="30"/>
  <c r="C23" i="30"/>
  <c r="C25" i="30"/>
  <c r="C27" i="30"/>
  <c r="C29" i="30"/>
  <c r="C31" i="30"/>
  <c r="C33" i="30"/>
  <c r="C35" i="30"/>
  <c r="C37" i="30"/>
  <c r="C39" i="30"/>
  <c r="C41" i="30"/>
  <c r="C43" i="30"/>
  <c r="C45" i="30"/>
  <c r="C47" i="30"/>
  <c r="C49" i="30"/>
  <c r="C51" i="30"/>
  <c r="C53" i="30"/>
  <c r="C55" i="30"/>
  <c r="C57" i="30"/>
  <c r="C59" i="30"/>
  <c r="C61" i="30"/>
  <c r="C63" i="30"/>
  <c r="C65" i="30"/>
  <c r="C67" i="30"/>
  <c r="C69" i="30"/>
  <c r="C71" i="30"/>
  <c r="C73" i="30"/>
  <c r="C75" i="30"/>
  <c r="C77" i="30"/>
  <c r="C79" i="30"/>
  <c r="C81" i="30"/>
  <c r="C83" i="30"/>
  <c r="C85" i="30"/>
  <c r="C87" i="30"/>
  <c r="C89" i="30"/>
  <c r="C91" i="30"/>
  <c r="C93" i="30"/>
  <c r="C95" i="30"/>
  <c r="C97" i="30"/>
  <c r="C99" i="30"/>
  <c r="C101" i="30"/>
  <c r="C103" i="30"/>
  <c r="C105" i="30"/>
  <c r="C107" i="30"/>
  <c r="D7" i="30"/>
  <c r="D9" i="30"/>
  <c r="D11" i="30"/>
  <c r="D13" i="30"/>
  <c r="D15" i="30"/>
  <c r="D17" i="30"/>
  <c r="D19" i="30"/>
  <c r="D21" i="30"/>
  <c r="D23" i="30"/>
  <c r="D25" i="30"/>
  <c r="D27" i="30"/>
  <c r="D29" i="30"/>
  <c r="D31" i="30"/>
  <c r="D33" i="30"/>
  <c r="D35" i="30"/>
  <c r="D37" i="30"/>
  <c r="D39" i="30"/>
  <c r="D41" i="30"/>
  <c r="D43" i="30"/>
  <c r="D45" i="30"/>
  <c r="D47" i="30"/>
  <c r="D49" i="30"/>
  <c r="D51" i="30"/>
  <c r="D53" i="30"/>
  <c r="D55" i="30"/>
  <c r="D57" i="30"/>
  <c r="D59" i="30"/>
  <c r="D61" i="30"/>
  <c r="D63" i="30"/>
  <c r="D65" i="30"/>
  <c r="D67" i="30"/>
  <c r="D69" i="30"/>
  <c r="D71" i="30"/>
  <c r="D73" i="30"/>
  <c r="D75" i="30"/>
  <c r="D77" i="30"/>
  <c r="D79" i="30"/>
  <c r="D81" i="30"/>
  <c r="D83" i="30"/>
  <c r="D85" i="30"/>
  <c r="D87" i="30"/>
  <c r="D89" i="30"/>
  <c r="D91" i="30"/>
  <c r="D93" i="30"/>
  <c r="D95" i="30"/>
  <c r="D97" i="30"/>
  <c r="D99" i="30"/>
  <c r="D101" i="30"/>
  <c r="D103" i="30"/>
  <c r="D105" i="30"/>
  <c r="D107" i="30"/>
  <c r="D139" i="30"/>
  <c r="E7" i="30"/>
  <c r="E9" i="30"/>
  <c r="E11" i="30"/>
  <c r="E13" i="30"/>
  <c r="E15" i="30"/>
  <c r="E17" i="30"/>
  <c r="E19" i="30"/>
  <c r="E21" i="30"/>
  <c r="E23" i="30"/>
  <c r="E25" i="30"/>
  <c r="E27" i="30"/>
  <c r="E29" i="30"/>
  <c r="E31" i="30"/>
  <c r="E33" i="30"/>
  <c r="E35" i="30"/>
  <c r="E37" i="30"/>
  <c r="E39" i="30"/>
  <c r="E41" i="30"/>
  <c r="E43" i="30"/>
  <c r="E45" i="30"/>
  <c r="E47" i="30"/>
  <c r="E49" i="30"/>
  <c r="E51" i="30"/>
  <c r="E53" i="30"/>
  <c r="E55" i="30"/>
  <c r="E57" i="30"/>
  <c r="E59" i="30"/>
  <c r="E61" i="30"/>
  <c r="E63" i="30"/>
  <c r="E65" i="30"/>
  <c r="E67" i="30"/>
  <c r="E69" i="30"/>
  <c r="E71" i="30"/>
  <c r="E73" i="30"/>
  <c r="E75" i="30"/>
  <c r="E77" i="30"/>
  <c r="E79" i="30"/>
  <c r="E81" i="30"/>
  <c r="E83" i="30"/>
  <c r="E85" i="30"/>
  <c r="E87" i="30"/>
  <c r="E89" i="30"/>
  <c r="E91" i="30"/>
  <c r="E93" i="30"/>
  <c r="E95" i="30"/>
  <c r="E97" i="30"/>
  <c r="E99" i="30"/>
  <c r="E101" i="30"/>
  <c r="E103" i="30"/>
  <c r="E105" i="30"/>
  <c r="E107" i="30"/>
  <c r="E131" i="30"/>
  <c r="F7" i="30"/>
  <c r="F9" i="30"/>
  <c r="F11" i="30"/>
  <c r="F13" i="30"/>
  <c r="F15" i="30"/>
  <c r="F17" i="30"/>
  <c r="F19" i="30"/>
  <c r="F21" i="30"/>
  <c r="F23" i="30"/>
  <c r="F25" i="30"/>
  <c r="F27" i="30"/>
  <c r="F29" i="30"/>
  <c r="F31" i="30"/>
  <c r="F33" i="30"/>
  <c r="F35" i="30"/>
  <c r="F37" i="30"/>
  <c r="F39" i="30"/>
  <c r="F41" i="30"/>
  <c r="F43" i="30"/>
  <c r="F45" i="30"/>
  <c r="F47" i="30"/>
  <c r="F49" i="30"/>
  <c r="F51" i="30"/>
  <c r="F53" i="30"/>
  <c r="F55" i="30"/>
  <c r="F57" i="30"/>
  <c r="F59" i="30"/>
  <c r="F61" i="30"/>
  <c r="F63" i="30"/>
  <c r="F65" i="30"/>
  <c r="F67" i="30"/>
  <c r="F69" i="30"/>
  <c r="F71" i="30"/>
  <c r="F73" i="30"/>
  <c r="F75" i="30"/>
  <c r="F77" i="30"/>
  <c r="F79" i="30"/>
  <c r="F81" i="30"/>
  <c r="F83" i="30"/>
  <c r="F85" i="30"/>
  <c r="F87" i="30"/>
  <c r="F89" i="30"/>
  <c r="F91" i="30"/>
  <c r="F93" i="30"/>
  <c r="F95" i="30"/>
  <c r="F97" i="30"/>
  <c r="F99" i="30"/>
  <c r="F101" i="30"/>
  <c r="F103" i="30"/>
  <c r="F105" i="30"/>
  <c r="F107" i="30"/>
  <c r="F114" i="30"/>
  <c r="G7" i="30"/>
  <c r="G9" i="30"/>
  <c r="G11" i="30"/>
  <c r="G13" i="30"/>
  <c r="G15" i="30"/>
  <c r="G17" i="30"/>
  <c r="G19" i="30"/>
  <c r="G21" i="30"/>
  <c r="G23" i="30"/>
  <c r="G25" i="30"/>
  <c r="G27" i="30"/>
  <c r="G29" i="30"/>
  <c r="G31" i="30"/>
  <c r="G33" i="30"/>
  <c r="G35" i="30"/>
  <c r="G37" i="30"/>
  <c r="G39" i="30"/>
  <c r="G41" i="30"/>
  <c r="G43" i="30"/>
  <c r="G45" i="30"/>
  <c r="G47" i="30"/>
  <c r="G49" i="30"/>
  <c r="G51" i="30"/>
  <c r="G53" i="30"/>
  <c r="G55" i="30"/>
  <c r="G57" i="30"/>
  <c r="G59" i="30"/>
  <c r="G61" i="30"/>
  <c r="G63" i="30"/>
  <c r="G65" i="30"/>
  <c r="G67" i="30"/>
  <c r="G69" i="30"/>
  <c r="G71" i="30"/>
  <c r="G73" i="30"/>
  <c r="G75" i="30"/>
  <c r="G77" i="30"/>
  <c r="G79" i="30"/>
  <c r="G81" i="30"/>
  <c r="G83" i="30"/>
  <c r="G85" i="30"/>
  <c r="G87" i="30"/>
  <c r="G89" i="30"/>
  <c r="G91" i="30"/>
  <c r="G93" i="30"/>
  <c r="G95" i="30"/>
  <c r="G97" i="30"/>
  <c r="G99" i="30"/>
  <c r="G101" i="30"/>
  <c r="G103" i="30"/>
  <c r="G105" i="30"/>
  <c r="G107" i="30"/>
  <c r="G110" i="30"/>
  <c r="H7" i="30"/>
  <c r="H9" i="30"/>
  <c r="H11" i="30"/>
  <c r="H13" i="30"/>
  <c r="H15" i="30"/>
  <c r="H17" i="30"/>
  <c r="H19" i="30"/>
  <c r="H21" i="30"/>
  <c r="H23" i="30"/>
  <c r="H25" i="30"/>
  <c r="H27" i="30"/>
  <c r="H29" i="30"/>
  <c r="H31" i="30"/>
  <c r="H33" i="30"/>
  <c r="H35" i="30"/>
  <c r="H37" i="30"/>
  <c r="H39" i="30"/>
  <c r="H41" i="30"/>
  <c r="H43" i="30"/>
  <c r="H45" i="30"/>
  <c r="H47" i="30"/>
  <c r="H49" i="30"/>
  <c r="H51" i="30"/>
  <c r="H53" i="30"/>
  <c r="H55" i="30"/>
  <c r="H57" i="30"/>
  <c r="H59" i="30"/>
  <c r="H61" i="30"/>
  <c r="H63" i="30"/>
  <c r="H65" i="30"/>
  <c r="H67" i="30"/>
  <c r="H69" i="30"/>
  <c r="H71" i="30"/>
  <c r="H73" i="30"/>
  <c r="H75" i="30"/>
  <c r="H77" i="30"/>
  <c r="H79" i="30"/>
  <c r="H81" i="30"/>
  <c r="H83" i="30"/>
  <c r="H85" i="30"/>
  <c r="H87" i="30"/>
  <c r="H89" i="30"/>
  <c r="H91" i="30"/>
  <c r="H93" i="30"/>
  <c r="H95" i="30"/>
  <c r="H97" i="30"/>
  <c r="H99" i="30"/>
  <c r="H101" i="30"/>
  <c r="H103" i="30"/>
  <c r="H105" i="30"/>
  <c r="H107" i="30"/>
  <c r="H120" i="30"/>
  <c r="I7" i="30"/>
  <c r="I9" i="30"/>
  <c r="I11" i="30"/>
  <c r="I13" i="30"/>
  <c r="I15" i="30"/>
  <c r="I17" i="30"/>
  <c r="I19" i="30"/>
  <c r="I21" i="30"/>
  <c r="I23" i="30"/>
  <c r="I25" i="30"/>
  <c r="I27" i="30"/>
  <c r="I29" i="30"/>
  <c r="I31" i="30"/>
  <c r="I33" i="30"/>
  <c r="I35" i="30"/>
  <c r="I37" i="30"/>
  <c r="I39" i="30"/>
  <c r="I41" i="30"/>
  <c r="I43" i="30"/>
  <c r="I45" i="30"/>
  <c r="I47" i="30"/>
  <c r="I49" i="30"/>
  <c r="I51" i="30"/>
  <c r="I53" i="30"/>
  <c r="I55" i="30"/>
  <c r="I57" i="30"/>
  <c r="I59" i="30"/>
  <c r="I61" i="30"/>
  <c r="I63" i="30"/>
  <c r="I65" i="30"/>
  <c r="I67" i="30"/>
  <c r="I69" i="30"/>
  <c r="I71" i="30"/>
  <c r="I73" i="30"/>
  <c r="I75" i="30"/>
  <c r="I77" i="30"/>
  <c r="I79" i="30"/>
  <c r="I81" i="30"/>
  <c r="I83" i="30"/>
  <c r="I85" i="30"/>
  <c r="I87" i="30"/>
  <c r="I89" i="30"/>
  <c r="I91" i="30"/>
  <c r="I93" i="30"/>
  <c r="I95" i="30"/>
  <c r="I97" i="30"/>
  <c r="I99" i="30"/>
  <c r="I101" i="30"/>
  <c r="I103" i="30"/>
  <c r="I105" i="30"/>
  <c r="I107" i="30"/>
  <c r="I133" i="30"/>
  <c r="C7" i="36"/>
  <c r="C9" i="36"/>
  <c r="C11" i="36"/>
  <c r="C13" i="36"/>
  <c r="C15" i="36"/>
  <c r="C17" i="36"/>
  <c r="C19" i="36"/>
  <c r="C21" i="36"/>
  <c r="C23" i="36"/>
  <c r="C25" i="36"/>
  <c r="C27" i="36"/>
  <c r="C29" i="36"/>
  <c r="C31" i="36"/>
  <c r="C33" i="36"/>
  <c r="C35" i="36"/>
  <c r="C37" i="36"/>
  <c r="C39" i="36"/>
  <c r="C41" i="36"/>
  <c r="C43" i="36"/>
  <c r="C45" i="36"/>
  <c r="C47" i="36"/>
  <c r="C49" i="36"/>
  <c r="C51" i="36"/>
  <c r="C53" i="36"/>
  <c r="C55" i="36"/>
  <c r="C57" i="36"/>
  <c r="C59" i="36"/>
  <c r="C61" i="36"/>
  <c r="C63" i="36"/>
  <c r="C65" i="36"/>
  <c r="C67" i="36"/>
  <c r="C69" i="36"/>
  <c r="C71" i="36"/>
  <c r="C73" i="36"/>
  <c r="C75" i="36"/>
  <c r="C77" i="36"/>
  <c r="C79" i="36"/>
  <c r="C81" i="36"/>
  <c r="C83" i="36"/>
  <c r="C85" i="36"/>
  <c r="C87" i="36"/>
  <c r="C89" i="36"/>
  <c r="C91" i="36"/>
  <c r="C93" i="36"/>
  <c r="C95" i="36"/>
  <c r="C97" i="36"/>
  <c r="C99" i="36"/>
  <c r="C101" i="36"/>
  <c r="C103" i="36"/>
  <c r="C105" i="36"/>
  <c r="C107" i="36"/>
  <c r="C141" i="36"/>
  <c r="D7" i="36"/>
  <c r="D9" i="36"/>
  <c r="D11" i="36"/>
  <c r="D13" i="36"/>
  <c r="D15" i="36"/>
  <c r="D17" i="36"/>
  <c r="D19" i="36"/>
  <c r="D21" i="36"/>
  <c r="D23" i="36"/>
  <c r="D25" i="36"/>
  <c r="D27" i="36"/>
  <c r="D29" i="36"/>
  <c r="D31" i="36"/>
  <c r="D33" i="36"/>
  <c r="D35" i="36"/>
  <c r="D37" i="36"/>
  <c r="D39" i="36"/>
  <c r="D41" i="36"/>
  <c r="D43" i="36"/>
  <c r="D45" i="36"/>
  <c r="D47" i="36"/>
  <c r="D49" i="36"/>
  <c r="D51" i="36"/>
  <c r="D53" i="36"/>
  <c r="D55" i="36"/>
  <c r="D57" i="36"/>
  <c r="D59" i="36"/>
  <c r="D61" i="36"/>
  <c r="D63" i="36"/>
  <c r="D65" i="36"/>
  <c r="D67" i="36"/>
  <c r="D69" i="36"/>
  <c r="D71" i="36"/>
  <c r="D73" i="36"/>
  <c r="D75" i="36"/>
  <c r="D77" i="36"/>
  <c r="D79" i="36"/>
  <c r="D81" i="36"/>
  <c r="D83" i="36"/>
  <c r="D85" i="36"/>
  <c r="D87" i="36"/>
  <c r="D89" i="36"/>
  <c r="D91" i="36"/>
  <c r="D93" i="36"/>
  <c r="D95" i="36"/>
  <c r="D97" i="36"/>
  <c r="D99" i="36"/>
  <c r="D101" i="36"/>
  <c r="D103" i="36"/>
  <c r="D105" i="36"/>
  <c r="D107" i="36"/>
  <c r="D131" i="36"/>
  <c r="E7" i="36"/>
  <c r="E9" i="36"/>
  <c r="E11" i="36"/>
  <c r="E13" i="36"/>
  <c r="E15" i="36"/>
  <c r="E17" i="36"/>
  <c r="E19" i="36"/>
  <c r="E21" i="36"/>
  <c r="E23" i="36"/>
  <c r="E25" i="36"/>
  <c r="E27" i="36"/>
  <c r="E29" i="36"/>
  <c r="E31" i="36"/>
  <c r="E33" i="36"/>
  <c r="E35" i="36"/>
  <c r="E37" i="36"/>
  <c r="E39" i="36"/>
  <c r="E41" i="36"/>
  <c r="E43" i="36"/>
  <c r="E45" i="36"/>
  <c r="E47" i="36"/>
  <c r="E49" i="36"/>
  <c r="E51" i="36"/>
  <c r="E53" i="36"/>
  <c r="E55" i="36"/>
  <c r="E57" i="36"/>
  <c r="E59" i="36"/>
  <c r="E61" i="36"/>
  <c r="E63" i="36"/>
  <c r="E65" i="36"/>
  <c r="E67" i="36"/>
  <c r="E69" i="36"/>
  <c r="E71" i="36"/>
  <c r="E73" i="36"/>
  <c r="E75" i="36"/>
  <c r="E77" i="36"/>
  <c r="E79" i="36"/>
  <c r="E81" i="36"/>
  <c r="E83" i="36"/>
  <c r="E85" i="36"/>
  <c r="E87" i="36"/>
  <c r="E89" i="36"/>
  <c r="E91" i="36"/>
  <c r="E93" i="36"/>
  <c r="E95" i="36"/>
  <c r="E97" i="36"/>
  <c r="E99" i="36"/>
  <c r="E101" i="36"/>
  <c r="E103" i="36"/>
  <c r="E105" i="36"/>
  <c r="E107" i="36"/>
  <c r="E123" i="36"/>
  <c r="F7" i="36"/>
  <c r="F9" i="36"/>
  <c r="F11" i="36"/>
  <c r="F13" i="36"/>
  <c r="F15" i="36"/>
  <c r="F17" i="36"/>
  <c r="F19" i="36"/>
  <c r="F21" i="36"/>
  <c r="F23" i="36"/>
  <c r="F25" i="36"/>
  <c r="F27" i="36"/>
  <c r="F29" i="36"/>
  <c r="F31" i="36"/>
  <c r="F33" i="36"/>
  <c r="F35" i="36"/>
  <c r="F37" i="36"/>
  <c r="F39" i="36"/>
  <c r="F41" i="36"/>
  <c r="F43" i="36"/>
  <c r="F45" i="36"/>
  <c r="F47" i="36"/>
  <c r="F49" i="36"/>
  <c r="F51" i="36"/>
  <c r="F53" i="36"/>
  <c r="F55" i="36"/>
  <c r="F57" i="36"/>
  <c r="F59" i="36"/>
  <c r="F61" i="36"/>
  <c r="F63" i="36"/>
  <c r="F65" i="36"/>
  <c r="F67" i="36"/>
  <c r="F69" i="36"/>
  <c r="F71" i="36"/>
  <c r="F73" i="36"/>
  <c r="F75" i="36"/>
  <c r="F77" i="36"/>
  <c r="F79" i="36"/>
  <c r="F81" i="36"/>
  <c r="F83" i="36"/>
  <c r="F85" i="36"/>
  <c r="F87" i="36"/>
  <c r="F89" i="36"/>
  <c r="F91" i="36"/>
  <c r="F93" i="36"/>
  <c r="F95" i="36"/>
  <c r="F97" i="36"/>
  <c r="F99" i="36"/>
  <c r="F101" i="36"/>
  <c r="F103" i="36"/>
  <c r="F105" i="36"/>
  <c r="F107" i="36"/>
  <c r="G7" i="36"/>
  <c r="G9" i="36"/>
  <c r="G11" i="36"/>
  <c r="G13" i="36"/>
  <c r="G15" i="36"/>
  <c r="G17" i="36"/>
  <c r="G19" i="36"/>
  <c r="G21" i="36"/>
  <c r="G23" i="36"/>
  <c r="G25" i="36"/>
  <c r="G27" i="36"/>
  <c r="G29" i="36"/>
  <c r="G31" i="36"/>
  <c r="G33" i="36"/>
  <c r="G35" i="36"/>
  <c r="G37" i="36"/>
  <c r="G39" i="36"/>
  <c r="G41" i="36"/>
  <c r="G43" i="36"/>
  <c r="G45" i="36"/>
  <c r="G47" i="36"/>
  <c r="G49" i="36"/>
  <c r="G51" i="36"/>
  <c r="G53" i="36"/>
  <c r="G55" i="36"/>
  <c r="G57" i="36"/>
  <c r="G59" i="36"/>
  <c r="G61" i="36"/>
  <c r="G63" i="36"/>
  <c r="G65" i="36"/>
  <c r="G67" i="36"/>
  <c r="G69" i="36"/>
  <c r="G71" i="36"/>
  <c r="G73" i="36"/>
  <c r="G75" i="36"/>
  <c r="G77" i="36"/>
  <c r="G79" i="36"/>
  <c r="G81" i="36"/>
  <c r="G83" i="36"/>
  <c r="G85" i="36"/>
  <c r="G87" i="36"/>
  <c r="G89" i="36"/>
  <c r="G91" i="36"/>
  <c r="G93" i="36"/>
  <c r="G95" i="36"/>
  <c r="G97" i="36"/>
  <c r="G99" i="36"/>
  <c r="G101" i="36"/>
  <c r="G103" i="36"/>
  <c r="G105" i="36"/>
  <c r="G107" i="36"/>
  <c r="H7" i="36"/>
  <c r="H9" i="36"/>
  <c r="H11" i="36"/>
  <c r="H13" i="36"/>
  <c r="H15" i="36"/>
  <c r="H17" i="36"/>
  <c r="H19" i="36"/>
  <c r="H21" i="36"/>
  <c r="H23" i="36"/>
  <c r="H25" i="36"/>
  <c r="H27" i="36"/>
  <c r="H29" i="36"/>
  <c r="H31" i="36"/>
  <c r="H33" i="36"/>
  <c r="H35" i="36"/>
  <c r="H37" i="36"/>
  <c r="H39" i="36"/>
  <c r="H41" i="36"/>
  <c r="H43" i="36"/>
  <c r="H45" i="36"/>
  <c r="H47" i="36"/>
  <c r="H49" i="36"/>
  <c r="H51" i="36"/>
  <c r="H53" i="36"/>
  <c r="H55" i="36"/>
  <c r="H57" i="36"/>
  <c r="H59" i="36"/>
  <c r="H61" i="36"/>
  <c r="H63" i="36"/>
  <c r="H65" i="36"/>
  <c r="H67" i="36"/>
  <c r="H69" i="36"/>
  <c r="H71" i="36"/>
  <c r="H73" i="36"/>
  <c r="H75" i="36"/>
  <c r="H77" i="36"/>
  <c r="H79" i="36"/>
  <c r="H81" i="36"/>
  <c r="H83" i="36"/>
  <c r="H85" i="36"/>
  <c r="H87" i="36"/>
  <c r="H89" i="36"/>
  <c r="H91" i="36"/>
  <c r="H93" i="36"/>
  <c r="H95" i="36"/>
  <c r="H97" i="36"/>
  <c r="H99" i="36"/>
  <c r="H101" i="36"/>
  <c r="H103" i="36"/>
  <c r="H105" i="36"/>
  <c r="H107" i="36"/>
  <c r="I7" i="36"/>
  <c r="I9" i="36"/>
  <c r="I11" i="36"/>
  <c r="I13" i="36"/>
  <c r="I15" i="36"/>
  <c r="I17" i="36"/>
  <c r="I19" i="36"/>
  <c r="I21" i="36"/>
  <c r="I23" i="36"/>
  <c r="I25" i="36"/>
  <c r="I27" i="36"/>
  <c r="I29" i="36"/>
  <c r="I31" i="36"/>
  <c r="I33" i="36"/>
  <c r="I35" i="36"/>
  <c r="I37" i="36"/>
  <c r="I39" i="36"/>
  <c r="I41" i="36"/>
  <c r="I43" i="36"/>
  <c r="I45" i="36"/>
  <c r="I47" i="36"/>
  <c r="I49" i="36"/>
  <c r="I51" i="36"/>
  <c r="I53" i="36"/>
  <c r="I55" i="36"/>
  <c r="I57" i="36"/>
  <c r="I59" i="36"/>
  <c r="I61" i="36"/>
  <c r="I63" i="36"/>
  <c r="I65" i="36"/>
  <c r="I67" i="36"/>
  <c r="I69" i="36"/>
  <c r="I71" i="36"/>
  <c r="I73" i="36"/>
  <c r="I75" i="36"/>
  <c r="I77" i="36"/>
  <c r="I79" i="36"/>
  <c r="I81" i="36"/>
  <c r="I83" i="36"/>
  <c r="I85" i="36"/>
  <c r="I87" i="36"/>
  <c r="I89" i="36"/>
  <c r="I91" i="36"/>
  <c r="I93" i="36"/>
  <c r="I95" i="36"/>
  <c r="I97" i="36"/>
  <c r="I99" i="36"/>
  <c r="I101" i="36"/>
  <c r="I103" i="36"/>
  <c r="I105" i="36"/>
  <c r="I107" i="36"/>
  <c r="F123" i="36"/>
  <c r="G124" i="36"/>
  <c r="C5" i="36"/>
  <c r="D141" i="36"/>
  <c r="F144" i="36"/>
  <c r="D142" i="36"/>
  <c r="A106" i="36"/>
  <c r="A100" i="36"/>
  <c r="A98" i="36"/>
  <c r="A96" i="36"/>
  <c r="A94" i="36"/>
  <c r="A92" i="36"/>
  <c r="A90" i="36"/>
  <c r="A88" i="36"/>
  <c r="A86" i="36"/>
  <c r="A84" i="36"/>
  <c r="A82" i="36"/>
  <c r="A80" i="36"/>
  <c r="A78" i="36"/>
  <c r="A76" i="36"/>
  <c r="A74" i="36"/>
  <c r="A72" i="36"/>
  <c r="A70" i="36"/>
  <c r="A68" i="36"/>
  <c r="A66" i="36"/>
  <c r="A64" i="36"/>
  <c r="A62" i="36"/>
  <c r="A60" i="36"/>
  <c r="A58" i="36"/>
  <c r="A56" i="36"/>
  <c r="A54" i="36"/>
  <c r="A52" i="36"/>
  <c r="A50" i="36"/>
  <c r="A48" i="36"/>
  <c r="A46" i="36"/>
  <c r="A44" i="36"/>
  <c r="A42" i="36"/>
  <c r="A40" i="36"/>
  <c r="A38" i="36"/>
  <c r="A36" i="36"/>
  <c r="A34" i="36"/>
  <c r="A32" i="36"/>
  <c r="A30" i="36"/>
  <c r="A28" i="36"/>
  <c r="A26" i="36"/>
  <c r="A24" i="36"/>
  <c r="A22" i="36"/>
  <c r="A20" i="36"/>
  <c r="A18" i="36"/>
  <c r="A16" i="36"/>
  <c r="A14" i="36"/>
  <c r="A12" i="36"/>
  <c r="A10" i="36"/>
  <c r="A8" i="36"/>
  <c r="A6" i="36"/>
  <c r="C3" i="36"/>
  <c r="H3" i="36"/>
  <c r="C7" i="35"/>
  <c r="C9" i="35"/>
  <c r="C11" i="35"/>
  <c r="C13" i="35"/>
  <c r="C15" i="35"/>
  <c r="C17" i="35"/>
  <c r="C19" i="35"/>
  <c r="C21" i="35"/>
  <c r="C23" i="35"/>
  <c r="C25" i="35"/>
  <c r="C27" i="35"/>
  <c r="C29" i="35"/>
  <c r="C31" i="35"/>
  <c r="C33" i="35"/>
  <c r="C35" i="35"/>
  <c r="C37" i="35"/>
  <c r="C39" i="35"/>
  <c r="C41" i="35"/>
  <c r="C43" i="35"/>
  <c r="C45" i="35"/>
  <c r="C47" i="35"/>
  <c r="C49" i="35"/>
  <c r="C51" i="35"/>
  <c r="C53" i="35"/>
  <c r="C55" i="35"/>
  <c r="C57" i="35"/>
  <c r="C59" i="35"/>
  <c r="C61" i="35"/>
  <c r="C63" i="35"/>
  <c r="C65" i="35"/>
  <c r="C67" i="35"/>
  <c r="C69" i="35"/>
  <c r="C71" i="35"/>
  <c r="C73" i="35"/>
  <c r="C75" i="35"/>
  <c r="C77" i="35"/>
  <c r="C79" i="35"/>
  <c r="C81" i="35"/>
  <c r="C83" i="35"/>
  <c r="C85" i="35"/>
  <c r="C87" i="35"/>
  <c r="C89" i="35"/>
  <c r="C91" i="35"/>
  <c r="C93" i="35"/>
  <c r="C95" i="35"/>
  <c r="C97" i="35"/>
  <c r="C99" i="35"/>
  <c r="C101" i="35"/>
  <c r="C103" i="35"/>
  <c r="C105" i="35"/>
  <c r="C107" i="35"/>
  <c r="D7" i="35"/>
  <c r="D9" i="35"/>
  <c r="D11" i="35"/>
  <c r="D13" i="35"/>
  <c r="D15" i="35"/>
  <c r="D17" i="35"/>
  <c r="D19" i="35"/>
  <c r="D21" i="35"/>
  <c r="D23" i="35"/>
  <c r="D25" i="35"/>
  <c r="D27" i="35"/>
  <c r="D29" i="35"/>
  <c r="D31" i="35"/>
  <c r="D33" i="35"/>
  <c r="D35" i="35"/>
  <c r="D37" i="35"/>
  <c r="D39" i="35"/>
  <c r="D41" i="35"/>
  <c r="D43" i="35"/>
  <c r="D45" i="35"/>
  <c r="D47" i="35"/>
  <c r="D49" i="35"/>
  <c r="D51" i="35"/>
  <c r="D53" i="35"/>
  <c r="D55" i="35"/>
  <c r="D57" i="35"/>
  <c r="D59" i="35"/>
  <c r="D61" i="35"/>
  <c r="D63" i="35"/>
  <c r="D65" i="35"/>
  <c r="D67" i="35"/>
  <c r="D69" i="35"/>
  <c r="D71" i="35"/>
  <c r="D73" i="35"/>
  <c r="D75" i="35"/>
  <c r="D77" i="35"/>
  <c r="D79" i="35"/>
  <c r="D81" i="35"/>
  <c r="D83" i="35"/>
  <c r="D85" i="35"/>
  <c r="D87" i="35"/>
  <c r="D89" i="35"/>
  <c r="D91" i="35"/>
  <c r="D93" i="35"/>
  <c r="D95" i="35"/>
  <c r="D97" i="35"/>
  <c r="D99" i="35"/>
  <c r="D101" i="35"/>
  <c r="D103" i="35"/>
  <c r="D105" i="35"/>
  <c r="D107" i="35"/>
  <c r="E21" i="35"/>
  <c r="E23" i="35"/>
  <c r="E25" i="35"/>
  <c r="E27" i="35"/>
  <c r="E29" i="35"/>
  <c r="E31" i="35"/>
  <c r="E33" i="35"/>
  <c r="E35" i="35"/>
  <c r="E37" i="35"/>
  <c r="E39" i="35"/>
  <c r="E41" i="35"/>
  <c r="E43" i="35"/>
  <c r="E45" i="35"/>
  <c r="E47" i="35"/>
  <c r="E49" i="35"/>
  <c r="E51" i="35"/>
  <c r="E53" i="35"/>
  <c r="E55" i="35"/>
  <c r="E57" i="35"/>
  <c r="E59" i="35"/>
  <c r="E61" i="35"/>
  <c r="E63" i="35"/>
  <c r="E65" i="35"/>
  <c r="E67" i="35"/>
  <c r="E69" i="35"/>
  <c r="E71" i="35"/>
  <c r="E73" i="35"/>
  <c r="E75" i="35"/>
  <c r="E77" i="35"/>
  <c r="E79" i="35"/>
  <c r="E81" i="35"/>
  <c r="E83" i="35"/>
  <c r="E85" i="35"/>
  <c r="E87" i="35"/>
  <c r="E89" i="35"/>
  <c r="E91" i="35"/>
  <c r="E93" i="35"/>
  <c r="E95" i="35"/>
  <c r="E97" i="35"/>
  <c r="E99" i="35"/>
  <c r="E101" i="35"/>
  <c r="E103" i="35"/>
  <c r="E105" i="35"/>
  <c r="E107" i="35"/>
  <c r="F7" i="35"/>
  <c r="F9" i="35"/>
  <c r="F11" i="35"/>
  <c r="F13" i="35"/>
  <c r="F15" i="35"/>
  <c r="F17" i="35"/>
  <c r="F19" i="35"/>
  <c r="F21" i="35"/>
  <c r="F23" i="35"/>
  <c r="F25" i="35"/>
  <c r="F27" i="35"/>
  <c r="F29" i="35"/>
  <c r="F31" i="35"/>
  <c r="F33" i="35"/>
  <c r="F35" i="35"/>
  <c r="F37" i="35"/>
  <c r="F39" i="35"/>
  <c r="F41" i="35"/>
  <c r="F43" i="35"/>
  <c r="F45" i="35"/>
  <c r="F47" i="35"/>
  <c r="F49" i="35"/>
  <c r="F51" i="35"/>
  <c r="F53" i="35"/>
  <c r="F55" i="35"/>
  <c r="F57" i="35"/>
  <c r="F59" i="35"/>
  <c r="F61" i="35"/>
  <c r="F63" i="35"/>
  <c r="F65" i="35"/>
  <c r="F67" i="35"/>
  <c r="F69" i="35"/>
  <c r="F71" i="35"/>
  <c r="F73" i="35"/>
  <c r="F75" i="35"/>
  <c r="F77" i="35"/>
  <c r="F79" i="35"/>
  <c r="F81" i="35"/>
  <c r="F83" i="35"/>
  <c r="F85" i="35"/>
  <c r="F87" i="35"/>
  <c r="F89" i="35"/>
  <c r="F91" i="35"/>
  <c r="F93" i="35"/>
  <c r="F95" i="35"/>
  <c r="F97" i="35"/>
  <c r="F99" i="35"/>
  <c r="F101" i="35"/>
  <c r="F103" i="35"/>
  <c r="F105" i="35"/>
  <c r="F107" i="35"/>
  <c r="G7" i="35"/>
  <c r="G9" i="35"/>
  <c r="G11" i="35"/>
  <c r="G13" i="35"/>
  <c r="G15" i="35"/>
  <c r="G17" i="35"/>
  <c r="G19" i="35"/>
  <c r="G21" i="35"/>
  <c r="G23" i="35"/>
  <c r="G25" i="35"/>
  <c r="G27" i="35"/>
  <c r="G29" i="35"/>
  <c r="G31" i="35"/>
  <c r="G33" i="35"/>
  <c r="G35" i="35"/>
  <c r="G37" i="35"/>
  <c r="G39" i="35"/>
  <c r="G41" i="35"/>
  <c r="G43" i="35"/>
  <c r="G45" i="35"/>
  <c r="G47" i="35"/>
  <c r="G49" i="35"/>
  <c r="G51" i="35"/>
  <c r="G53" i="35"/>
  <c r="G55" i="35"/>
  <c r="G57" i="35"/>
  <c r="G59" i="35"/>
  <c r="G61" i="35"/>
  <c r="G63" i="35"/>
  <c r="G65" i="35"/>
  <c r="G67" i="35"/>
  <c r="G69" i="35"/>
  <c r="G71" i="35"/>
  <c r="G73" i="35"/>
  <c r="G75" i="35"/>
  <c r="G77" i="35"/>
  <c r="G79" i="35"/>
  <c r="G81" i="35"/>
  <c r="G83" i="35"/>
  <c r="G85" i="35"/>
  <c r="G87" i="35"/>
  <c r="G89" i="35"/>
  <c r="G91" i="35"/>
  <c r="G93" i="35"/>
  <c r="G95" i="35"/>
  <c r="G97" i="35"/>
  <c r="G99" i="35"/>
  <c r="G101" i="35"/>
  <c r="G103" i="35"/>
  <c r="G105" i="35"/>
  <c r="G107" i="35"/>
  <c r="H7" i="35"/>
  <c r="H9" i="35"/>
  <c r="H11" i="35"/>
  <c r="H13" i="35"/>
  <c r="H15" i="35"/>
  <c r="H17" i="35"/>
  <c r="H19" i="35"/>
  <c r="H21" i="35"/>
  <c r="H23" i="35"/>
  <c r="H25" i="35"/>
  <c r="H27" i="35"/>
  <c r="H29" i="35"/>
  <c r="H31" i="35"/>
  <c r="H33" i="35"/>
  <c r="H35" i="35"/>
  <c r="H37" i="35"/>
  <c r="H39" i="35"/>
  <c r="H41" i="35"/>
  <c r="H43" i="35"/>
  <c r="H45" i="35"/>
  <c r="H47" i="35"/>
  <c r="H49" i="35"/>
  <c r="H51" i="35"/>
  <c r="H53" i="35"/>
  <c r="H55" i="35"/>
  <c r="H57" i="35"/>
  <c r="H59" i="35"/>
  <c r="H61" i="35"/>
  <c r="H63" i="35"/>
  <c r="H65" i="35"/>
  <c r="H67" i="35"/>
  <c r="H69" i="35"/>
  <c r="H71" i="35"/>
  <c r="H73" i="35"/>
  <c r="H75" i="35"/>
  <c r="H77" i="35"/>
  <c r="H79" i="35"/>
  <c r="H81" i="35"/>
  <c r="H83" i="35"/>
  <c r="H85" i="35"/>
  <c r="H87" i="35"/>
  <c r="H89" i="35"/>
  <c r="H91" i="35"/>
  <c r="H93" i="35"/>
  <c r="H95" i="35"/>
  <c r="H97" i="35"/>
  <c r="H99" i="35"/>
  <c r="H101" i="35"/>
  <c r="H103" i="35"/>
  <c r="H105" i="35"/>
  <c r="H107" i="35"/>
  <c r="I7" i="35"/>
  <c r="I9" i="35"/>
  <c r="I11" i="35"/>
  <c r="I13" i="35"/>
  <c r="I15" i="35"/>
  <c r="I17" i="35"/>
  <c r="I19" i="35"/>
  <c r="I21" i="35"/>
  <c r="I23" i="35"/>
  <c r="I25" i="35"/>
  <c r="I27" i="35"/>
  <c r="I29" i="35"/>
  <c r="I31" i="35"/>
  <c r="I33" i="35"/>
  <c r="I35" i="35"/>
  <c r="I37" i="35"/>
  <c r="I39" i="35"/>
  <c r="I41" i="35"/>
  <c r="I43" i="35"/>
  <c r="I45" i="35"/>
  <c r="I47" i="35"/>
  <c r="I49" i="35"/>
  <c r="I51" i="35"/>
  <c r="I53" i="35"/>
  <c r="I55" i="35"/>
  <c r="I57" i="35"/>
  <c r="I59" i="35"/>
  <c r="I61" i="35"/>
  <c r="I63" i="35"/>
  <c r="I65" i="35"/>
  <c r="I67" i="35"/>
  <c r="I69" i="35"/>
  <c r="I71" i="35"/>
  <c r="I73" i="35"/>
  <c r="I75" i="35"/>
  <c r="I77" i="35"/>
  <c r="I79" i="35"/>
  <c r="I81" i="35"/>
  <c r="I83" i="35"/>
  <c r="I85" i="35"/>
  <c r="I87" i="35"/>
  <c r="I89" i="35"/>
  <c r="I91" i="35"/>
  <c r="I93" i="35"/>
  <c r="I95" i="35"/>
  <c r="I97" i="35"/>
  <c r="I99" i="35"/>
  <c r="I101" i="35"/>
  <c r="I103" i="35"/>
  <c r="I105" i="35"/>
  <c r="I107" i="35"/>
  <c r="C5" i="35"/>
  <c r="A106" i="35"/>
  <c r="A100" i="35"/>
  <c r="A98" i="35"/>
  <c r="A96" i="35"/>
  <c r="A94" i="35"/>
  <c r="A92" i="35"/>
  <c r="A90" i="35"/>
  <c r="A88" i="35"/>
  <c r="A86" i="35"/>
  <c r="A84" i="35"/>
  <c r="A82" i="35"/>
  <c r="A80" i="35"/>
  <c r="A78" i="35"/>
  <c r="A76" i="35"/>
  <c r="A74" i="35"/>
  <c r="A72" i="35"/>
  <c r="A70" i="35"/>
  <c r="A68" i="35"/>
  <c r="A66" i="35"/>
  <c r="A64" i="35"/>
  <c r="A62" i="35"/>
  <c r="A60" i="35"/>
  <c r="A58" i="35"/>
  <c r="A56" i="35"/>
  <c r="A54" i="35"/>
  <c r="A52" i="35"/>
  <c r="A50" i="35"/>
  <c r="A48" i="35"/>
  <c r="A46" i="35"/>
  <c r="A44" i="35"/>
  <c r="A42" i="35"/>
  <c r="A40" i="35"/>
  <c r="A38" i="35"/>
  <c r="A36" i="35"/>
  <c r="A34" i="35"/>
  <c r="A32" i="35"/>
  <c r="A30" i="35"/>
  <c r="A28" i="35"/>
  <c r="A26" i="35"/>
  <c r="A24" i="35"/>
  <c r="A22" i="35"/>
  <c r="A20" i="35"/>
  <c r="A18" i="35"/>
  <c r="A16" i="35"/>
  <c r="A14" i="35"/>
  <c r="A12" i="35"/>
  <c r="A10" i="35"/>
  <c r="A8" i="35"/>
  <c r="A6" i="35"/>
  <c r="C3" i="35"/>
  <c r="H3" i="35"/>
  <c r="C7" i="34"/>
  <c r="C9" i="34"/>
  <c r="C11" i="34"/>
  <c r="C13" i="34"/>
  <c r="C15" i="34"/>
  <c r="C17" i="34"/>
  <c r="C19" i="34"/>
  <c r="C21" i="34"/>
  <c r="C23" i="34"/>
  <c r="C25" i="34"/>
  <c r="C27" i="34"/>
  <c r="C29" i="34"/>
  <c r="C31" i="34"/>
  <c r="C33" i="34"/>
  <c r="C35" i="34"/>
  <c r="C37" i="34"/>
  <c r="C39" i="34"/>
  <c r="C41" i="34"/>
  <c r="C43" i="34"/>
  <c r="C45" i="34"/>
  <c r="C47" i="34"/>
  <c r="C49" i="34"/>
  <c r="C51" i="34"/>
  <c r="C53" i="34"/>
  <c r="C55" i="34"/>
  <c r="C57" i="34"/>
  <c r="C59" i="34"/>
  <c r="C61" i="34"/>
  <c r="C63" i="34"/>
  <c r="C65" i="34"/>
  <c r="C67" i="34"/>
  <c r="C69" i="34"/>
  <c r="C71" i="34"/>
  <c r="C73" i="34"/>
  <c r="C75" i="34"/>
  <c r="C77" i="34"/>
  <c r="C79" i="34"/>
  <c r="C81" i="34"/>
  <c r="C83" i="34"/>
  <c r="C85" i="34"/>
  <c r="C87" i="34"/>
  <c r="C89" i="34"/>
  <c r="C91" i="34"/>
  <c r="C93" i="34"/>
  <c r="C95" i="34"/>
  <c r="C97" i="34"/>
  <c r="C99" i="34"/>
  <c r="C101" i="34"/>
  <c r="C103" i="34"/>
  <c r="D7" i="34"/>
  <c r="D9" i="34"/>
  <c r="D11" i="34"/>
  <c r="D13" i="34"/>
  <c r="D15" i="34"/>
  <c r="D17" i="34"/>
  <c r="D19" i="34"/>
  <c r="D21" i="34"/>
  <c r="D23" i="34"/>
  <c r="D25" i="34"/>
  <c r="D27" i="34"/>
  <c r="D29" i="34"/>
  <c r="D31" i="34"/>
  <c r="D33" i="34"/>
  <c r="D35" i="34"/>
  <c r="D37" i="34"/>
  <c r="D39" i="34"/>
  <c r="D41" i="34"/>
  <c r="D43" i="34"/>
  <c r="D45" i="34"/>
  <c r="D47" i="34"/>
  <c r="D49" i="34"/>
  <c r="D51" i="34"/>
  <c r="D53" i="34"/>
  <c r="D55" i="34"/>
  <c r="D57" i="34"/>
  <c r="D59" i="34"/>
  <c r="D61" i="34"/>
  <c r="D63" i="34"/>
  <c r="D65" i="34"/>
  <c r="D67" i="34"/>
  <c r="D69" i="34"/>
  <c r="D71" i="34"/>
  <c r="D73" i="34"/>
  <c r="D75" i="34"/>
  <c r="D77" i="34"/>
  <c r="D79" i="34"/>
  <c r="D81" i="34"/>
  <c r="D83" i="34"/>
  <c r="D85" i="34"/>
  <c r="D87" i="34"/>
  <c r="D89" i="34"/>
  <c r="D91" i="34"/>
  <c r="D93" i="34"/>
  <c r="D95" i="34"/>
  <c r="D97" i="34"/>
  <c r="D99" i="34"/>
  <c r="D101" i="34"/>
  <c r="D103" i="34"/>
  <c r="D129" i="34"/>
  <c r="E7" i="34"/>
  <c r="E9" i="34"/>
  <c r="E11" i="34"/>
  <c r="E13" i="34"/>
  <c r="E15" i="34"/>
  <c r="E17" i="34"/>
  <c r="E19" i="34"/>
  <c r="E21" i="34"/>
  <c r="E23" i="34"/>
  <c r="E25" i="34"/>
  <c r="E27" i="34"/>
  <c r="E29" i="34"/>
  <c r="E31" i="34"/>
  <c r="E33" i="34"/>
  <c r="E35" i="34"/>
  <c r="E37" i="34"/>
  <c r="E39" i="34"/>
  <c r="E41" i="34"/>
  <c r="E43" i="34"/>
  <c r="E45" i="34"/>
  <c r="E47" i="34"/>
  <c r="E49" i="34"/>
  <c r="E51" i="34"/>
  <c r="E53" i="34"/>
  <c r="E55" i="34"/>
  <c r="E57" i="34"/>
  <c r="E59" i="34"/>
  <c r="E61" i="34"/>
  <c r="E63" i="34"/>
  <c r="E65" i="34"/>
  <c r="E67" i="34"/>
  <c r="E69" i="34"/>
  <c r="E71" i="34"/>
  <c r="E73" i="34"/>
  <c r="E75" i="34"/>
  <c r="E77" i="34"/>
  <c r="E79" i="34"/>
  <c r="E81" i="34"/>
  <c r="E83" i="34"/>
  <c r="E85" i="34"/>
  <c r="E87" i="34"/>
  <c r="E89" i="34"/>
  <c r="E91" i="34"/>
  <c r="E93" i="34"/>
  <c r="E95" i="34"/>
  <c r="E97" i="34"/>
  <c r="E99" i="34"/>
  <c r="E101" i="34"/>
  <c r="E103" i="34"/>
  <c r="F7" i="34"/>
  <c r="F9" i="34"/>
  <c r="F11" i="34"/>
  <c r="F13" i="34"/>
  <c r="F15" i="34"/>
  <c r="F17" i="34"/>
  <c r="F19" i="34"/>
  <c r="F21" i="34"/>
  <c r="F23" i="34"/>
  <c r="F25" i="34"/>
  <c r="F27" i="34"/>
  <c r="F29" i="34"/>
  <c r="F31" i="34"/>
  <c r="F33" i="34"/>
  <c r="F35" i="34"/>
  <c r="F37" i="34"/>
  <c r="F39" i="34"/>
  <c r="F41" i="34"/>
  <c r="F43" i="34"/>
  <c r="F45" i="34"/>
  <c r="F47" i="34"/>
  <c r="F49" i="34"/>
  <c r="F51" i="34"/>
  <c r="F53" i="34"/>
  <c r="F55" i="34"/>
  <c r="F57" i="34"/>
  <c r="F59" i="34"/>
  <c r="F61" i="34"/>
  <c r="F63" i="34"/>
  <c r="F65" i="34"/>
  <c r="F67" i="34"/>
  <c r="F69" i="34"/>
  <c r="F71" i="34"/>
  <c r="F73" i="34"/>
  <c r="F75" i="34"/>
  <c r="F77" i="34"/>
  <c r="F79" i="34"/>
  <c r="F81" i="34"/>
  <c r="F83" i="34"/>
  <c r="F85" i="34"/>
  <c r="F87" i="34"/>
  <c r="F89" i="34"/>
  <c r="F91" i="34"/>
  <c r="F93" i="34"/>
  <c r="F95" i="34"/>
  <c r="F97" i="34"/>
  <c r="F99" i="34"/>
  <c r="F101" i="34"/>
  <c r="F103" i="34"/>
  <c r="G7" i="34"/>
  <c r="G9" i="34"/>
  <c r="G11" i="34"/>
  <c r="G13" i="34"/>
  <c r="G15" i="34"/>
  <c r="G17" i="34"/>
  <c r="G19" i="34"/>
  <c r="G21" i="34"/>
  <c r="G23" i="34"/>
  <c r="G25" i="34"/>
  <c r="G27" i="34"/>
  <c r="G29" i="34"/>
  <c r="G31" i="34"/>
  <c r="G33" i="34"/>
  <c r="G35" i="34"/>
  <c r="G37" i="34"/>
  <c r="G39" i="34"/>
  <c r="G41" i="34"/>
  <c r="G43" i="34"/>
  <c r="G45" i="34"/>
  <c r="G47" i="34"/>
  <c r="G49" i="34"/>
  <c r="G51" i="34"/>
  <c r="G53" i="34"/>
  <c r="G55" i="34"/>
  <c r="G57" i="34"/>
  <c r="G59" i="34"/>
  <c r="G61" i="34"/>
  <c r="G63" i="34"/>
  <c r="G65" i="34"/>
  <c r="G67" i="34"/>
  <c r="G69" i="34"/>
  <c r="G71" i="34"/>
  <c r="G73" i="34"/>
  <c r="G75" i="34"/>
  <c r="G77" i="34"/>
  <c r="G79" i="34"/>
  <c r="G81" i="34"/>
  <c r="G83" i="34"/>
  <c r="G85" i="34"/>
  <c r="G87" i="34"/>
  <c r="G89" i="34"/>
  <c r="G91" i="34"/>
  <c r="G93" i="34"/>
  <c r="G95" i="34"/>
  <c r="G97" i="34"/>
  <c r="G99" i="34"/>
  <c r="G101" i="34"/>
  <c r="G103" i="34"/>
  <c r="H7" i="34"/>
  <c r="H9" i="34"/>
  <c r="H11" i="34"/>
  <c r="H13" i="34"/>
  <c r="H15" i="34"/>
  <c r="H17" i="34"/>
  <c r="H19" i="34"/>
  <c r="H21" i="34"/>
  <c r="H23" i="34"/>
  <c r="H25" i="34"/>
  <c r="H27" i="34"/>
  <c r="H29" i="34"/>
  <c r="H31" i="34"/>
  <c r="H33" i="34"/>
  <c r="H35" i="34"/>
  <c r="H37" i="34"/>
  <c r="H39" i="34"/>
  <c r="H41" i="34"/>
  <c r="H43" i="34"/>
  <c r="H45" i="34"/>
  <c r="H47" i="34"/>
  <c r="H49" i="34"/>
  <c r="H51" i="34"/>
  <c r="H53" i="34"/>
  <c r="H55" i="34"/>
  <c r="H57" i="34"/>
  <c r="H59" i="34"/>
  <c r="H61" i="34"/>
  <c r="H63" i="34"/>
  <c r="H65" i="34"/>
  <c r="H67" i="34"/>
  <c r="H69" i="34"/>
  <c r="H71" i="34"/>
  <c r="H73" i="34"/>
  <c r="H75" i="34"/>
  <c r="H77" i="34"/>
  <c r="H79" i="34"/>
  <c r="H81" i="34"/>
  <c r="H83" i="34"/>
  <c r="H85" i="34"/>
  <c r="H87" i="34"/>
  <c r="H89" i="34"/>
  <c r="H91" i="34"/>
  <c r="H93" i="34"/>
  <c r="H95" i="34"/>
  <c r="H97" i="34"/>
  <c r="H99" i="34"/>
  <c r="H101" i="34"/>
  <c r="H103" i="34"/>
  <c r="I7" i="34"/>
  <c r="I9" i="34"/>
  <c r="I11" i="34"/>
  <c r="I13" i="34"/>
  <c r="I15" i="34"/>
  <c r="I17" i="34"/>
  <c r="I19" i="34"/>
  <c r="I21" i="34"/>
  <c r="I23" i="34"/>
  <c r="I25" i="34"/>
  <c r="I27" i="34"/>
  <c r="I29" i="34"/>
  <c r="I31" i="34"/>
  <c r="I33" i="34"/>
  <c r="I35" i="34"/>
  <c r="I37" i="34"/>
  <c r="I39" i="34"/>
  <c r="I41" i="34"/>
  <c r="I43" i="34"/>
  <c r="I45" i="34"/>
  <c r="I47" i="34"/>
  <c r="I49" i="34"/>
  <c r="I51" i="34"/>
  <c r="I53" i="34"/>
  <c r="I55" i="34"/>
  <c r="I57" i="34"/>
  <c r="I59" i="34"/>
  <c r="I61" i="34"/>
  <c r="I63" i="34"/>
  <c r="I65" i="34"/>
  <c r="I67" i="34"/>
  <c r="I69" i="34"/>
  <c r="I71" i="34"/>
  <c r="I73" i="34"/>
  <c r="I75" i="34"/>
  <c r="I77" i="34"/>
  <c r="I79" i="34"/>
  <c r="I81" i="34"/>
  <c r="I83" i="34"/>
  <c r="I85" i="34"/>
  <c r="I87" i="34"/>
  <c r="I89" i="34"/>
  <c r="I91" i="34"/>
  <c r="I93" i="34"/>
  <c r="I95" i="34"/>
  <c r="I97" i="34"/>
  <c r="I99" i="34"/>
  <c r="I101" i="34"/>
  <c r="I103" i="34"/>
  <c r="I131" i="34"/>
  <c r="C7" i="32"/>
  <c r="C9" i="32"/>
  <c r="C11" i="32"/>
  <c r="C13" i="32"/>
  <c r="C15" i="32"/>
  <c r="C17" i="32"/>
  <c r="C19" i="32"/>
  <c r="C21" i="32"/>
  <c r="C23" i="32"/>
  <c r="C25" i="32"/>
  <c r="C27" i="32"/>
  <c r="C29" i="32"/>
  <c r="C31" i="32"/>
  <c r="C35" i="32"/>
  <c r="C37" i="32"/>
  <c r="C39" i="32"/>
  <c r="C41" i="32"/>
  <c r="C43" i="32"/>
  <c r="C45" i="32"/>
  <c r="C47" i="32"/>
  <c r="C49" i="32"/>
  <c r="C51" i="32"/>
  <c r="C53" i="32"/>
  <c r="C55" i="32"/>
  <c r="C57" i="32"/>
  <c r="C59" i="32"/>
  <c r="C61" i="32"/>
  <c r="C63" i="32"/>
  <c r="C65" i="32"/>
  <c r="C67" i="32"/>
  <c r="C69" i="32"/>
  <c r="C71" i="32"/>
  <c r="C73" i="32"/>
  <c r="C75" i="32"/>
  <c r="C77" i="32"/>
  <c r="C79" i="32"/>
  <c r="C81" i="32"/>
  <c r="C83" i="32"/>
  <c r="C85" i="32"/>
  <c r="C87" i="32"/>
  <c r="C89" i="32"/>
  <c r="C91" i="32"/>
  <c r="C93" i="32"/>
  <c r="C95" i="32"/>
  <c r="C97" i="32"/>
  <c r="C99" i="32"/>
  <c r="C101" i="32"/>
  <c r="C103" i="32"/>
  <c r="C107" i="32"/>
  <c r="D7" i="32"/>
  <c r="D9" i="32"/>
  <c r="D11" i="32"/>
  <c r="D13" i="32"/>
  <c r="D15" i="32"/>
  <c r="D17" i="32"/>
  <c r="D19" i="32"/>
  <c r="D21" i="32"/>
  <c r="D23" i="32"/>
  <c r="D25" i="32"/>
  <c r="D27" i="32"/>
  <c r="D29" i="32"/>
  <c r="D31" i="32"/>
  <c r="D33" i="32"/>
  <c r="D35" i="32"/>
  <c r="D37" i="32"/>
  <c r="D39" i="32"/>
  <c r="D41" i="32"/>
  <c r="D43" i="32"/>
  <c r="D45" i="32"/>
  <c r="D47" i="32"/>
  <c r="D49" i="32"/>
  <c r="D51" i="32"/>
  <c r="D53" i="32"/>
  <c r="D55" i="32"/>
  <c r="D57" i="32"/>
  <c r="D59" i="32"/>
  <c r="D61" i="32"/>
  <c r="D63" i="32"/>
  <c r="D65" i="32"/>
  <c r="D67" i="32"/>
  <c r="D69" i="32"/>
  <c r="D71" i="32"/>
  <c r="D73" i="32"/>
  <c r="D75" i="32"/>
  <c r="D77" i="32"/>
  <c r="D79" i="32"/>
  <c r="D81" i="32"/>
  <c r="D83" i="32"/>
  <c r="D85" i="32"/>
  <c r="D87" i="32"/>
  <c r="D89" i="32"/>
  <c r="D91" i="32"/>
  <c r="D93" i="32"/>
  <c r="D95" i="32"/>
  <c r="D97" i="32"/>
  <c r="D99" i="32"/>
  <c r="D101" i="32"/>
  <c r="D103" i="32"/>
  <c r="D135" i="32"/>
  <c r="D120" i="32"/>
  <c r="E7" i="32"/>
  <c r="E9" i="32"/>
  <c r="E11" i="32"/>
  <c r="E13" i="32"/>
  <c r="E15" i="32"/>
  <c r="E17" i="32"/>
  <c r="E19" i="32"/>
  <c r="E21" i="32"/>
  <c r="E23" i="32"/>
  <c r="E25" i="32"/>
  <c r="E27" i="32"/>
  <c r="E29" i="32"/>
  <c r="E31" i="32"/>
  <c r="E33" i="32"/>
  <c r="E35" i="32"/>
  <c r="E37" i="32"/>
  <c r="E41" i="32"/>
  <c r="E43" i="32"/>
  <c r="E45" i="32"/>
  <c r="E47" i="32"/>
  <c r="E49" i="32"/>
  <c r="E51" i="32"/>
  <c r="E53" i="32"/>
  <c r="E55" i="32"/>
  <c r="E57" i="32"/>
  <c r="E59" i="32"/>
  <c r="E61" i="32"/>
  <c r="E63" i="32"/>
  <c r="E65" i="32"/>
  <c r="E67" i="32"/>
  <c r="E69" i="32"/>
  <c r="E71" i="32"/>
  <c r="E73" i="32"/>
  <c r="E75" i="32"/>
  <c r="E77" i="32"/>
  <c r="E79" i="32"/>
  <c r="E81" i="32"/>
  <c r="E83" i="32"/>
  <c r="E87" i="32"/>
  <c r="E89" i="32"/>
  <c r="E91" i="32"/>
  <c r="E93" i="32"/>
  <c r="E95" i="32"/>
  <c r="E97" i="32"/>
  <c r="E99" i="32"/>
  <c r="E101" i="32"/>
  <c r="E103" i="32"/>
  <c r="E129" i="32"/>
  <c r="F7" i="32"/>
  <c r="F9" i="32"/>
  <c r="F11" i="32"/>
  <c r="F13" i="32"/>
  <c r="F15" i="32"/>
  <c r="F17" i="32"/>
  <c r="F19" i="32"/>
  <c r="F21" i="32"/>
  <c r="F23" i="32"/>
  <c r="F25" i="32"/>
  <c r="F27" i="32"/>
  <c r="F29" i="32"/>
  <c r="F31" i="32"/>
  <c r="F33" i="32"/>
  <c r="F35" i="32"/>
  <c r="F37" i="32"/>
  <c r="F39" i="32"/>
  <c r="F41" i="32"/>
  <c r="F43" i="32"/>
  <c r="F45" i="32"/>
  <c r="F47" i="32"/>
  <c r="F49" i="32"/>
  <c r="F51" i="32"/>
  <c r="F53" i="32"/>
  <c r="F55" i="32"/>
  <c r="F57" i="32"/>
  <c r="F59" i="32"/>
  <c r="F61" i="32"/>
  <c r="F63" i="32"/>
  <c r="F65" i="32"/>
  <c r="F67" i="32"/>
  <c r="F69" i="32"/>
  <c r="F71" i="32"/>
  <c r="F73" i="32"/>
  <c r="F75" i="32"/>
  <c r="F77" i="32"/>
  <c r="F79" i="32"/>
  <c r="F81" i="32"/>
  <c r="F83" i="32"/>
  <c r="F87" i="32"/>
  <c r="F89" i="32"/>
  <c r="F91" i="32"/>
  <c r="F93" i="32"/>
  <c r="F95" i="32"/>
  <c r="F97" i="32"/>
  <c r="F99" i="32"/>
  <c r="F101" i="32"/>
  <c r="F103" i="32"/>
  <c r="G7" i="32"/>
  <c r="G9" i="32"/>
  <c r="G11" i="32"/>
  <c r="G13" i="32"/>
  <c r="G15" i="32"/>
  <c r="G17" i="32"/>
  <c r="G19" i="32"/>
  <c r="G21" i="32"/>
  <c r="G23" i="32"/>
  <c r="G25" i="32"/>
  <c r="G27" i="32"/>
  <c r="G29" i="32"/>
  <c r="G31" i="32"/>
  <c r="G33" i="32"/>
  <c r="G35" i="32"/>
  <c r="G37" i="32"/>
  <c r="G39" i="32"/>
  <c r="G41" i="32"/>
  <c r="G43" i="32"/>
  <c r="G45" i="32"/>
  <c r="G47" i="32"/>
  <c r="G49" i="32"/>
  <c r="G51" i="32"/>
  <c r="G53" i="32"/>
  <c r="G55" i="32"/>
  <c r="G57" i="32"/>
  <c r="G59" i="32"/>
  <c r="G61" i="32"/>
  <c r="G63" i="32"/>
  <c r="G65" i="32"/>
  <c r="G67" i="32"/>
  <c r="G69" i="32"/>
  <c r="G71" i="32"/>
  <c r="G73" i="32"/>
  <c r="G75" i="32"/>
  <c r="G77" i="32"/>
  <c r="G79" i="32"/>
  <c r="G81" i="32"/>
  <c r="G83" i="32"/>
  <c r="G87" i="32"/>
  <c r="G89" i="32"/>
  <c r="G91" i="32"/>
  <c r="G93" i="32"/>
  <c r="G95" i="32"/>
  <c r="G97" i="32"/>
  <c r="G99" i="32"/>
  <c r="G101" i="32"/>
  <c r="G103" i="32"/>
  <c r="H7" i="32"/>
  <c r="H9" i="32"/>
  <c r="H11" i="32"/>
  <c r="H13" i="32"/>
  <c r="H15" i="32"/>
  <c r="H17" i="32"/>
  <c r="H19" i="32"/>
  <c r="H21" i="32"/>
  <c r="H23" i="32"/>
  <c r="H25" i="32"/>
  <c r="H27" i="32"/>
  <c r="H29" i="32"/>
  <c r="H31" i="32"/>
  <c r="H33" i="32"/>
  <c r="H35" i="32"/>
  <c r="H37" i="32"/>
  <c r="H39" i="32"/>
  <c r="H41" i="32"/>
  <c r="H43" i="32"/>
  <c r="H45" i="32"/>
  <c r="H47" i="32"/>
  <c r="H49" i="32"/>
  <c r="H51" i="32"/>
  <c r="H53" i="32"/>
  <c r="H55" i="32"/>
  <c r="H57" i="32"/>
  <c r="H59" i="32"/>
  <c r="H61" i="32"/>
  <c r="H63" i="32"/>
  <c r="H65" i="32"/>
  <c r="H67" i="32"/>
  <c r="H69" i="32"/>
  <c r="H71" i="32"/>
  <c r="H73" i="32"/>
  <c r="H75" i="32"/>
  <c r="H77" i="32"/>
  <c r="H79" i="32"/>
  <c r="H81" i="32"/>
  <c r="H83" i="32"/>
  <c r="H85" i="32"/>
  <c r="H87" i="32"/>
  <c r="H89" i="32"/>
  <c r="H93" i="32"/>
  <c r="H95" i="32"/>
  <c r="H97" i="32"/>
  <c r="H99" i="32"/>
  <c r="H101" i="32"/>
  <c r="H103" i="32"/>
  <c r="H126" i="32"/>
  <c r="I7" i="32"/>
  <c r="I9" i="32"/>
  <c r="I11" i="32"/>
  <c r="I13" i="32"/>
  <c r="I15" i="32"/>
  <c r="I17" i="32"/>
  <c r="I19" i="32"/>
  <c r="I21" i="32"/>
  <c r="I23" i="32"/>
  <c r="I25" i="32"/>
  <c r="I27" i="32"/>
  <c r="I29" i="32"/>
  <c r="I31" i="32"/>
  <c r="I33" i="32"/>
  <c r="I35" i="32"/>
  <c r="I37" i="32"/>
  <c r="I39" i="32"/>
  <c r="I41" i="32"/>
  <c r="I43" i="32"/>
  <c r="I45" i="32"/>
  <c r="I47" i="32"/>
  <c r="I49" i="32"/>
  <c r="I51" i="32"/>
  <c r="I53" i="32"/>
  <c r="I55" i="32"/>
  <c r="I57" i="32"/>
  <c r="I59" i="32"/>
  <c r="I61" i="32"/>
  <c r="I63" i="32"/>
  <c r="I65" i="32"/>
  <c r="I67" i="32"/>
  <c r="I69" i="32"/>
  <c r="I71" i="32"/>
  <c r="I73" i="32"/>
  <c r="I75" i="32"/>
  <c r="I77" i="32"/>
  <c r="I79" i="32"/>
  <c r="I81" i="32"/>
  <c r="I83" i="32"/>
  <c r="I85" i="32"/>
  <c r="I87" i="32"/>
  <c r="I89" i="32"/>
  <c r="I91" i="32"/>
  <c r="I93" i="32"/>
  <c r="I95" i="32"/>
  <c r="I97" i="32"/>
  <c r="I99" i="32"/>
  <c r="I101" i="32"/>
  <c r="I103" i="32"/>
  <c r="I122" i="32"/>
  <c r="C5" i="34"/>
  <c r="D5" i="34"/>
  <c r="E5" i="34"/>
  <c r="F5" i="34"/>
  <c r="A102" i="34"/>
  <c r="A96" i="34"/>
  <c r="A94" i="34"/>
  <c r="A92" i="34"/>
  <c r="A90" i="34"/>
  <c r="A88" i="34"/>
  <c r="A86" i="34"/>
  <c r="A84" i="34"/>
  <c r="A82" i="34"/>
  <c r="A80" i="34"/>
  <c r="A78" i="34"/>
  <c r="A76" i="34"/>
  <c r="A74" i="34"/>
  <c r="A72" i="34"/>
  <c r="A70" i="34"/>
  <c r="A68" i="34"/>
  <c r="A66" i="34"/>
  <c r="A64" i="34"/>
  <c r="A62" i="34"/>
  <c r="A60" i="34"/>
  <c r="A58" i="34"/>
  <c r="A56" i="34"/>
  <c r="A54" i="34"/>
  <c r="A52" i="34"/>
  <c r="A50" i="34"/>
  <c r="A48" i="34"/>
  <c r="A46" i="34"/>
  <c r="A44" i="34"/>
  <c r="A42" i="34"/>
  <c r="A40" i="34"/>
  <c r="A38" i="34"/>
  <c r="A36" i="34"/>
  <c r="A34" i="34"/>
  <c r="A32" i="34"/>
  <c r="A30" i="34"/>
  <c r="A28" i="34"/>
  <c r="A26" i="34"/>
  <c r="A24" i="34"/>
  <c r="A22" i="34"/>
  <c r="A20" i="34"/>
  <c r="A18" i="34"/>
  <c r="A16" i="34"/>
  <c r="A14" i="34"/>
  <c r="A12" i="34"/>
  <c r="A10" i="34"/>
  <c r="A8" i="34"/>
  <c r="A6" i="34"/>
  <c r="G5" i="34"/>
  <c r="H5" i="34"/>
  <c r="I5" i="34"/>
  <c r="C3" i="34"/>
  <c r="H3" i="34"/>
  <c r="C7" i="33"/>
  <c r="C9" i="33"/>
  <c r="C11" i="33"/>
  <c r="C13" i="33"/>
  <c r="C15" i="33"/>
  <c r="C17" i="33"/>
  <c r="C19" i="33"/>
  <c r="C21" i="33"/>
  <c r="C23" i="33"/>
  <c r="C25" i="33"/>
  <c r="C27" i="33"/>
  <c r="C29" i="33"/>
  <c r="C31" i="33"/>
  <c r="C33" i="33"/>
  <c r="C35" i="33"/>
  <c r="C37" i="33"/>
  <c r="C39" i="33"/>
  <c r="C41" i="33"/>
  <c r="C43" i="33"/>
  <c r="C45" i="33"/>
  <c r="C47" i="33"/>
  <c r="C49" i="33"/>
  <c r="C51" i="33"/>
  <c r="C53" i="33"/>
  <c r="C55" i="33"/>
  <c r="C57" i="33"/>
  <c r="C59" i="33"/>
  <c r="C61" i="33"/>
  <c r="C63" i="33"/>
  <c r="C65" i="33"/>
  <c r="C67" i="33"/>
  <c r="C69" i="33"/>
  <c r="C71" i="33"/>
  <c r="C73" i="33"/>
  <c r="C75" i="33"/>
  <c r="C77" i="33"/>
  <c r="C79" i="33"/>
  <c r="C81" i="33"/>
  <c r="C83" i="33"/>
  <c r="C85" i="33"/>
  <c r="C87" i="33"/>
  <c r="C89" i="33"/>
  <c r="C91" i="33"/>
  <c r="C93" i="33"/>
  <c r="C95" i="33"/>
  <c r="C97" i="33"/>
  <c r="C99" i="33"/>
  <c r="C101" i="33"/>
  <c r="C103" i="33"/>
  <c r="C105" i="33"/>
  <c r="C107" i="33"/>
  <c r="D7" i="33"/>
  <c r="D9" i="33"/>
  <c r="D11" i="33"/>
  <c r="D13" i="33"/>
  <c r="D15" i="33"/>
  <c r="D17" i="33"/>
  <c r="D19" i="33"/>
  <c r="D21" i="33"/>
  <c r="D23" i="33"/>
  <c r="D25" i="33"/>
  <c r="D27" i="33"/>
  <c r="D29" i="33"/>
  <c r="D31" i="33"/>
  <c r="D33" i="33"/>
  <c r="D35" i="33"/>
  <c r="D37" i="33"/>
  <c r="D39" i="33"/>
  <c r="D41" i="33"/>
  <c r="D43" i="33"/>
  <c r="D45" i="33"/>
  <c r="D47" i="33"/>
  <c r="D49" i="33"/>
  <c r="D51" i="33"/>
  <c r="D53" i="33"/>
  <c r="D55" i="33"/>
  <c r="D57" i="33"/>
  <c r="D59" i="33"/>
  <c r="D61" i="33"/>
  <c r="D63" i="33"/>
  <c r="D65" i="33"/>
  <c r="D67" i="33"/>
  <c r="D69" i="33"/>
  <c r="D71" i="33"/>
  <c r="D73" i="33"/>
  <c r="D75" i="33"/>
  <c r="D77" i="33"/>
  <c r="D79" i="33"/>
  <c r="D81" i="33"/>
  <c r="D83" i="33"/>
  <c r="D85" i="33"/>
  <c r="D87" i="33"/>
  <c r="D89" i="33"/>
  <c r="D91" i="33"/>
  <c r="D93" i="33"/>
  <c r="D95" i="33"/>
  <c r="D97" i="33"/>
  <c r="D99" i="33"/>
  <c r="D101" i="33"/>
  <c r="D103" i="33"/>
  <c r="D105" i="33"/>
  <c r="D107" i="33"/>
  <c r="E7" i="33"/>
  <c r="E9" i="33"/>
  <c r="E11" i="33"/>
  <c r="E13" i="33"/>
  <c r="E15" i="33"/>
  <c r="E17" i="33"/>
  <c r="E19" i="33"/>
  <c r="E21" i="33"/>
  <c r="E23" i="33"/>
  <c r="E25" i="33"/>
  <c r="E27" i="33"/>
  <c r="E29" i="33"/>
  <c r="E31" i="33"/>
  <c r="E33" i="33"/>
  <c r="E35" i="33"/>
  <c r="E37" i="33"/>
  <c r="E39" i="33"/>
  <c r="E41" i="33"/>
  <c r="E43" i="33"/>
  <c r="E45" i="33"/>
  <c r="E47" i="33"/>
  <c r="E49" i="33"/>
  <c r="E51" i="33"/>
  <c r="E53" i="33"/>
  <c r="E55" i="33"/>
  <c r="E57" i="33"/>
  <c r="E59" i="33"/>
  <c r="E61" i="33"/>
  <c r="E63" i="33"/>
  <c r="E65" i="33"/>
  <c r="E67" i="33"/>
  <c r="E69" i="33"/>
  <c r="E71" i="33"/>
  <c r="E73" i="33"/>
  <c r="E75" i="33"/>
  <c r="E77" i="33"/>
  <c r="E79" i="33"/>
  <c r="E81" i="33"/>
  <c r="E83" i="33"/>
  <c r="E85" i="33"/>
  <c r="E87" i="33"/>
  <c r="E89" i="33"/>
  <c r="E91" i="33"/>
  <c r="E93" i="33"/>
  <c r="E95" i="33"/>
  <c r="E97" i="33"/>
  <c r="E99" i="33"/>
  <c r="E101" i="33"/>
  <c r="E103" i="33"/>
  <c r="E105" i="33"/>
  <c r="E107" i="33"/>
  <c r="F7" i="33"/>
  <c r="F9" i="33"/>
  <c r="F11" i="33"/>
  <c r="F13" i="33"/>
  <c r="F15" i="33"/>
  <c r="F17" i="33"/>
  <c r="F19" i="33"/>
  <c r="F21" i="33"/>
  <c r="F23" i="33"/>
  <c r="F25" i="33"/>
  <c r="F27" i="33"/>
  <c r="F29" i="33"/>
  <c r="F31" i="33"/>
  <c r="F33" i="33"/>
  <c r="F35" i="33"/>
  <c r="F37" i="33"/>
  <c r="F39" i="33"/>
  <c r="F41" i="33"/>
  <c r="F43" i="33"/>
  <c r="F45" i="33"/>
  <c r="F47" i="33"/>
  <c r="F49" i="33"/>
  <c r="F51" i="33"/>
  <c r="F53" i="33"/>
  <c r="F55" i="33"/>
  <c r="F57" i="33"/>
  <c r="F59" i="33"/>
  <c r="F61" i="33"/>
  <c r="F63" i="33"/>
  <c r="F65" i="33"/>
  <c r="F67" i="33"/>
  <c r="F69" i="33"/>
  <c r="F71" i="33"/>
  <c r="F73" i="33"/>
  <c r="F75" i="33"/>
  <c r="F77" i="33"/>
  <c r="F79" i="33"/>
  <c r="F81" i="33"/>
  <c r="F83" i="33"/>
  <c r="F85" i="33"/>
  <c r="F87" i="33"/>
  <c r="F89" i="33"/>
  <c r="F91" i="33"/>
  <c r="F93" i="33"/>
  <c r="F95" i="33"/>
  <c r="F97" i="33"/>
  <c r="F99" i="33"/>
  <c r="F101" i="33"/>
  <c r="F103" i="33"/>
  <c r="F105" i="33"/>
  <c r="F107" i="33"/>
  <c r="G7" i="33"/>
  <c r="G9" i="33"/>
  <c r="G11" i="33"/>
  <c r="G13" i="33"/>
  <c r="G15" i="33"/>
  <c r="G17" i="33"/>
  <c r="G19" i="33"/>
  <c r="G21" i="33"/>
  <c r="G23" i="33"/>
  <c r="G25" i="33"/>
  <c r="G27" i="33"/>
  <c r="G29" i="33"/>
  <c r="G31" i="33"/>
  <c r="G33" i="33"/>
  <c r="G35" i="33"/>
  <c r="G37" i="33"/>
  <c r="G39" i="33"/>
  <c r="G41" i="33"/>
  <c r="G43" i="33"/>
  <c r="G45" i="33"/>
  <c r="G47" i="33"/>
  <c r="G49" i="33"/>
  <c r="G51" i="33"/>
  <c r="G53" i="33"/>
  <c r="G55" i="33"/>
  <c r="G57" i="33"/>
  <c r="G59" i="33"/>
  <c r="G61" i="33"/>
  <c r="G63" i="33"/>
  <c r="G65" i="33"/>
  <c r="G67" i="33"/>
  <c r="G69" i="33"/>
  <c r="G71" i="33"/>
  <c r="G73" i="33"/>
  <c r="G75" i="33"/>
  <c r="G77" i="33"/>
  <c r="G79" i="33"/>
  <c r="G81" i="33"/>
  <c r="G83" i="33"/>
  <c r="G85" i="33"/>
  <c r="G87" i="33"/>
  <c r="G89" i="33"/>
  <c r="G91" i="33"/>
  <c r="G93" i="33"/>
  <c r="G95" i="33"/>
  <c r="G97" i="33"/>
  <c r="G99" i="33"/>
  <c r="G101" i="33"/>
  <c r="G103" i="33"/>
  <c r="G105" i="33"/>
  <c r="G107" i="33"/>
  <c r="G127" i="33"/>
  <c r="H7" i="33"/>
  <c r="H9" i="33"/>
  <c r="H11" i="33"/>
  <c r="H13" i="33"/>
  <c r="H15" i="33"/>
  <c r="H17" i="33"/>
  <c r="H19" i="33"/>
  <c r="H21" i="33"/>
  <c r="H23" i="33"/>
  <c r="H25" i="33"/>
  <c r="H27" i="33"/>
  <c r="H29" i="33"/>
  <c r="H31" i="33"/>
  <c r="H33" i="33"/>
  <c r="H35" i="33"/>
  <c r="H37" i="33"/>
  <c r="H39" i="33"/>
  <c r="H41" i="33"/>
  <c r="H43" i="33"/>
  <c r="H45" i="33"/>
  <c r="H47" i="33"/>
  <c r="H49" i="33"/>
  <c r="H51" i="33"/>
  <c r="H53" i="33"/>
  <c r="H55" i="33"/>
  <c r="H57" i="33"/>
  <c r="H59" i="33"/>
  <c r="H61" i="33"/>
  <c r="H63" i="33"/>
  <c r="H65" i="33"/>
  <c r="H67" i="33"/>
  <c r="H69" i="33"/>
  <c r="H71" i="33"/>
  <c r="H73" i="33"/>
  <c r="H75" i="33"/>
  <c r="H77" i="33"/>
  <c r="H79" i="33"/>
  <c r="H81" i="33"/>
  <c r="H83" i="33"/>
  <c r="H85" i="33"/>
  <c r="H87" i="33"/>
  <c r="H89" i="33"/>
  <c r="H91" i="33"/>
  <c r="H93" i="33"/>
  <c r="H95" i="33"/>
  <c r="H97" i="33"/>
  <c r="H99" i="33"/>
  <c r="H101" i="33"/>
  <c r="H103" i="33"/>
  <c r="H105" i="33"/>
  <c r="H107" i="33"/>
  <c r="H125" i="33"/>
  <c r="I7" i="33"/>
  <c r="I9" i="33"/>
  <c r="I11" i="33"/>
  <c r="I13" i="33"/>
  <c r="I15" i="33"/>
  <c r="I17" i="33"/>
  <c r="I19" i="33"/>
  <c r="I21" i="33"/>
  <c r="I23" i="33"/>
  <c r="I25" i="33"/>
  <c r="I27" i="33"/>
  <c r="I29" i="33"/>
  <c r="I31" i="33"/>
  <c r="I33" i="33"/>
  <c r="I35" i="33"/>
  <c r="I37" i="33"/>
  <c r="I39" i="33"/>
  <c r="I41" i="33"/>
  <c r="I43" i="33"/>
  <c r="I45" i="33"/>
  <c r="I47" i="33"/>
  <c r="I49" i="33"/>
  <c r="I51" i="33"/>
  <c r="I53" i="33"/>
  <c r="I55" i="33"/>
  <c r="I57" i="33"/>
  <c r="I59" i="33"/>
  <c r="I61" i="33"/>
  <c r="I63" i="33"/>
  <c r="I65" i="33"/>
  <c r="I67" i="33"/>
  <c r="I69" i="33"/>
  <c r="I71" i="33"/>
  <c r="I73" i="33"/>
  <c r="I75" i="33"/>
  <c r="I77" i="33"/>
  <c r="I79" i="33"/>
  <c r="I81" i="33"/>
  <c r="I83" i="33"/>
  <c r="I85" i="33"/>
  <c r="I87" i="33"/>
  <c r="I89" i="33"/>
  <c r="I91" i="33"/>
  <c r="I93" i="33"/>
  <c r="I95" i="33"/>
  <c r="I97" i="33"/>
  <c r="I99" i="33"/>
  <c r="I101" i="33"/>
  <c r="I103" i="33"/>
  <c r="I105" i="33"/>
  <c r="I107" i="33"/>
  <c r="F117" i="33"/>
  <c r="C5" i="33"/>
  <c r="A106" i="33"/>
  <c r="A100" i="33"/>
  <c r="A98" i="33"/>
  <c r="A96" i="33"/>
  <c r="A94" i="33"/>
  <c r="A92" i="33"/>
  <c r="A90" i="33"/>
  <c r="A88" i="33"/>
  <c r="A86" i="33"/>
  <c r="A84" i="33"/>
  <c r="A82" i="33"/>
  <c r="A80" i="33"/>
  <c r="A78" i="33"/>
  <c r="A76" i="33"/>
  <c r="A74" i="33"/>
  <c r="A72" i="33"/>
  <c r="A70" i="33"/>
  <c r="A68" i="33"/>
  <c r="A66" i="33"/>
  <c r="A64" i="33"/>
  <c r="A62" i="33"/>
  <c r="A60" i="33"/>
  <c r="A58" i="33"/>
  <c r="A56" i="33"/>
  <c r="A54" i="33"/>
  <c r="A52" i="33"/>
  <c r="A50" i="33"/>
  <c r="A48" i="33"/>
  <c r="A46" i="33"/>
  <c r="A44" i="33"/>
  <c r="A42" i="33"/>
  <c r="A40" i="33"/>
  <c r="A38" i="33"/>
  <c r="A36" i="33"/>
  <c r="A34" i="33"/>
  <c r="A32" i="33"/>
  <c r="A30" i="33"/>
  <c r="A28" i="33"/>
  <c r="A26" i="33"/>
  <c r="A24" i="33"/>
  <c r="A22" i="33"/>
  <c r="A20" i="33"/>
  <c r="A18" i="33"/>
  <c r="A16" i="33"/>
  <c r="A14" i="33"/>
  <c r="A12" i="33"/>
  <c r="A10" i="33"/>
  <c r="A8" i="33"/>
  <c r="A6" i="33"/>
  <c r="C3" i="33"/>
  <c r="H3" i="33"/>
  <c r="E73" i="28"/>
  <c r="C7" i="29"/>
  <c r="C9" i="29"/>
  <c r="C11" i="29"/>
  <c r="C13" i="29"/>
  <c r="C15" i="29"/>
  <c r="C17" i="29"/>
  <c r="C19" i="29"/>
  <c r="C21" i="29"/>
  <c r="C23" i="29"/>
  <c r="C25" i="29"/>
  <c r="C27" i="29"/>
  <c r="C29" i="29"/>
  <c r="C31" i="29"/>
  <c r="C33" i="29"/>
  <c r="C35" i="29"/>
  <c r="C37" i="29"/>
  <c r="C39" i="29"/>
  <c r="C41" i="29"/>
  <c r="C43" i="29"/>
  <c r="C45" i="29"/>
  <c r="C47" i="29"/>
  <c r="C49" i="29"/>
  <c r="C51" i="29"/>
  <c r="C53" i="29"/>
  <c r="C55" i="29"/>
  <c r="C57" i="29"/>
  <c r="C59" i="29"/>
  <c r="C61" i="29"/>
  <c r="C63" i="29"/>
  <c r="C65" i="29"/>
  <c r="C67" i="29"/>
  <c r="C69" i="29"/>
  <c r="C71" i="29"/>
  <c r="C73" i="29"/>
  <c r="C75" i="29"/>
  <c r="C77" i="29"/>
  <c r="C79" i="29"/>
  <c r="C81" i="29"/>
  <c r="C83" i="29"/>
  <c r="C85" i="29"/>
  <c r="C87" i="29"/>
  <c r="C89" i="29"/>
  <c r="C91" i="29"/>
  <c r="C93" i="29"/>
  <c r="C95" i="29"/>
  <c r="C97" i="29"/>
  <c r="C99" i="29"/>
  <c r="C101" i="29"/>
  <c r="C103" i="29"/>
  <c r="C105" i="29"/>
  <c r="D7" i="29"/>
  <c r="D9" i="29"/>
  <c r="D11" i="29"/>
  <c r="D13" i="29"/>
  <c r="D15" i="29"/>
  <c r="D17" i="29"/>
  <c r="D19" i="29"/>
  <c r="D21" i="29"/>
  <c r="D23" i="29"/>
  <c r="D25" i="29"/>
  <c r="D27" i="29"/>
  <c r="D29" i="29"/>
  <c r="D31" i="29"/>
  <c r="D33" i="29"/>
  <c r="D35" i="29"/>
  <c r="D37" i="29"/>
  <c r="D39" i="29"/>
  <c r="D41" i="29"/>
  <c r="D43" i="29"/>
  <c r="D45" i="29"/>
  <c r="D47" i="29"/>
  <c r="D49" i="29"/>
  <c r="D51" i="29"/>
  <c r="D53" i="29"/>
  <c r="D55" i="29"/>
  <c r="D57" i="29"/>
  <c r="D59" i="29"/>
  <c r="D61" i="29"/>
  <c r="D63" i="29"/>
  <c r="D65" i="29"/>
  <c r="D67" i="29"/>
  <c r="D69" i="29"/>
  <c r="D71" i="29"/>
  <c r="D73" i="29"/>
  <c r="D75" i="29"/>
  <c r="D77" i="29"/>
  <c r="D79" i="29"/>
  <c r="D81" i="29"/>
  <c r="D83" i="29"/>
  <c r="D85" i="29"/>
  <c r="D87" i="29"/>
  <c r="D89" i="29"/>
  <c r="D91" i="29"/>
  <c r="D93" i="29"/>
  <c r="D95" i="29"/>
  <c r="D97" i="29"/>
  <c r="D99" i="29"/>
  <c r="D101" i="29"/>
  <c r="D103" i="29"/>
  <c r="D105" i="29"/>
  <c r="E7" i="29"/>
  <c r="E9" i="29"/>
  <c r="E11" i="29"/>
  <c r="E13" i="29"/>
  <c r="E15" i="29"/>
  <c r="E17" i="29"/>
  <c r="E19" i="29"/>
  <c r="E21" i="29"/>
  <c r="E23" i="29"/>
  <c r="E25" i="29"/>
  <c r="E27" i="29"/>
  <c r="E29" i="29"/>
  <c r="E31" i="29"/>
  <c r="E33" i="29"/>
  <c r="E35" i="29"/>
  <c r="E37" i="29"/>
  <c r="E39" i="29"/>
  <c r="E41" i="29"/>
  <c r="E43" i="29"/>
  <c r="E45" i="29"/>
  <c r="E47" i="29"/>
  <c r="E49" i="29"/>
  <c r="E51" i="29"/>
  <c r="E53" i="29"/>
  <c r="E55" i="29"/>
  <c r="E57" i="29"/>
  <c r="E59" i="29"/>
  <c r="E61" i="29"/>
  <c r="E63" i="29"/>
  <c r="E65" i="29"/>
  <c r="E67" i="29"/>
  <c r="E69" i="29"/>
  <c r="E71" i="29"/>
  <c r="E73" i="29"/>
  <c r="E75" i="29"/>
  <c r="E77" i="29"/>
  <c r="E79" i="29"/>
  <c r="E81" i="29"/>
  <c r="E83" i="29"/>
  <c r="E85" i="29"/>
  <c r="E87" i="29"/>
  <c r="E89" i="29"/>
  <c r="E91" i="29"/>
  <c r="E93" i="29"/>
  <c r="E95" i="29"/>
  <c r="E97" i="29"/>
  <c r="E99" i="29"/>
  <c r="E101" i="29"/>
  <c r="E103" i="29"/>
  <c r="E105" i="29"/>
  <c r="F7" i="29"/>
  <c r="F9" i="29"/>
  <c r="F11" i="29"/>
  <c r="F13" i="29"/>
  <c r="F15" i="29"/>
  <c r="F17" i="29"/>
  <c r="F19" i="29"/>
  <c r="F21" i="29"/>
  <c r="F23" i="29"/>
  <c r="F25" i="29"/>
  <c r="F27" i="29"/>
  <c r="F29" i="29"/>
  <c r="F31" i="29"/>
  <c r="F33" i="29"/>
  <c r="F35" i="29"/>
  <c r="F37" i="29"/>
  <c r="F39" i="29"/>
  <c r="F41" i="29"/>
  <c r="F43" i="29"/>
  <c r="F45" i="29"/>
  <c r="F47" i="29"/>
  <c r="F49" i="29"/>
  <c r="F51" i="29"/>
  <c r="F53" i="29"/>
  <c r="F55" i="29"/>
  <c r="F57" i="29"/>
  <c r="F59" i="29"/>
  <c r="F61" i="29"/>
  <c r="F63" i="29"/>
  <c r="F65" i="29"/>
  <c r="F67" i="29"/>
  <c r="F69" i="29"/>
  <c r="F71" i="29"/>
  <c r="F73" i="29"/>
  <c r="F75" i="29"/>
  <c r="F77" i="29"/>
  <c r="F79" i="29"/>
  <c r="F81" i="29"/>
  <c r="F83" i="29"/>
  <c r="F85" i="29"/>
  <c r="F87" i="29"/>
  <c r="F89" i="29"/>
  <c r="F91" i="29"/>
  <c r="F93" i="29"/>
  <c r="F95" i="29"/>
  <c r="F97" i="29"/>
  <c r="F99" i="29"/>
  <c r="F101" i="29"/>
  <c r="F103" i="29"/>
  <c r="F105" i="29"/>
  <c r="G7" i="29"/>
  <c r="G9" i="29"/>
  <c r="G11" i="29"/>
  <c r="G13" i="29"/>
  <c r="G15" i="29"/>
  <c r="G17" i="29"/>
  <c r="G19" i="29"/>
  <c r="G21" i="29"/>
  <c r="G23" i="29"/>
  <c r="G25" i="29"/>
  <c r="G27" i="29"/>
  <c r="G29" i="29"/>
  <c r="G31" i="29"/>
  <c r="G33" i="29"/>
  <c r="G35" i="29"/>
  <c r="G37" i="29"/>
  <c r="G39" i="29"/>
  <c r="G41" i="29"/>
  <c r="G43" i="29"/>
  <c r="G45" i="29"/>
  <c r="G47" i="29"/>
  <c r="G49" i="29"/>
  <c r="G51" i="29"/>
  <c r="G53" i="29"/>
  <c r="G55" i="29"/>
  <c r="G57" i="29"/>
  <c r="G59" i="29"/>
  <c r="G61" i="29"/>
  <c r="G63" i="29"/>
  <c r="G65" i="29"/>
  <c r="G67" i="29"/>
  <c r="G69" i="29"/>
  <c r="G71" i="29"/>
  <c r="G73" i="29"/>
  <c r="G75" i="29"/>
  <c r="G77" i="29"/>
  <c r="G79" i="29"/>
  <c r="G81" i="29"/>
  <c r="G83" i="29"/>
  <c r="G85" i="29"/>
  <c r="G87" i="29"/>
  <c r="G89" i="29"/>
  <c r="G91" i="29"/>
  <c r="G93" i="29"/>
  <c r="G95" i="29"/>
  <c r="G97" i="29"/>
  <c r="G99" i="29"/>
  <c r="G101" i="29"/>
  <c r="G103" i="29"/>
  <c r="G105" i="29"/>
  <c r="G109" i="29"/>
  <c r="H7" i="29"/>
  <c r="H9" i="29"/>
  <c r="H11" i="29"/>
  <c r="H13" i="29"/>
  <c r="H15" i="29"/>
  <c r="H17" i="29"/>
  <c r="H19" i="29"/>
  <c r="H21" i="29"/>
  <c r="H23" i="29"/>
  <c r="H25" i="29"/>
  <c r="H27" i="29"/>
  <c r="H29" i="29"/>
  <c r="H31" i="29"/>
  <c r="H33" i="29"/>
  <c r="H35" i="29"/>
  <c r="H37" i="29"/>
  <c r="H39" i="29"/>
  <c r="H41" i="29"/>
  <c r="H43" i="29"/>
  <c r="H45" i="29"/>
  <c r="H47" i="29"/>
  <c r="H49" i="29"/>
  <c r="H51" i="29"/>
  <c r="H53" i="29"/>
  <c r="H55" i="29"/>
  <c r="H57" i="29"/>
  <c r="H59" i="29"/>
  <c r="H61" i="29"/>
  <c r="H63" i="29"/>
  <c r="H65" i="29"/>
  <c r="H67" i="29"/>
  <c r="H69" i="29"/>
  <c r="H71" i="29"/>
  <c r="H73" i="29"/>
  <c r="H75" i="29"/>
  <c r="H77" i="29"/>
  <c r="H79" i="29"/>
  <c r="H81" i="29"/>
  <c r="H83" i="29"/>
  <c r="H85" i="29"/>
  <c r="H87" i="29"/>
  <c r="H89" i="29"/>
  <c r="H91" i="29"/>
  <c r="H93" i="29"/>
  <c r="H95" i="29"/>
  <c r="H97" i="29"/>
  <c r="H99" i="29"/>
  <c r="H101" i="29"/>
  <c r="H103" i="29"/>
  <c r="H105" i="29"/>
  <c r="I7" i="29"/>
  <c r="I9" i="29"/>
  <c r="I11" i="29"/>
  <c r="I13" i="29"/>
  <c r="I15" i="29"/>
  <c r="I17" i="29"/>
  <c r="I19" i="29"/>
  <c r="I21" i="29"/>
  <c r="I23" i="29"/>
  <c r="I25" i="29"/>
  <c r="I27" i="29"/>
  <c r="I29" i="29"/>
  <c r="I31" i="29"/>
  <c r="I33" i="29"/>
  <c r="I35" i="29"/>
  <c r="I37" i="29"/>
  <c r="I39" i="29"/>
  <c r="I41" i="29"/>
  <c r="I43" i="29"/>
  <c r="I45" i="29"/>
  <c r="I47" i="29"/>
  <c r="I49" i="29"/>
  <c r="I51" i="29"/>
  <c r="I53" i="29"/>
  <c r="I55" i="29"/>
  <c r="I57" i="29"/>
  <c r="I59" i="29"/>
  <c r="I61" i="29"/>
  <c r="I63" i="29"/>
  <c r="I65" i="29"/>
  <c r="I67" i="29"/>
  <c r="I69" i="29"/>
  <c r="I71" i="29"/>
  <c r="I73" i="29"/>
  <c r="I75" i="29"/>
  <c r="I77" i="29"/>
  <c r="I79" i="29"/>
  <c r="I81" i="29"/>
  <c r="I83" i="29"/>
  <c r="I85" i="29"/>
  <c r="I87" i="29"/>
  <c r="I89" i="29"/>
  <c r="I91" i="29"/>
  <c r="I93" i="29"/>
  <c r="I95" i="29"/>
  <c r="I97" i="29"/>
  <c r="I99" i="29"/>
  <c r="I101" i="29"/>
  <c r="I103" i="29"/>
  <c r="I105" i="29"/>
  <c r="C7" i="28"/>
  <c r="C9" i="28"/>
  <c r="C11" i="28"/>
  <c r="C13" i="28"/>
  <c r="C15" i="28"/>
  <c r="C17" i="28"/>
  <c r="C19" i="28"/>
  <c r="C21" i="28"/>
  <c r="C23" i="28"/>
  <c r="C25" i="28"/>
  <c r="C27" i="28"/>
  <c r="C29" i="28"/>
  <c r="C31" i="28"/>
  <c r="C33" i="28"/>
  <c r="C35" i="28"/>
  <c r="C37" i="28"/>
  <c r="C39" i="28"/>
  <c r="C41" i="28"/>
  <c r="C43" i="28"/>
  <c r="C45" i="28"/>
  <c r="C47" i="28"/>
  <c r="C49" i="28"/>
  <c r="C51" i="28"/>
  <c r="C55" i="28"/>
  <c r="C57" i="28"/>
  <c r="C59" i="28"/>
  <c r="C61" i="28"/>
  <c r="C63" i="28"/>
  <c r="C65" i="28"/>
  <c r="C67" i="28"/>
  <c r="C69" i="28"/>
  <c r="C71" i="28"/>
  <c r="C73" i="28"/>
  <c r="C75" i="28"/>
  <c r="C77" i="28"/>
  <c r="C79" i="28"/>
  <c r="C81" i="28"/>
  <c r="C83" i="28"/>
  <c r="C85" i="28"/>
  <c r="C87" i="28"/>
  <c r="C89" i="28"/>
  <c r="C91" i="28"/>
  <c r="C93" i="28"/>
  <c r="C95" i="28"/>
  <c r="C97" i="28"/>
  <c r="C99" i="28"/>
  <c r="C101" i="28"/>
  <c r="C103" i="28"/>
  <c r="C105" i="28"/>
  <c r="D7" i="28"/>
  <c r="D9" i="28"/>
  <c r="D11" i="28"/>
  <c r="D13" i="28"/>
  <c r="D15" i="28"/>
  <c r="D17" i="28"/>
  <c r="D19" i="28"/>
  <c r="D21" i="28"/>
  <c r="D23" i="28"/>
  <c r="D25" i="28"/>
  <c r="D27" i="28"/>
  <c r="D29" i="28"/>
  <c r="D31" i="28"/>
  <c r="D33" i="28"/>
  <c r="D35" i="28"/>
  <c r="D37" i="28"/>
  <c r="D39" i="28"/>
  <c r="D41" i="28"/>
  <c r="D43" i="28"/>
  <c r="D45" i="28"/>
  <c r="D47" i="28"/>
  <c r="D49" i="28"/>
  <c r="D51" i="28"/>
  <c r="D55" i="28"/>
  <c r="D57" i="28"/>
  <c r="D59" i="28"/>
  <c r="D61" i="28"/>
  <c r="D63" i="28"/>
  <c r="D65" i="28"/>
  <c r="D67" i="28"/>
  <c r="D69" i="28"/>
  <c r="D71" i="28"/>
  <c r="D73" i="28"/>
  <c r="D75" i="28"/>
  <c r="D77" i="28"/>
  <c r="D79" i="28"/>
  <c r="D81" i="28"/>
  <c r="D83" i="28"/>
  <c r="D85" i="28"/>
  <c r="D87" i="28"/>
  <c r="D89" i="28"/>
  <c r="D91" i="28"/>
  <c r="D93" i="28"/>
  <c r="D95" i="28"/>
  <c r="D97" i="28"/>
  <c r="D99" i="28"/>
  <c r="D101" i="28"/>
  <c r="D103" i="28"/>
  <c r="D105" i="28"/>
  <c r="E7" i="28"/>
  <c r="E9" i="28"/>
  <c r="E11" i="28"/>
  <c r="E13" i="28"/>
  <c r="E15" i="28"/>
  <c r="E17" i="28"/>
  <c r="E19" i="28"/>
  <c r="E21" i="28"/>
  <c r="E23" i="28"/>
  <c r="E25" i="28"/>
  <c r="E27" i="28"/>
  <c r="E29" i="28"/>
  <c r="E31" i="28"/>
  <c r="E33" i="28"/>
  <c r="E35" i="28"/>
  <c r="E37" i="28"/>
  <c r="E39" i="28"/>
  <c r="E41" i="28"/>
  <c r="E43" i="28"/>
  <c r="E45" i="28"/>
  <c r="E47" i="28"/>
  <c r="E49" i="28"/>
  <c r="E51" i="28"/>
  <c r="E55" i="28"/>
  <c r="E57" i="28"/>
  <c r="E59" i="28"/>
  <c r="E61" i="28"/>
  <c r="E63" i="28"/>
  <c r="E65" i="28"/>
  <c r="E67" i="28"/>
  <c r="E69" i="28"/>
  <c r="E71" i="28"/>
  <c r="E75" i="28"/>
  <c r="E77" i="28"/>
  <c r="E79" i="28"/>
  <c r="E81" i="28"/>
  <c r="E83" i="28"/>
  <c r="E85" i="28"/>
  <c r="E87" i="28"/>
  <c r="E89" i="28"/>
  <c r="E91" i="28"/>
  <c r="E93" i="28"/>
  <c r="E95" i="28"/>
  <c r="E97" i="28"/>
  <c r="E99" i="28"/>
  <c r="E101" i="28"/>
  <c r="E103" i="28"/>
  <c r="E105" i="28"/>
  <c r="F7" i="28"/>
  <c r="F9" i="28"/>
  <c r="F11" i="28"/>
  <c r="F13" i="28"/>
  <c r="F15" i="28"/>
  <c r="F17" i="28"/>
  <c r="F19" i="28"/>
  <c r="F21" i="28"/>
  <c r="F23" i="28"/>
  <c r="F25" i="28"/>
  <c r="F27" i="28"/>
  <c r="F29" i="28"/>
  <c r="F31" i="28"/>
  <c r="F33" i="28"/>
  <c r="F35" i="28"/>
  <c r="F37" i="28"/>
  <c r="F39" i="28"/>
  <c r="F41" i="28"/>
  <c r="F43" i="28"/>
  <c r="F45" i="28"/>
  <c r="F47" i="28"/>
  <c r="F49" i="28"/>
  <c r="F51" i="28"/>
  <c r="F55" i="28"/>
  <c r="F57" i="28"/>
  <c r="F59" i="28"/>
  <c r="F61" i="28"/>
  <c r="F63" i="28"/>
  <c r="F65" i="28"/>
  <c r="F67" i="28"/>
  <c r="F69" i="28"/>
  <c r="F71" i="28"/>
  <c r="F73" i="28"/>
  <c r="F75" i="28"/>
  <c r="F77" i="28"/>
  <c r="F79" i="28"/>
  <c r="F81" i="28"/>
  <c r="F83" i="28"/>
  <c r="F85" i="28"/>
  <c r="F87" i="28"/>
  <c r="F89" i="28"/>
  <c r="F91" i="28"/>
  <c r="F93" i="28"/>
  <c r="F95" i="28"/>
  <c r="F97" i="28"/>
  <c r="F99" i="28"/>
  <c r="F101" i="28"/>
  <c r="F103" i="28"/>
  <c r="F105" i="28"/>
  <c r="G7" i="28"/>
  <c r="G9" i="28"/>
  <c r="G11" i="28"/>
  <c r="G13" i="28"/>
  <c r="G15" i="28"/>
  <c r="G17" i="28"/>
  <c r="G19" i="28"/>
  <c r="G21" i="28"/>
  <c r="G23" i="28"/>
  <c r="G25" i="28"/>
  <c r="G27" i="28"/>
  <c r="G29" i="28"/>
  <c r="G31" i="28"/>
  <c r="G33" i="28"/>
  <c r="G35" i="28"/>
  <c r="G37" i="28"/>
  <c r="G39" i="28"/>
  <c r="G41" i="28"/>
  <c r="G43" i="28"/>
  <c r="G45" i="28"/>
  <c r="G47" i="28"/>
  <c r="G49" i="28"/>
  <c r="G51" i="28"/>
  <c r="G55" i="28"/>
  <c r="G57" i="28"/>
  <c r="G59" i="28"/>
  <c r="G61" i="28"/>
  <c r="G63" i="28"/>
  <c r="G65" i="28"/>
  <c r="G67" i="28"/>
  <c r="G69" i="28"/>
  <c r="G71" i="28"/>
  <c r="G73" i="28"/>
  <c r="G75" i="28"/>
  <c r="G77" i="28"/>
  <c r="G79" i="28"/>
  <c r="G81" i="28"/>
  <c r="G83" i="28"/>
  <c r="G85" i="28"/>
  <c r="G87" i="28"/>
  <c r="G89" i="28"/>
  <c r="G91" i="28"/>
  <c r="G93" i="28"/>
  <c r="G95" i="28"/>
  <c r="G97" i="28"/>
  <c r="G99" i="28"/>
  <c r="G101" i="28"/>
  <c r="G103" i="28"/>
  <c r="G105" i="28"/>
  <c r="H7" i="28"/>
  <c r="H9" i="28"/>
  <c r="H11" i="28"/>
  <c r="H13" i="28"/>
  <c r="H15" i="28"/>
  <c r="H17" i="28"/>
  <c r="H19" i="28"/>
  <c r="H21" i="28"/>
  <c r="H23" i="28"/>
  <c r="H25" i="28"/>
  <c r="H27" i="28"/>
  <c r="H29" i="28"/>
  <c r="H31" i="28"/>
  <c r="H33" i="28"/>
  <c r="H35" i="28"/>
  <c r="H37" i="28"/>
  <c r="H39" i="28"/>
  <c r="H41" i="28"/>
  <c r="H43" i="28"/>
  <c r="H45" i="28"/>
  <c r="H47" i="28"/>
  <c r="H49" i="28"/>
  <c r="H51" i="28"/>
  <c r="H55" i="28"/>
  <c r="H57" i="28"/>
  <c r="H59" i="28"/>
  <c r="H61" i="28"/>
  <c r="H63" i="28"/>
  <c r="H65" i="28"/>
  <c r="H67" i="28"/>
  <c r="H69" i="28"/>
  <c r="H71" i="28"/>
  <c r="H73" i="28"/>
  <c r="H75" i="28"/>
  <c r="H77" i="28"/>
  <c r="H79" i="28"/>
  <c r="H81" i="28"/>
  <c r="H83" i="28"/>
  <c r="H85" i="28"/>
  <c r="H87" i="28"/>
  <c r="H89" i="28"/>
  <c r="H91" i="28"/>
  <c r="H93" i="28"/>
  <c r="H95" i="28"/>
  <c r="H97" i="28"/>
  <c r="H99" i="28"/>
  <c r="H101" i="28"/>
  <c r="H103" i="28"/>
  <c r="H105" i="28"/>
  <c r="I7" i="28"/>
  <c r="I9" i="28"/>
  <c r="I11" i="28"/>
  <c r="I13" i="28"/>
  <c r="I15" i="28"/>
  <c r="I17" i="28"/>
  <c r="I19" i="28"/>
  <c r="I21" i="28"/>
  <c r="I23" i="28"/>
  <c r="I25" i="28"/>
  <c r="I27" i="28"/>
  <c r="I29" i="28"/>
  <c r="I31" i="28"/>
  <c r="I33" i="28"/>
  <c r="I35" i="28"/>
  <c r="I37" i="28"/>
  <c r="I39" i="28"/>
  <c r="I41" i="28"/>
  <c r="I43" i="28"/>
  <c r="I45" i="28"/>
  <c r="I47" i="28"/>
  <c r="I49" i="28"/>
  <c r="I51" i="28"/>
  <c r="I53" i="28"/>
  <c r="I55" i="28"/>
  <c r="I57" i="28"/>
  <c r="I59" i="28"/>
  <c r="I61" i="28"/>
  <c r="I63" i="28"/>
  <c r="I65" i="28"/>
  <c r="I67" i="28"/>
  <c r="I69" i="28"/>
  <c r="I71" i="28"/>
  <c r="I73" i="28"/>
  <c r="I75" i="28"/>
  <c r="I77" i="28"/>
  <c r="I79" i="28"/>
  <c r="I81" i="28"/>
  <c r="I83" i="28"/>
  <c r="I85" i="28"/>
  <c r="I87" i="28"/>
  <c r="I89" i="28"/>
  <c r="I91" i="28"/>
  <c r="I93" i="28"/>
  <c r="I95" i="28"/>
  <c r="I97" i="28"/>
  <c r="I99" i="28"/>
  <c r="I101" i="28"/>
  <c r="I103" i="28"/>
  <c r="I105" i="28"/>
  <c r="E108" i="32"/>
  <c r="I110" i="32"/>
  <c r="I111" i="32"/>
  <c r="H115" i="32"/>
  <c r="I115" i="32"/>
  <c r="I119" i="32"/>
  <c r="D122" i="32"/>
  <c r="H123" i="32"/>
  <c r="C125" i="32"/>
  <c r="G125" i="32"/>
  <c r="C126" i="32"/>
  <c r="I127" i="32"/>
  <c r="G128" i="32"/>
  <c r="G129" i="32"/>
  <c r="D131" i="32"/>
  <c r="H131" i="32"/>
  <c r="C5" i="32"/>
  <c r="C104" i="32"/>
  <c r="D104" i="32"/>
  <c r="E104" i="32"/>
  <c r="I135" i="32"/>
  <c r="E136" i="32"/>
  <c r="H137" i="32"/>
  <c r="I137" i="32"/>
  <c r="G141" i="32"/>
  <c r="D140" i="32"/>
  <c r="D139" i="32"/>
  <c r="E139" i="32"/>
  <c r="I138" i="32"/>
  <c r="A102" i="32"/>
  <c r="A96" i="32"/>
  <c r="A94" i="32"/>
  <c r="A92" i="32"/>
  <c r="A90" i="32"/>
  <c r="A88" i="32"/>
  <c r="A86" i="32"/>
  <c r="A84" i="32"/>
  <c r="A82" i="32"/>
  <c r="A80" i="32"/>
  <c r="A78" i="32"/>
  <c r="A76" i="32"/>
  <c r="A74" i="32"/>
  <c r="A72" i="32"/>
  <c r="A70" i="32"/>
  <c r="A68" i="32"/>
  <c r="A66" i="32"/>
  <c r="A64" i="32"/>
  <c r="A62" i="32"/>
  <c r="A60" i="32"/>
  <c r="A58" i="32"/>
  <c r="A56" i="32"/>
  <c r="A54" i="32"/>
  <c r="A52" i="32"/>
  <c r="A50" i="32"/>
  <c r="A48" i="32"/>
  <c r="A46" i="32"/>
  <c r="A44" i="32"/>
  <c r="A42" i="32"/>
  <c r="A40" i="32"/>
  <c r="A38" i="32"/>
  <c r="A36" i="32"/>
  <c r="A34" i="32"/>
  <c r="A32" i="32"/>
  <c r="A30" i="32"/>
  <c r="A28" i="32"/>
  <c r="A26" i="32"/>
  <c r="A24" i="32"/>
  <c r="A22" i="32"/>
  <c r="A20" i="32"/>
  <c r="A18" i="32"/>
  <c r="A16" i="32"/>
  <c r="A14" i="32"/>
  <c r="A12" i="32"/>
  <c r="A10" i="32"/>
  <c r="A8" i="32"/>
  <c r="A6" i="32"/>
  <c r="D5" i="32"/>
  <c r="E5" i="32"/>
  <c r="F5" i="32"/>
  <c r="G5" i="32"/>
  <c r="H5" i="32"/>
  <c r="I5" i="32"/>
  <c r="C3" i="32"/>
  <c r="F3" i="32"/>
  <c r="D1" i="32"/>
  <c r="C1" i="32"/>
  <c r="I108" i="31"/>
  <c r="H109" i="31"/>
  <c r="I109" i="31"/>
  <c r="C111" i="31"/>
  <c r="D111" i="31"/>
  <c r="C113" i="31"/>
  <c r="E113" i="31"/>
  <c r="H113" i="31"/>
  <c r="F114" i="31"/>
  <c r="G114" i="31"/>
  <c r="F116" i="31"/>
  <c r="H116" i="31"/>
  <c r="I116" i="31"/>
  <c r="H117" i="31"/>
  <c r="I117" i="31"/>
  <c r="E119" i="31"/>
  <c r="I119" i="31"/>
  <c r="C120" i="31"/>
  <c r="I120" i="31"/>
  <c r="C121" i="31"/>
  <c r="F121" i="31"/>
  <c r="F122" i="31"/>
  <c r="H122" i="31"/>
  <c r="D123" i="31"/>
  <c r="H123" i="31"/>
  <c r="I123" i="31"/>
  <c r="G124" i="31"/>
  <c r="G125" i="31"/>
  <c r="I125" i="31"/>
  <c r="C126" i="31"/>
  <c r="I126" i="31"/>
  <c r="C127" i="31"/>
  <c r="H127" i="31"/>
  <c r="F128" i="31"/>
  <c r="C129" i="31"/>
  <c r="D129" i="31"/>
  <c r="C130" i="31"/>
  <c r="D130" i="31"/>
  <c r="G130" i="31"/>
  <c r="G131" i="31"/>
  <c r="I131" i="31"/>
  <c r="C5" i="31"/>
  <c r="C104" i="31"/>
  <c r="D104" i="31"/>
  <c r="E135" i="31"/>
  <c r="F135" i="31"/>
  <c r="D136" i="31"/>
  <c r="D137" i="31"/>
  <c r="F137" i="31"/>
  <c r="G137" i="31"/>
  <c r="F142" i="31"/>
  <c r="G142" i="31"/>
  <c r="C141" i="31"/>
  <c r="C140" i="31"/>
  <c r="G140" i="31"/>
  <c r="H140" i="31"/>
  <c r="E139" i="31"/>
  <c r="H139" i="31"/>
  <c r="D138" i="31"/>
  <c r="A102" i="31"/>
  <c r="A96" i="31"/>
  <c r="A94" i="31"/>
  <c r="A92" i="31"/>
  <c r="A90" i="31"/>
  <c r="A88" i="31"/>
  <c r="A86" i="31"/>
  <c r="A84" i="31"/>
  <c r="A82" i="31"/>
  <c r="A80" i="31"/>
  <c r="A78" i="31"/>
  <c r="A76" i="31"/>
  <c r="A74" i="31"/>
  <c r="A72" i="31"/>
  <c r="A70" i="31"/>
  <c r="A68" i="31"/>
  <c r="A66" i="31"/>
  <c r="A64" i="31"/>
  <c r="A62" i="31"/>
  <c r="A60" i="31"/>
  <c r="A58" i="31"/>
  <c r="A56" i="31"/>
  <c r="A54" i="31"/>
  <c r="A52" i="31"/>
  <c r="A50" i="31"/>
  <c r="A48" i="31"/>
  <c r="A46" i="31"/>
  <c r="A44" i="31"/>
  <c r="A42" i="31"/>
  <c r="A40" i="31"/>
  <c r="A38" i="31"/>
  <c r="A36" i="31"/>
  <c r="A34" i="31"/>
  <c r="A32" i="31"/>
  <c r="A30" i="31"/>
  <c r="A28" i="31"/>
  <c r="A26" i="31"/>
  <c r="A24" i="31"/>
  <c r="A22" i="31"/>
  <c r="A20" i="31"/>
  <c r="A18" i="31"/>
  <c r="A16" i="31"/>
  <c r="A14" i="31"/>
  <c r="A12" i="31"/>
  <c r="A10" i="31"/>
  <c r="A8" i="31"/>
  <c r="A6" i="31"/>
  <c r="D5" i="31"/>
  <c r="E5" i="31"/>
  <c r="F5" i="31"/>
  <c r="G5" i="31"/>
  <c r="H5" i="31"/>
  <c r="I5" i="31"/>
  <c r="C3" i="31"/>
  <c r="H3" i="31"/>
  <c r="I1" i="31"/>
  <c r="C1" i="31"/>
  <c r="C110" i="30"/>
  <c r="H110" i="30"/>
  <c r="H112" i="30"/>
  <c r="C113" i="30"/>
  <c r="D113" i="30"/>
  <c r="C114" i="30"/>
  <c r="D114" i="30"/>
  <c r="G114" i="30"/>
  <c r="G115" i="30"/>
  <c r="D116" i="30"/>
  <c r="E116" i="30"/>
  <c r="I116" i="30"/>
  <c r="E117" i="30"/>
  <c r="H117" i="30"/>
  <c r="H118" i="30"/>
  <c r="C119" i="30"/>
  <c r="D119" i="30"/>
  <c r="C120" i="30"/>
  <c r="D120" i="30"/>
  <c r="I120" i="30"/>
  <c r="I121" i="30"/>
  <c r="D122" i="30"/>
  <c r="E122" i="30"/>
  <c r="C123" i="30"/>
  <c r="D123" i="30"/>
  <c r="G123" i="30"/>
  <c r="F124" i="30"/>
  <c r="H124" i="30"/>
  <c r="I124" i="30"/>
  <c r="G125" i="30"/>
  <c r="H125" i="30"/>
  <c r="D126" i="30"/>
  <c r="C127" i="30"/>
  <c r="E127" i="30"/>
  <c r="G127" i="30"/>
  <c r="D128" i="30"/>
  <c r="E128" i="30"/>
  <c r="I128" i="30"/>
  <c r="G129" i="30"/>
  <c r="C130" i="30"/>
  <c r="D130" i="30"/>
  <c r="H130" i="30"/>
  <c r="C131" i="30"/>
  <c r="F131" i="30"/>
  <c r="E132" i="30"/>
  <c r="G132" i="30"/>
  <c r="H132" i="30"/>
  <c r="F133" i="30"/>
  <c r="G133" i="30"/>
  <c r="C134" i="30"/>
  <c r="I134" i="30"/>
  <c r="D135" i="30"/>
  <c r="E135" i="30"/>
  <c r="C5" i="30"/>
  <c r="D5" i="30"/>
  <c r="F139" i="30"/>
  <c r="D140" i="30"/>
  <c r="G140" i="30"/>
  <c r="H140" i="30"/>
  <c r="E141" i="30"/>
  <c r="F141" i="30"/>
  <c r="I141" i="30"/>
  <c r="G146" i="30"/>
  <c r="I146" i="30"/>
  <c r="C145" i="30"/>
  <c r="G145" i="30"/>
  <c r="H145" i="30"/>
  <c r="D144" i="30"/>
  <c r="I144" i="30"/>
  <c r="D143" i="30"/>
  <c r="E143" i="30"/>
  <c r="I143" i="30"/>
  <c r="C142" i="30"/>
  <c r="E142" i="30"/>
  <c r="F142" i="30"/>
  <c r="A106" i="30"/>
  <c r="A98" i="30"/>
  <c r="A96" i="30"/>
  <c r="A94" i="30"/>
  <c r="A92" i="30"/>
  <c r="A90" i="30"/>
  <c r="A88" i="30"/>
  <c r="A86" i="30"/>
  <c r="A84" i="30"/>
  <c r="A82" i="30"/>
  <c r="A80" i="30"/>
  <c r="A78" i="30"/>
  <c r="A76" i="30"/>
  <c r="A74" i="30"/>
  <c r="A72" i="30"/>
  <c r="A70" i="30"/>
  <c r="A68" i="30"/>
  <c r="A66" i="30"/>
  <c r="A64" i="30"/>
  <c r="A100" i="30"/>
  <c r="A62" i="30"/>
  <c r="A60" i="30"/>
  <c r="A58" i="30"/>
  <c r="A56" i="30"/>
  <c r="A54" i="30"/>
  <c r="A52" i="30"/>
  <c r="A50" i="30"/>
  <c r="A48" i="30"/>
  <c r="A46" i="30"/>
  <c r="A44" i="30"/>
  <c r="A42" i="30"/>
  <c r="A40" i="30"/>
  <c r="A38" i="30"/>
  <c r="A36" i="30"/>
  <c r="A34" i="30"/>
  <c r="A32" i="30"/>
  <c r="A30" i="30"/>
  <c r="A28" i="30"/>
  <c r="A26" i="30"/>
  <c r="A24" i="30"/>
  <c r="A22" i="30"/>
  <c r="A20" i="30"/>
  <c r="A18" i="30"/>
  <c r="A16" i="30"/>
  <c r="A14" i="30"/>
  <c r="A12" i="30"/>
  <c r="A10" i="30"/>
  <c r="A8" i="30"/>
  <c r="A6" i="30"/>
  <c r="E5" i="30"/>
  <c r="F5" i="30"/>
  <c r="G5" i="30"/>
  <c r="H5" i="30"/>
  <c r="I5" i="30"/>
  <c r="C3" i="30"/>
  <c r="F3" i="30"/>
  <c r="F1" i="30"/>
  <c r="E1" i="30"/>
  <c r="C1" i="30"/>
  <c r="C108" i="29"/>
  <c r="G108" i="29"/>
  <c r="H108" i="29"/>
  <c r="C110" i="29"/>
  <c r="D110" i="29"/>
  <c r="H110" i="29"/>
  <c r="I110" i="29"/>
  <c r="D111" i="29"/>
  <c r="E111" i="29"/>
  <c r="I111" i="29"/>
  <c r="C112" i="29"/>
  <c r="E112" i="29"/>
  <c r="F112" i="29"/>
  <c r="C113" i="29"/>
  <c r="D113" i="29"/>
  <c r="F113" i="29"/>
  <c r="G113" i="29"/>
  <c r="D114" i="29"/>
  <c r="E114" i="29"/>
  <c r="G114" i="29"/>
  <c r="H114" i="29"/>
  <c r="E115" i="29"/>
  <c r="F115" i="29"/>
  <c r="H115" i="29"/>
  <c r="I115" i="29"/>
  <c r="F116" i="29"/>
  <c r="G116" i="29"/>
  <c r="I116" i="29"/>
  <c r="C117" i="29"/>
  <c r="G117" i="29"/>
  <c r="H117" i="29"/>
  <c r="C118" i="29"/>
  <c r="D118" i="29"/>
  <c r="G118" i="29"/>
  <c r="H118" i="29"/>
  <c r="I118" i="29"/>
  <c r="D119" i="29"/>
  <c r="E119" i="29"/>
  <c r="H119" i="29"/>
  <c r="I119" i="29"/>
  <c r="C120" i="29"/>
  <c r="D120" i="29"/>
  <c r="E120" i="29"/>
  <c r="F120" i="29"/>
  <c r="H120" i="29"/>
  <c r="I120" i="29"/>
  <c r="C121" i="29"/>
  <c r="D121" i="29"/>
  <c r="E121" i="29"/>
  <c r="F121" i="29"/>
  <c r="G121" i="29"/>
  <c r="I121" i="29"/>
  <c r="C122" i="29"/>
  <c r="D122" i="29"/>
  <c r="E122" i="29"/>
  <c r="F122" i="29"/>
  <c r="G122" i="29"/>
  <c r="H122" i="29"/>
  <c r="C123" i="29"/>
  <c r="D123" i="29"/>
  <c r="E123" i="29"/>
  <c r="F123" i="29"/>
  <c r="G123" i="29"/>
  <c r="H123" i="29"/>
  <c r="I123" i="29"/>
  <c r="D124" i="29"/>
  <c r="E124" i="29"/>
  <c r="F124" i="29"/>
  <c r="G124" i="29"/>
  <c r="H124" i="29"/>
  <c r="I124" i="29"/>
  <c r="C125" i="29"/>
  <c r="E125" i="29"/>
  <c r="F125" i="29"/>
  <c r="G125" i="29"/>
  <c r="H125" i="29"/>
  <c r="I125" i="29"/>
  <c r="C126" i="29"/>
  <c r="D126" i="29"/>
  <c r="F126" i="29"/>
  <c r="G126" i="29"/>
  <c r="H126" i="29"/>
  <c r="I126" i="29"/>
  <c r="C127" i="29"/>
  <c r="D127" i="29"/>
  <c r="E127" i="29"/>
  <c r="G127" i="29"/>
  <c r="H127" i="29"/>
  <c r="I127" i="29"/>
  <c r="C128" i="29"/>
  <c r="D128" i="29"/>
  <c r="E128" i="29"/>
  <c r="F128" i="29"/>
  <c r="H128" i="29"/>
  <c r="I128" i="29"/>
  <c r="C129" i="29"/>
  <c r="D129" i="29"/>
  <c r="E129" i="29"/>
  <c r="F129" i="29"/>
  <c r="G129" i="29"/>
  <c r="H129" i="29"/>
  <c r="I129" i="29"/>
  <c r="C130" i="29"/>
  <c r="D130" i="29"/>
  <c r="E130" i="29"/>
  <c r="F130" i="29"/>
  <c r="G130" i="29"/>
  <c r="H130" i="29"/>
  <c r="I130" i="29"/>
  <c r="C131" i="29"/>
  <c r="D131" i="29"/>
  <c r="E131" i="29"/>
  <c r="F131" i="29"/>
  <c r="G131" i="29"/>
  <c r="H131" i="29"/>
  <c r="I131" i="29"/>
  <c r="J131" i="29"/>
  <c r="C132" i="29"/>
  <c r="D132" i="29"/>
  <c r="E132" i="29"/>
  <c r="F132" i="29"/>
  <c r="G132" i="29"/>
  <c r="H132" i="29"/>
  <c r="I132" i="29"/>
  <c r="C133" i="29"/>
  <c r="D133" i="29"/>
  <c r="E133" i="29"/>
  <c r="F133" i="29"/>
  <c r="G133" i="29"/>
  <c r="H133" i="29"/>
  <c r="I133" i="29"/>
  <c r="C5" i="29"/>
  <c r="C106" i="29"/>
  <c r="D106" i="29"/>
  <c r="C137" i="29"/>
  <c r="D137" i="29"/>
  <c r="E137" i="29"/>
  <c r="F137" i="29"/>
  <c r="G137" i="29"/>
  <c r="H137" i="29"/>
  <c r="I137" i="29"/>
  <c r="C138" i="29"/>
  <c r="D138" i="29"/>
  <c r="E138" i="29"/>
  <c r="F138" i="29"/>
  <c r="G138" i="29"/>
  <c r="H138" i="29"/>
  <c r="I138" i="29"/>
  <c r="C139" i="29"/>
  <c r="D139" i="29"/>
  <c r="E139" i="29"/>
  <c r="F139" i="29"/>
  <c r="G139" i="29"/>
  <c r="H139" i="29"/>
  <c r="I139" i="29"/>
  <c r="C144" i="29"/>
  <c r="D144" i="29"/>
  <c r="E144" i="29"/>
  <c r="F144" i="29"/>
  <c r="G144" i="29"/>
  <c r="H144" i="29"/>
  <c r="I144" i="29"/>
  <c r="C143" i="29"/>
  <c r="D143" i="29"/>
  <c r="E143" i="29"/>
  <c r="F143" i="29"/>
  <c r="G143" i="29"/>
  <c r="H143" i="29"/>
  <c r="I143" i="29"/>
  <c r="C142" i="29"/>
  <c r="D142" i="29"/>
  <c r="E142" i="29"/>
  <c r="F142" i="29"/>
  <c r="G142" i="29"/>
  <c r="H142" i="29"/>
  <c r="I142" i="29"/>
  <c r="C141" i="29"/>
  <c r="D141" i="29"/>
  <c r="E141" i="29"/>
  <c r="F141" i="29"/>
  <c r="G141" i="29"/>
  <c r="H141" i="29"/>
  <c r="I141" i="29"/>
  <c r="C140" i="29"/>
  <c r="D140" i="29"/>
  <c r="E140" i="29"/>
  <c r="F140" i="29"/>
  <c r="G140" i="29"/>
  <c r="H140" i="29"/>
  <c r="I140" i="29"/>
  <c r="J140" i="29"/>
  <c r="A104" i="29"/>
  <c r="A98" i="29"/>
  <c r="A96" i="29"/>
  <c r="A94" i="29"/>
  <c r="A92" i="29"/>
  <c r="A90" i="29"/>
  <c r="A88" i="29"/>
  <c r="A86" i="29"/>
  <c r="A84" i="29"/>
  <c r="A82" i="29"/>
  <c r="A80" i="29"/>
  <c r="A78" i="29"/>
  <c r="A76" i="29"/>
  <c r="A74" i="29"/>
  <c r="A72" i="29"/>
  <c r="A70" i="29"/>
  <c r="A68" i="29"/>
  <c r="A66" i="29"/>
  <c r="A64" i="29"/>
  <c r="A62" i="29"/>
  <c r="A60" i="29"/>
  <c r="A58" i="29"/>
  <c r="A56" i="29"/>
  <c r="A54" i="29"/>
  <c r="A52" i="29"/>
  <c r="A50" i="29"/>
  <c r="A48" i="29"/>
  <c r="A46" i="29"/>
  <c r="A44" i="29"/>
  <c r="A42" i="29"/>
  <c r="A40" i="29"/>
  <c r="A38" i="29"/>
  <c r="A36" i="29"/>
  <c r="A34" i="29"/>
  <c r="A32" i="29"/>
  <c r="A30" i="29"/>
  <c r="A28" i="29"/>
  <c r="A26" i="29"/>
  <c r="A24" i="29"/>
  <c r="A22" i="29"/>
  <c r="A20" i="29"/>
  <c r="A18" i="29"/>
  <c r="A16" i="29"/>
  <c r="A14" i="29"/>
  <c r="A12" i="29"/>
  <c r="A10" i="29"/>
  <c r="A8" i="29"/>
  <c r="A6" i="29"/>
  <c r="D5" i="29"/>
  <c r="E5" i="29"/>
  <c r="F5" i="29"/>
  <c r="G5" i="29"/>
  <c r="H5" i="29"/>
  <c r="I5" i="29"/>
  <c r="C3" i="29"/>
  <c r="F3" i="29"/>
  <c r="I1" i="29"/>
  <c r="H1" i="29"/>
  <c r="G1" i="29"/>
  <c r="F1" i="29"/>
  <c r="E1" i="29"/>
  <c r="D1" i="29"/>
  <c r="C1" i="29"/>
  <c r="C113" i="28"/>
  <c r="C116" i="28"/>
  <c r="C118" i="28"/>
  <c r="C124" i="28"/>
  <c r="C129" i="28"/>
  <c r="C130" i="28"/>
  <c r="D131" i="28"/>
  <c r="C132" i="28"/>
  <c r="E132" i="28"/>
  <c r="F132" i="28"/>
  <c r="G132" i="28"/>
  <c r="C133" i="28"/>
  <c r="D133" i="28"/>
  <c r="E133" i="28"/>
  <c r="G133" i="28"/>
  <c r="H133" i="28"/>
  <c r="I133" i="28"/>
  <c r="C5" i="28"/>
  <c r="C106" i="28"/>
  <c r="C137" i="28"/>
  <c r="D137" i="28"/>
  <c r="E137" i="28"/>
  <c r="G137" i="28"/>
  <c r="H137" i="28"/>
  <c r="I137" i="28"/>
  <c r="D138" i="28"/>
  <c r="E138" i="28"/>
  <c r="F138" i="28"/>
  <c r="G138" i="28"/>
  <c r="I138" i="28"/>
  <c r="C139" i="28"/>
  <c r="E139" i="28"/>
  <c r="F139" i="28"/>
  <c r="G139" i="28"/>
  <c r="H139" i="28"/>
  <c r="I139" i="28"/>
  <c r="C144" i="28"/>
  <c r="D144" i="28"/>
  <c r="F144" i="28"/>
  <c r="G144" i="28"/>
  <c r="H144" i="28"/>
  <c r="I144" i="28"/>
  <c r="C143" i="28"/>
  <c r="D143" i="28"/>
  <c r="E143" i="28"/>
  <c r="F143" i="28"/>
  <c r="G143" i="28"/>
  <c r="H143" i="28"/>
  <c r="I143" i="28"/>
  <c r="C142" i="28"/>
  <c r="D142" i="28"/>
  <c r="E142" i="28"/>
  <c r="F142" i="28"/>
  <c r="G142" i="28"/>
  <c r="H142" i="28"/>
  <c r="I142" i="28"/>
  <c r="C141" i="28"/>
  <c r="D141" i="28"/>
  <c r="E141" i="28"/>
  <c r="F141" i="28"/>
  <c r="G141" i="28"/>
  <c r="H141" i="28"/>
  <c r="I141" i="28"/>
  <c r="C140" i="28"/>
  <c r="D140" i="28"/>
  <c r="E140" i="28"/>
  <c r="F140" i="28"/>
  <c r="G140" i="28"/>
  <c r="H140" i="28"/>
  <c r="I140" i="28"/>
  <c r="A104" i="28"/>
  <c r="A98" i="28"/>
  <c r="A96" i="28"/>
  <c r="A94" i="28"/>
  <c r="A92" i="28"/>
  <c r="A90" i="28"/>
  <c r="A88" i="28"/>
  <c r="A86" i="28"/>
  <c r="A84" i="28"/>
  <c r="A82" i="28"/>
  <c r="A80" i="28"/>
  <c r="A78" i="28"/>
  <c r="A76" i="28"/>
  <c r="A74" i="28"/>
  <c r="A72" i="28"/>
  <c r="A70" i="28"/>
  <c r="A68" i="28"/>
  <c r="A66" i="28"/>
  <c r="A64" i="28"/>
  <c r="A62" i="28"/>
  <c r="A60" i="28"/>
  <c r="A58" i="28"/>
  <c r="A56" i="28"/>
  <c r="A54" i="28"/>
  <c r="A52" i="28"/>
  <c r="A50" i="28"/>
  <c r="A48" i="28"/>
  <c r="A46" i="28"/>
  <c r="A44" i="28"/>
  <c r="A42" i="28"/>
  <c r="A40" i="28"/>
  <c r="A38" i="28"/>
  <c r="A36" i="28"/>
  <c r="A34" i="28"/>
  <c r="A32" i="28"/>
  <c r="A30" i="28"/>
  <c r="A28" i="28"/>
  <c r="A26" i="28"/>
  <c r="A24" i="28"/>
  <c r="A22" i="28"/>
  <c r="A20" i="28"/>
  <c r="A18" i="28"/>
  <c r="A16" i="28"/>
  <c r="A14" i="28"/>
  <c r="A12" i="28"/>
  <c r="A10" i="28"/>
  <c r="A8" i="28"/>
  <c r="A6" i="28"/>
  <c r="D5" i="28"/>
  <c r="E5" i="28"/>
  <c r="F5" i="28"/>
  <c r="G5" i="28"/>
  <c r="H5" i="28"/>
  <c r="I5" i="28"/>
  <c r="C3" i="28"/>
  <c r="H3" i="28"/>
  <c r="I1" i="28"/>
  <c r="H1" i="28"/>
  <c r="G1" i="28"/>
  <c r="F1" i="28"/>
  <c r="E1" i="28"/>
  <c r="D1" i="28"/>
  <c r="C1" i="28"/>
  <c r="C110" i="18"/>
  <c r="C112" i="18"/>
  <c r="C113" i="18"/>
  <c r="C114" i="18"/>
  <c r="C115" i="18"/>
  <c r="C5" i="18"/>
  <c r="C108" i="18"/>
  <c r="D112" i="18"/>
  <c r="D113" i="18"/>
  <c r="D114" i="18"/>
  <c r="D115" i="18"/>
  <c r="E110" i="18"/>
  <c r="E112" i="18"/>
  <c r="E115" i="18"/>
  <c r="F110" i="18"/>
  <c r="F112" i="18"/>
  <c r="F113" i="18"/>
  <c r="F114" i="18"/>
  <c r="F115" i="18"/>
  <c r="G113" i="18"/>
  <c r="G114" i="18"/>
  <c r="G115" i="18"/>
  <c r="H110" i="18"/>
  <c r="H112" i="18"/>
  <c r="H113" i="18"/>
  <c r="I110" i="18"/>
  <c r="I112" i="18"/>
  <c r="I113" i="18"/>
  <c r="I114" i="18"/>
  <c r="I115" i="18"/>
  <c r="A82" i="18"/>
  <c r="A106" i="18"/>
  <c r="A100" i="18"/>
  <c r="A98" i="18"/>
  <c r="A96" i="18"/>
  <c r="A94" i="18"/>
  <c r="A92" i="18"/>
  <c r="A90" i="18"/>
  <c r="A88" i="18"/>
  <c r="A86" i="18"/>
  <c r="A84" i="18"/>
  <c r="A80" i="18"/>
  <c r="A78" i="18"/>
  <c r="A76" i="18"/>
  <c r="A74" i="18"/>
  <c r="A72" i="18"/>
  <c r="A70" i="18"/>
  <c r="A68" i="18"/>
  <c r="A66" i="18"/>
  <c r="A64" i="18"/>
  <c r="A62" i="18"/>
  <c r="A60" i="18"/>
  <c r="A58" i="18"/>
  <c r="A56" i="18"/>
  <c r="A54" i="18"/>
  <c r="A52" i="18"/>
  <c r="A50" i="18"/>
  <c r="A48" i="18"/>
  <c r="A46" i="18"/>
  <c r="A44" i="18"/>
  <c r="A42" i="18"/>
  <c r="A40" i="18"/>
  <c r="A38" i="18"/>
  <c r="A36" i="18"/>
  <c r="A34" i="18"/>
  <c r="A32" i="18"/>
  <c r="A30" i="18"/>
  <c r="A28" i="18"/>
  <c r="A26" i="18"/>
  <c r="A24" i="18"/>
  <c r="A22" i="18"/>
  <c r="A18" i="18"/>
  <c r="A16" i="18"/>
  <c r="A14" i="18"/>
  <c r="A12" i="18"/>
  <c r="A10" i="18"/>
  <c r="A8" i="18"/>
  <c r="A6" i="18"/>
  <c r="A20" i="18"/>
  <c r="C141" i="18"/>
  <c r="D141" i="18"/>
  <c r="E141" i="18"/>
  <c r="F141" i="18"/>
  <c r="G141" i="18"/>
  <c r="H141" i="18"/>
  <c r="I141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9" i="18"/>
  <c r="I140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9" i="18"/>
  <c r="H140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9" i="18"/>
  <c r="G140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9" i="18"/>
  <c r="F140" i="18"/>
  <c r="E116" i="18"/>
  <c r="E117" i="18"/>
  <c r="E118" i="18"/>
  <c r="E119" i="18"/>
  <c r="E120" i="18"/>
  <c r="C120" i="18"/>
  <c r="D120" i="18"/>
  <c r="J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9" i="18"/>
  <c r="E140" i="18"/>
  <c r="C116" i="18"/>
  <c r="C117" i="18"/>
  <c r="C118" i="18"/>
  <c r="C119" i="18"/>
  <c r="C121" i="18"/>
  <c r="C122" i="18"/>
  <c r="C123" i="18"/>
  <c r="C124" i="18"/>
  <c r="C125" i="18"/>
  <c r="C126" i="18"/>
  <c r="C127" i="18"/>
  <c r="C128" i="18"/>
  <c r="C129" i="18"/>
  <c r="C130" i="18"/>
  <c r="D130" i="18"/>
  <c r="J130" i="18"/>
  <c r="C131" i="18"/>
  <c r="C132" i="18"/>
  <c r="C133" i="18"/>
  <c r="C134" i="18"/>
  <c r="C135" i="18"/>
  <c r="C139" i="18"/>
  <c r="C140" i="18"/>
  <c r="D116" i="18"/>
  <c r="J116" i="18"/>
  <c r="D117" i="18"/>
  <c r="D118" i="18"/>
  <c r="D119" i="18"/>
  <c r="D121" i="18"/>
  <c r="D122" i="18"/>
  <c r="D123" i="18"/>
  <c r="D124" i="18"/>
  <c r="D125" i="18"/>
  <c r="J125" i="18"/>
  <c r="D126" i="18"/>
  <c r="D127" i="18"/>
  <c r="D128" i="18"/>
  <c r="D129" i="18"/>
  <c r="D131" i="18"/>
  <c r="D132" i="18"/>
  <c r="D133" i="18"/>
  <c r="J133" i="18"/>
  <c r="D134" i="18"/>
  <c r="D135" i="18"/>
  <c r="D139" i="18"/>
  <c r="D140" i="18"/>
  <c r="C146" i="18"/>
  <c r="D146" i="18"/>
  <c r="E146" i="18"/>
  <c r="F146" i="18"/>
  <c r="G146" i="18"/>
  <c r="H146" i="18"/>
  <c r="I146" i="18"/>
  <c r="C145" i="18"/>
  <c r="D145" i="18"/>
  <c r="E145" i="18"/>
  <c r="F145" i="18"/>
  <c r="G145" i="18"/>
  <c r="H145" i="18"/>
  <c r="I145" i="18"/>
  <c r="C144" i="18"/>
  <c r="D144" i="18"/>
  <c r="E144" i="18"/>
  <c r="F144" i="18"/>
  <c r="G144" i="18"/>
  <c r="H144" i="18"/>
  <c r="I144" i="18"/>
  <c r="C143" i="18"/>
  <c r="D143" i="18"/>
  <c r="E143" i="18"/>
  <c r="F143" i="18"/>
  <c r="G143" i="18"/>
  <c r="H143" i="18"/>
  <c r="I143" i="18"/>
  <c r="C142" i="18"/>
  <c r="D142" i="18"/>
  <c r="E142" i="18"/>
  <c r="F142" i="18"/>
  <c r="G142" i="18"/>
  <c r="H142" i="18"/>
  <c r="I142" i="18"/>
  <c r="D5" i="18"/>
  <c r="E5" i="18"/>
  <c r="F5" i="18"/>
  <c r="G5" i="18"/>
  <c r="H5" i="18"/>
  <c r="I5" i="18"/>
  <c r="C3" i="18"/>
  <c r="H3" i="18"/>
  <c r="I1" i="18"/>
  <c r="H1" i="18"/>
  <c r="G1" i="18"/>
  <c r="F1" i="18"/>
  <c r="E1" i="18"/>
  <c r="D1" i="18"/>
  <c r="C1" i="18"/>
  <c r="C130" i="37"/>
  <c r="I139" i="37"/>
  <c r="F133" i="37"/>
  <c r="E140" i="37"/>
  <c r="F135" i="37"/>
  <c r="F132" i="37"/>
  <c r="I140" i="37"/>
  <c r="G129" i="37"/>
  <c r="F134" i="37"/>
  <c r="E135" i="37"/>
  <c r="E129" i="37"/>
  <c r="D133" i="37"/>
  <c r="D127" i="37"/>
  <c r="C126" i="37"/>
  <c r="G131" i="37"/>
  <c r="I141" i="37"/>
  <c r="G130" i="37"/>
  <c r="G141" i="37"/>
  <c r="D140" i="37"/>
  <c r="E133" i="37"/>
  <c r="D130" i="37"/>
  <c r="G135" i="37"/>
  <c r="E134" i="37"/>
  <c r="G132" i="37"/>
  <c r="D131" i="37"/>
  <c r="D129" i="37"/>
  <c r="G125" i="37"/>
  <c r="F129" i="37"/>
  <c r="E130" i="37"/>
  <c r="D126" i="37"/>
  <c r="C115" i="37"/>
  <c r="F139" i="37"/>
  <c r="G133" i="37"/>
  <c r="D132" i="37"/>
  <c r="F130" i="37"/>
  <c r="D128" i="37"/>
  <c r="D121" i="37"/>
  <c r="G119" i="37"/>
  <c r="F127" i="37"/>
  <c r="G134" i="37"/>
  <c r="F131" i="37"/>
  <c r="E131" i="37"/>
  <c r="F128" i="37"/>
  <c r="C127" i="37"/>
  <c r="G126" i="37"/>
  <c r="E120" i="37"/>
  <c r="D124" i="37"/>
  <c r="C120" i="37"/>
  <c r="F125" i="37"/>
  <c r="E119" i="37"/>
  <c r="G127" i="37"/>
  <c r="E125" i="37"/>
  <c r="D119" i="37"/>
  <c r="E127" i="37"/>
  <c r="G123" i="37"/>
  <c r="G128" i="37"/>
  <c r="G121" i="37"/>
  <c r="D125" i="37"/>
  <c r="C121" i="37"/>
  <c r="C114" i="37"/>
  <c r="E124" i="37"/>
  <c r="F121" i="37"/>
  <c r="C118" i="37"/>
  <c r="C113" i="37"/>
  <c r="C112" i="37"/>
  <c r="C110" i="37"/>
  <c r="F124" i="37"/>
  <c r="E118" i="37"/>
  <c r="F117" i="37"/>
  <c r="D117" i="37"/>
  <c r="E121" i="37"/>
  <c r="F115" i="37"/>
  <c r="G124" i="37"/>
  <c r="F126" i="37"/>
  <c r="E126" i="37"/>
  <c r="D123" i="37"/>
  <c r="C116" i="37"/>
  <c r="F123" i="37"/>
  <c r="D120" i="37"/>
  <c r="E117" i="37"/>
  <c r="J137" i="29"/>
  <c r="J132" i="29"/>
  <c r="I108" i="29"/>
  <c r="I117" i="29"/>
  <c r="I114" i="29"/>
  <c r="I122" i="29"/>
  <c r="J122" i="29"/>
  <c r="I113" i="29"/>
  <c r="I112" i="29"/>
  <c r="H116" i="29"/>
  <c r="H113" i="29"/>
  <c r="H121" i="29"/>
  <c r="H112" i="29"/>
  <c r="H111" i="29"/>
  <c r="G115" i="29"/>
  <c r="G112" i="29"/>
  <c r="G120" i="29"/>
  <c r="G128" i="29"/>
  <c r="G111" i="29"/>
  <c r="G119" i="29"/>
  <c r="G110" i="29"/>
  <c r="F114" i="29"/>
  <c r="F111" i="29"/>
  <c r="F119" i="29"/>
  <c r="F127" i="29"/>
  <c r="F110" i="29"/>
  <c r="F118" i="29"/>
  <c r="F108" i="29"/>
  <c r="F117" i="29"/>
  <c r="E113" i="29"/>
  <c r="E110" i="29"/>
  <c r="E118" i="29"/>
  <c r="E126" i="29"/>
  <c r="E108" i="29"/>
  <c r="E117" i="29"/>
  <c r="E116" i="29"/>
  <c r="D112" i="29"/>
  <c r="D108" i="29"/>
  <c r="D117" i="29"/>
  <c r="J117" i="29"/>
  <c r="D125" i="29"/>
  <c r="D116" i="29"/>
  <c r="D115" i="29"/>
  <c r="C111" i="29"/>
  <c r="J111" i="29"/>
  <c r="C119" i="29"/>
  <c r="J119" i="29"/>
  <c r="C116" i="29"/>
  <c r="J116" i="29"/>
  <c r="C124" i="29"/>
  <c r="J124" i="29"/>
  <c r="C115" i="29"/>
  <c r="J115" i="29"/>
  <c r="C114" i="29"/>
  <c r="J114" i="29"/>
  <c r="C129" i="36"/>
  <c r="H139" i="36"/>
  <c r="J138" i="29"/>
  <c r="J133" i="29"/>
  <c r="J127" i="29"/>
  <c r="J110" i="29"/>
  <c r="F119" i="33"/>
  <c r="E122" i="33"/>
  <c r="E118" i="33"/>
  <c r="E129" i="33"/>
  <c r="E116" i="33"/>
  <c r="E125" i="33"/>
  <c r="E119" i="33"/>
  <c r="E131" i="33"/>
  <c r="E120" i="33"/>
  <c r="E1" i="33"/>
  <c r="H111" i="31"/>
  <c r="H110" i="31"/>
  <c r="H114" i="31"/>
  <c r="H121" i="31"/>
  <c r="H129" i="31"/>
  <c r="H135" i="31"/>
  <c r="H1" i="31"/>
  <c r="H106" i="31"/>
  <c r="H120" i="31"/>
  <c r="H128" i="31"/>
  <c r="H138" i="31"/>
  <c r="H119" i="31"/>
  <c r="H125" i="31"/>
  <c r="H131" i="31"/>
  <c r="H142" i="31"/>
  <c r="H118" i="31"/>
  <c r="H124" i="31"/>
  <c r="H130" i="31"/>
  <c r="H137" i="31"/>
  <c r="H115" i="31"/>
  <c r="H126" i="31"/>
  <c r="H141" i="31"/>
  <c r="J139" i="29"/>
  <c r="J123" i="29"/>
  <c r="J112" i="29"/>
  <c r="E115" i="33"/>
  <c r="C122" i="30"/>
  <c r="C135" i="30"/>
  <c r="C139" i="30"/>
  <c r="C143" i="30"/>
  <c r="C115" i="30"/>
  <c r="C121" i="30"/>
  <c r="C125" i="30"/>
  <c r="C129" i="30"/>
  <c r="C146" i="30"/>
  <c r="C112" i="30"/>
  <c r="C118" i="30"/>
  <c r="C133" i="30"/>
  <c r="C141" i="30"/>
  <c r="C128" i="30"/>
  <c r="G116" i="31"/>
  <c r="G122" i="31"/>
  <c r="G135" i="31"/>
  <c r="G115" i="31"/>
  <c r="G121" i="31"/>
  <c r="G126" i="31"/>
  <c r="G141" i="31"/>
  <c r="G108" i="31"/>
  <c r="G112" i="31"/>
  <c r="G117" i="31"/>
  <c r="G123" i="31"/>
  <c r="G129" i="31"/>
  <c r="G136" i="31"/>
  <c r="E108" i="31"/>
  <c r="E106" i="31"/>
  <c r="E118" i="31"/>
  <c r="E126" i="31"/>
  <c r="E140" i="31"/>
  <c r="E112" i="31"/>
  <c r="E117" i="31"/>
  <c r="E125" i="31"/>
  <c r="E141" i="31"/>
  <c r="E109" i="31"/>
  <c r="E111" i="31"/>
  <c r="E124" i="31"/>
  <c r="E130" i="31"/>
  <c r="E137" i="31"/>
  <c r="E123" i="31"/>
  <c r="E129" i="31"/>
  <c r="E136" i="31"/>
  <c r="E138" i="31"/>
  <c r="E120" i="31"/>
  <c r="E1" i="31"/>
  <c r="E110" i="31"/>
  <c r="E114" i="31"/>
  <c r="E131" i="31"/>
  <c r="E142" i="31"/>
  <c r="D113" i="31"/>
  <c r="D121" i="31"/>
  <c r="D127" i="31"/>
  <c r="D140" i="31"/>
  <c r="D120" i="31"/>
  <c r="D126" i="31"/>
  <c r="D108" i="31"/>
  <c r="D110" i="31"/>
  <c r="D114" i="31"/>
  <c r="D131" i="31"/>
  <c r="D122" i="31"/>
  <c r="D128" i="31"/>
  <c r="D135" i="31"/>
  <c r="D139" i="31"/>
  <c r="D1" i="31"/>
  <c r="J144" i="29"/>
  <c r="J128" i="29"/>
  <c r="H144" i="30"/>
  <c r="F146" i="30"/>
  <c r="C140" i="30"/>
  <c r="H134" i="30"/>
  <c r="D132" i="30"/>
  <c r="F129" i="30"/>
  <c r="I126" i="30"/>
  <c r="E124" i="30"/>
  <c r="F121" i="30"/>
  <c r="G118" i="30"/>
  <c r="F115" i="30"/>
  <c r="E112" i="30"/>
  <c r="I141" i="31"/>
  <c r="H136" i="31"/>
  <c r="F131" i="31"/>
  <c r="E128" i="31"/>
  <c r="F125" i="31"/>
  <c r="E122" i="31"/>
  <c r="D119" i="31"/>
  <c r="E116" i="31"/>
  <c r="H112" i="31"/>
  <c r="G144" i="33"/>
  <c r="I134" i="33"/>
  <c r="G125" i="33"/>
  <c r="C104" i="34"/>
  <c r="D104" i="34"/>
  <c r="E104" i="34"/>
  <c r="F104" i="34"/>
  <c r="G104" i="34"/>
  <c r="H104" i="34"/>
  <c r="I104" i="34"/>
  <c r="D121" i="34"/>
  <c r="D141" i="34"/>
  <c r="G146" i="36"/>
  <c r="G135" i="36"/>
  <c r="G125" i="36"/>
  <c r="G143" i="36"/>
  <c r="G142" i="36"/>
  <c r="G131" i="36"/>
  <c r="G145" i="36"/>
  <c r="C145" i="36"/>
  <c r="C111" i="36"/>
  <c r="I115" i="30"/>
  <c r="I114" i="30"/>
  <c r="I122" i="30"/>
  <c r="I130" i="30"/>
  <c r="I112" i="30"/>
  <c r="I118" i="30"/>
  <c r="I125" i="30"/>
  <c r="I129" i="30"/>
  <c r="I145" i="30"/>
  <c r="I110" i="30"/>
  <c r="I117" i="30"/>
  <c r="I132" i="30"/>
  <c r="I140" i="30"/>
  <c r="I1" i="30"/>
  <c r="I123" i="30"/>
  <c r="I127" i="30"/>
  <c r="I113" i="30"/>
  <c r="I119" i="30"/>
  <c r="I131" i="30"/>
  <c r="I135" i="30"/>
  <c r="I139" i="30"/>
  <c r="I142" i="30"/>
  <c r="G113" i="30"/>
  <c r="G121" i="30"/>
  <c r="G112" i="30"/>
  <c r="G120" i="30"/>
  <c r="G128" i="30"/>
  <c r="G124" i="30"/>
  <c r="G141" i="30"/>
  <c r="G119" i="30"/>
  <c r="G131" i="30"/>
  <c r="G135" i="30"/>
  <c r="G139" i="30"/>
  <c r="G142" i="30"/>
  <c r="G116" i="30"/>
  <c r="G122" i="30"/>
  <c r="G126" i="30"/>
  <c r="G143" i="30"/>
  <c r="G130" i="30"/>
  <c r="G134" i="30"/>
  <c r="G144" i="30"/>
  <c r="G1" i="30"/>
  <c r="E110" i="30"/>
  <c r="E119" i="30"/>
  <c r="E118" i="30"/>
  <c r="E126" i="30"/>
  <c r="E134" i="30"/>
  <c r="E139" i="30"/>
  <c r="E114" i="30"/>
  <c r="E120" i="30"/>
  <c r="E123" i="30"/>
  <c r="E140" i="30"/>
  <c r="E113" i="30"/>
  <c r="E130" i="30"/>
  <c r="E144" i="30"/>
  <c r="E125" i="30"/>
  <c r="E145" i="30"/>
  <c r="E115" i="30"/>
  <c r="E121" i="30"/>
  <c r="E129" i="30"/>
  <c r="E133" i="30"/>
  <c r="E146" i="30"/>
  <c r="J143" i="29"/>
  <c r="J120" i="29"/>
  <c r="J108" i="29"/>
  <c r="G118" i="31"/>
  <c r="F115" i="31"/>
  <c r="G111" i="31"/>
  <c r="I106" i="31"/>
  <c r="E111" i="33"/>
  <c r="F1" i="32"/>
  <c r="E131" i="32"/>
  <c r="E116" i="32"/>
  <c r="E120" i="32"/>
  <c r="E125" i="32"/>
  <c r="E122" i="32"/>
  <c r="E135" i="32"/>
  <c r="E142" i="32"/>
  <c r="E106" i="32"/>
  <c r="E115" i="32"/>
  <c r="E141" i="32"/>
  <c r="E1" i="32"/>
  <c r="D115" i="32"/>
  <c r="D112" i="32"/>
  <c r="C120" i="32"/>
  <c r="C111" i="32"/>
  <c r="C127" i="32"/>
  <c r="C131" i="32"/>
  <c r="H126" i="34"/>
  <c r="H118" i="34"/>
  <c r="H141" i="34"/>
  <c r="G118" i="34"/>
  <c r="G137" i="34"/>
  <c r="G106" i="34"/>
  <c r="E121" i="34"/>
  <c r="E129" i="34"/>
  <c r="I124" i="36"/>
  <c r="I116" i="36"/>
  <c r="I117" i="36"/>
  <c r="I128" i="36"/>
  <c r="H142" i="36"/>
  <c r="F115" i="36"/>
  <c r="F126" i="36"/>
  <c r="F131" i="36"/>
  <c r="D140" i="36"/>
  <c r="D135" i="36"/>
  <c r="D127" i="36"/>
  <c r="D145" i="36"/>
  <c r="D128" i="36"/>
  <c r="D132" i="36"/>
  <c r="D144" i="36"/>
  <c r="D134" i="36"/>
  <c r="J142" i="29"/>
  <c r="J129" i="29"/>
  <c r="J125" i="29"/>
  <c r="J118" i="29"/>
  <c r="C144" i="30"/>
  <c r="H141" i="30"/>
  <c r="H128" i="30"/>
  <c r="C126" i="30"/>
  <c r="F123" i="30"/>
  <c r="G117" i="30"/>
  <c r="C138" i="31"/>
  <c r="F130" i="31"/>
  <c r="E127" i="31"/>
  <c r="F124" i="31"/>
  <c r="E121" i="31"/>
  <c r="D118" i="31"/>
  <c r="E115" i="31"/>
  <c r="F111" i="31"/>
  <c r="D117" i="32"/>
  <c r="D115" i="34"/>
  <c r="H117" i="32"/>
  <c r="G116" i="32"/>
  <c r="G121" i="32"/>
  <c r="G126" i="32"/>
  <c r="G130" i="32"/>
  <c r="G138" i="32"/>
  <c r="G108" i="32"/>
  <c r="G114" i="32"/>
  <c r="G137" i="32"/>
  <c r="G1" i="32"/>
  <c r="G136" i="32"/>
  <c r="G140" i="32"/>
  <c r="G112" i="32"/>
  <c r="G122" i="32"/>
  <c r="G139" i="32"/>
  <c r="G113" i="32"/>
  <c r="G119" i="32"/>
  <c r="G123" i="32"/>
  <c r="G135" i="32"/>
  <c r="C135" i="36"/>
  <c r="J141" i="29"/>
  <c r="J130" i="29"/>
  <c r="J121" i="29"/>
  <c r="C108" i="30"/>
  <c r="D108" i="30"/>
  <c r="H119" i="33"/>
  <c r="F113" i="33"/>
  <c r="H114" i="34"/>
  <c r="I134" i="36"/>
  <c r="I113" i="31"/>
  <c r="J126" i="29"/>
  <c r="J113" i="29"/>
  <c r="E126" i="33"/>
  <c r="E118" i="32"/>
  <c r="C122" i="36"/>
  <c r="H123" i="30"/>
  <c r="F116" i="30"/>
  <c r="D134" i="30"/>
  <c r="F134" i="30"/>
  <c r="J134" i="30"/>
  <c r="F141" i="31"/>
  <c r="C106" i="31"/>
  <c r="D106" i="31"/>
  <c r="G106" i="31"/>
  <c r="J106" i="31"/>
  <c r="H143" i="30"/>
  <c r="F145" i="30"/>
  <c r="D141" i="30"/>
  <c r="H126" i="30"/>
  <c r="F125" i="30"/>
  <c r="D124" i="30"/>
  <c r="H122" i="30"/>
  <c r="F118" i="30"/>
  <c r="H116" i="30"/>
  <c r="D112" i="30"/>
  <c r="I138" i="31"/>
  <c r="C125" i="31"/>
  <c r="F120" i="31"/>
  <c r="C119" i="31"/>
  <c r="I115" i="31"/>
  <c r="H138" i="32"/>
  <c r="H127" i="32"/>
  <c r="E135" i="34"/>
  <c r="E144" i="36"/>
  <c r="H140" i="36"/>
  <c r="I123" i="36"/>
  <c r="I132" i="36"/>
  <c r="I127" i="36"/>
  <c r="I130" i="36"/>
  <c r="I133" i="36"/>
  <c r="I120" i="36"/>
  <c r="I111" i="36"/>
  <c r="F116" i="36"/>
  <c r="F133" i="36"/>
  <c r="F143" i="36"/>
  <c r="F129" i="36"/>
  <c r="F141" i="36"/>
  <c r="D122" i="36"/>
  <c r="C110" i="36"/>
  <c r="C125" i="36"/>
  <c r="D111" i="30"/>
  <c r="C117" i="30"/>
  <c r="C116" i="30"/>
  <c r="C124" i="30"/>
  <c r="C132" i="30"/>
  <c r="G110" i="31"/>
  <c r="G109" i="31"/>
  <c r="G120" i="31"/>
  <c r="G128" i="31"/>
  <c r="G138" i="31"/>
  <c r="G113" i="31"/>
  <c r="G119" i="31"/>
  <c r="G127" i="31"/>
  <c r="G139" i="31"/>
  <c r="G1" i="31"/>
  <c r="D115" i="31"/>
  <c r="D112" i="31"/>
  <c r="D117" i="31"/>
  <c r="D125" i="31"/>
  <c r="D141" i="31"/>
  <c r="D109" i="31"/>
  <c r="D116" i="31"/>
  <c r="D124" i="31"/>
  <c r="D142" i="31"/>
  <c r="H1" i="30"/>
  <c r="H142" i="30"/>
  <c r="F144" i="30"/>
  <c r="D146" i="30"/>
  <c r="H139" i="30"/>
  <c r="H135" i="30"/>
  <c r="H131" i="30"/>
  <c r="F130" i="30"/>
  <c r="D129" i="30"/>
  <c r="D121" i="30"/>
  <c r="H119" i="30"/>
  <c r="D115" i="30"/>
  <c r="F113" i="30"/>
  <c r="F138" i="31"/>
  <c r="C139" i="31"/>
  <c r="I137" i="31"/>
  <c r="F136" i="31"/>
  <c r="C135" i="31"/>
  <c r="F129" i="31"/>
  <c r="C128" i="31"/>
  <c r="I124" i="31"/>
  <c r="F123" i="31"/>
  <c r="C122" i="31"/>
  <c r="I118" i="31"/>
  <c r="F117" i="31"/>
  <c r="F112" i="31"/>
  <c r="H139" i="32"/>
  <c r="I130" i="32"/>
  <c r="H118" i="32"/>
  <c r="D106" i="32"/>
  <c r="H134" i="33"/>
  <c r="H120" i="33"/>
  <c r="I146" i="33"/>
  <c r="G123" i="33"/>
  <c r="D111" i="33"/>
  <c r="F107" i="32"/>
  <c r="C110" i="32"/>
  <c r="C130" i="32"/>
  <c r="C114" i="32"/>
  <c r="C117" i="32"/>
  <c r="C119" i="32"/>
  <c r="C124" i="32"/>
  <c r="C141" i="32"/>
  <c r="C139" i="32"/>
  <c r="C121" i="32"/>
  <c r="C137" i="32"/>
  <c r="C109" i="32"/>
  <c r="C140" i="32"/>
  <c r="E131" i="34"/>
  <c r="D107" i="34"/>
  <c r="D119" i="34"/>
  <c r="C1" i="36"/>
  <c r="F132" i="36"/>
  <c r="F128" i="36"/>
  <c r="C123" i="36"/>
  <c r="F143" i="30"/>
  <c r="D145" i="30"/>
  <c r="H127" i="30"/>
  <c r="F126" i="30"/>
  <c r="F122" i="30"/>
  <c r="F1" i="31"/>
  <c r="I140" i="31"/>
  <c r="I127" i="31"/>
  <c r="C117" i="31"/>
  <c r="C112" i="31"/>
  <c r="C110" i="31"/>
  <c r="C108" i="31"/>
  <c r="D142" i="32"/>
  <c r="H130" i="32"/>
  <c r="H133" i="33"/>
  <c r="E138" i="32"/>
  <c r="E128" i="32"/>
  <c r="E124" i="32"/>
  <c r="E127" i="32"/>
  <c r="G126" i="34"/>
  <c r="F139" i="36"/>
  <c r="H144" i="33"/>
  <c r="I118" i="32"/>
  <c r="I123" i="32"/>
  <c r="I142" i="32"/>
  <c r="I136" i="32"/>
  <c r="I117" i="32"/>
  <c r="I141" i="32"/>
  <c r="I139" i="32"/>
  <c r="I124" i="32"/>
  <c r="I129" i="32"/>
  <c r="D126" i="32"/>
  <c r="D128" i="32"/>
  <c r="D110" i="32"/>
  <c r="D127" i="32"/>
  <c r="D118" i="32"/>
  <c r="D121" i="32"/>
  <c r="D138" i="32"/>
  <c r="I139" i="34"/>
  <c r="H146" i="36"/>
  <c r="H111" i="36"/>
  <c r="H143" i="36"/>
  <c r="C112" i="36"/>
  <c r="C118" i="36"/>
  <c r="C140" i="36"/>
  <c r="C126" i="36"/>
  <c r="C130" i="36"/>
  <c r="C134" i="36"/>
  <c r="H114" i="30"/>
  <c r="H113" i="30"/>
  <c r="H121" i="30"/>
  <c r="H129" i="30"/>
  <c r="F112" i="30"/>
  <c r="F120" i="30"/>
  <c r="F110" i="30"/>
  <c r="F119" i="30"/>
  <c r="F127" i="30"/>
  <c r="F135" i="30"/>
  <c r="F140" i="30"/>
  <c r="I112" i="31"/>
  <c r="I111" i="31"/>
  <c r="I122" i="31"/>
  <c r="I130" i="31"/>
  <c r="I136" i="31"/>
  <c r="I110" i="31"/>
  <c r="I114" i="31"/>
  <c r="I121" i="31"/>
  <c r="I129" i="31"/>
  <c r="I135" i="31"/>
  <c r="H121" i="33"/>
  <c r="H132" i="33"/>
  <c r="H141" i="33"/>
  <c r="G132" i="33"/>
  <c r="F142" i="33"/>
  <c r="F115" i="33"/>
  <c r="D142" i="33"/>
  <c r="C133" i="33"/>
  <c r="H113" i="32"/>
  <c r="H136" i="32"/>
  <c r="H140" i="32"/>
  <c r="H121" i="32"/>
  <c r="H1" i="32"/>
  <c r="H129" i="32"/>
  <c r="H114" i="32"/>
  <c r="I123" i="34"/>
  <c r="E127" i="36"/>
  <c r="E130" i="36"/>
  <c r="E135" i="36"/>
  <c r="E143" i="36"/>
  <c r="E119" i="36"/>
  <c r="E124" i="36"/>
  <c r="E1" i="36"/>
  <c r="E120" i="36"/>
  <c r="E146" i="36"/>
  <c r="D118" i="30"/>
  <c r="D117" i="30"/>
  <c r="D125" i="30"/>
  <c r="D133" i="30"/>
  <c r="F109" i="31"/>
  <c r="F108" i="31"/>
  <c r="J108" i="31"/>
  <c r="F110" i="31"/>
  <c r="J110" i="31"/>
  <c r="F113" i="31"/>
  <c r="J113" i="31"/>
  <c r="F119" i="31"/>
  <c r="F127" i="31"/>
  <c r="F139" i="31"/>
  <c r="F118" i="31"/>
  <c r="F126" i="31"/>
  <c r="F140" i="31"/>
  <c r="D1" i="30"/>
  <c r="D142" i="30"/>
  <c r="H146" i="30"/>
  <c r="H133" i="30"/>
  <c r="F132" i="30"/>
  <c r="D131" i="30"/>
  <c r="F128" i="30"/>
  <c r="D127" i="30"/>
  <c r="F117" i="30"/>
  <c r="H115" i="30"/>
  <c r="D110" i="30"/>
  <c r="I139" i="31"/>
  <c r="I128" i="31"/>
  <c r="C118" i="31"/>
  <c r="C115" i="31"/>
  <c r="I131" i="32"/>
  <c r="I128" i="32"/>
  <c r="F140" i="33"/>
  <c r="F127" i="33"/>
  <c r="F107" i="34"/>
  <c r="F106" i="34"/>
  <c r="E141" i="36"/>
  <c r="E131" i="36"/>
  <c r="C114" i="31"/>
  <c r="C109" i="31"/>
  <c r="C116" i="31"/>
  <c r="C124" i="31"/>
  <c r="C142" i="31"/>
  <c r="C123" i="31"/>
  <c r="C131" i="31"/>
  <c r="C137" i="31"/>
  <c r="H113" i="33"/>
  <c r="E112" i="33"/>
  <c r="C120" i="33"/>
  <c r="C129" i="33"/>
  <c r="H142" i="32"/>
  <c r="G131" i="32"/>
  <c r="H107" i="34"/>
  <c r="H139" i="34"/>
  <c r="C111" i="34"/>
  <c r="E109" i="29"/>
  <c r="H117" i="33"/>
  <c r="H142" i="33"/>
  <c r="E111" i="34"/>
  <c r="C113" i="34"/>
  <c r="C122" i="37"/>
  <c r="I140" i="32"/>
  <c r="G139" i="34"/>
  <c r="F108" i="34"/>
  <c r="G119" i="36"/>
  <c r="F113" i="36"/>
  <c r="C125" i="37"/>
  <c r="E123" i="37"/>
  <c r="G120" i="37"/>
  <c r="C119" i="37"/>
  <c r="I125" i="33"/>
  <c r="F131" i="33"/>
  <c r="I115" i="34"/>
  <c r="H124" i="34"/>
  <c r="F120" i="37"/>
  <c r="F118" i="37"/>
  <c r="H138" i="28"/>
  <c r="F131" i="28"/>
  <c r="E131" i="28"/>
  <c r="F137" i="28"/>
  <c r="F133" i="28"/>
  <c r="F130" i="28"/>
  <c r="G116" i="37"/>
  <c r="G117" i="37"/>
  <c r="F119" i="37"/>
  <c r="G118" i="37"/>
  <c r="G115" i="37"/>
  <c r="E112" i="37"/>
  <c r="D115" i="37"/>
  <c r="E115" i="37"/>
  <c r="G113" i="37"/>
  <c r="D112" i="37"/>
  <c r="E114" i="37"/>
  <c r="F113" i="37"/>
  <c r="D122" i="37"/>
  <c r="D118" i="37"/>
  <c r="D116" i="37"/>
  <c r="D114" i="37"/>
  <c r="D110" i="37"/>
  <c r="G112" i="37"/>
  <c r="F112" i="37"/>
  <c r="E110" i="37"/>
  <c r="I111" i="37"/>
  <c r="E111" i="37"/>
  <c r="G114" i="37"/>
  <c r="I122" i="37"/>
  <c r="F116" i="37"/>
  <c r="F114" i="37"/>
  <c r="D111" i="37"/>
  <c r="F111" i="37"/>
  <c r="H111" i="37"/>
  <c r="H110" i="37"/>
  <c r="G111" i="37"/>
  <c r="G122" i="37"/>
  <c r="I110" i="37"/>
  <c r="E113" i="37"/>
  <c r="G110" i="37"/>
  <c r="C111" i="37"/>
  <c r="E116" i="37"/>
  <c r="D113" i="37"/>
  <c r="F110" i="37"/>
  <c r="E122" i="37"/>
  <c r="H132" i="28"/>
  <c r="G130" i="28"/>
  <c r="I131" i="28"/>
  <c r="G131" i="28"/>
  <c r="D130" i="28"/>
  <c r="C121" i="28"/>
  <c r="I132" i="28"/>
  <c r="H131" i="28"/>
  <c r="E144" i="28"/>
  <c r="G129" i="28"/>
  <c r="D129" i="28"/>
  <c r="D132" i="28"/>
  <c r="C131" i="28"/>
  <c r="C128" i="28"/>
  <c r="C127" i="28"/>
  <c r="D139" i="28"/>
  <c r="C138" i="28"/>
  <c r="H130" i="28"/>
  <c r="D128" i="28"/>
  <c r="E113" i="18"/>
  <c r="J113" i="18"/>
  <c r="H115" i="18"/>
  <c r="J115" i="18"/>
  <c r="G110" i="18"/>
  <c r="H114" i="18"/>
  <c r="D110" i="18"/>
  <c r="J110" i="18"/>
  <c r="G112" i="18"/>
  <c r="J112" i="18"/>
  <c r="E114" i="18"/>
  <c r="J114" i="18"/>
  <c r="J140" i="18"/>
  <c r="J129" i="18"/>
  <c r="J121" i="18"/>
  <c r="J146" i="18"/>
  <c r="J117" i="18"/>
  <c r="J131" i="18"/>
  <c r="J123" i="18"/>
  <c r="I111" i="18"/>
  <c r="J132" i="18"/>
  <c r="J124" i="18"/>
  <c r="C111" i="18"/>
  <c r="J145" i="18"/>
  <c r="J141" i="18"/>
  <c r="D111" i="18"/>
  <c r="E111" i="18"/>
  <c r="J144" i="18"/>
  <c r="J139" i="18"/>
  <c r="J128" i="18"/>
  <c r="F111" i="18"/>
  <c r="J143" i="18"/>
  <c r="J135" i="18"/>
  <c r="J127" i="18"/>
  <c r="J119" i="18"/>
  <c r="G111" i="18"/>
  <c r="J142" i="18"/>
  <c r="J134" i="18"/>
  <c r="J126" i="18"/>
  <c r="J118" i="18"/>
  <c r="J122" i="18"/>
  <c r="H111" i="18"/>
  <c r="I127" i="28"/>
  <c r="G126" i="28"/>
  <c r="F128" i="28"/>
  <c r="E128" i="28"/>
  <c r="D126" i="28"/>
  <c r="C125" i="28"/>
  <c r="F129" i="28"/>
  <c r="E129" i="28"/>
  <c r="E126" i="28"/>
  <c r="E130" i="28"/>
  <c r="C126" i="28"/>
  <c r="D125" i="28"/>
  <c r="E127" i="28"/>
  <c r="I124" i="28"/>
  <c r="H126" i="28"/>
  <c r="E123" i="28"/>
  <c r="H124" i="28"/>
  <c r="I126" i="28"/>
  <c r="H125" i="28"/>
  <c r="G125" i="28"/>
  <c r="F124" i="28"/>
  <c r="E122" i="28"/>
  <c r="D127" i="28"/>
  <c r="I128" i="28"/>
  <c r="H127" i="28"/>
  <c r="I123" i="28"/>
  <c r="I129" i="28"/>
  <c r="H128" i="28"/>
  <c r="G127" i="28"/>
  <c r="H123" i="28"/>
  <c r="I130" i="28"/>
  <c r="H129" i="28"/>
  <c r="G128" i="28"/>
  <c r="F127" i="28"/>
  <c r="F125" i="28"/>
  <c r="G123" i="28"/>
  <c r="F126" i="28"/>
  <c r="E125" i="28"/>
  <c r="D124" i="28"/>
  <c r="C119" i="28"/>
  <c r="I125" i="28"/>
  <c r="G124" i="28"/>
  <c r="D123" i="28"/>
  <c r="G122" i="28"/>
  <c r="E124" i="28"/>
  <c r="F122" i="28"/>
  <c r="D122" i="28"/>
  <c r="F123" i="28"/>
  <c r="C122" i="28"/>
  <c r="E121" i="28"/>
  <c r="C123" i="28"/>
  <c r="J123" i="28"/>
  <c r="H122" i="28"/>
  <c r="D120" i="28"/>
  <c r="D121" i="28"/>
  <c r="I121" i="28"/>
  <c r="F121" i="28"/>
  <c r="I120" i="28"/>
  <c r="G121" i="28"/>
  <c r="E120" i="28"/>
  <c r="D115" i="28"/>
  <c r="C120" i="28"/>
  <c r="F119" i="28"/>
  <c r="D108" i="28"/>
  <c r="E119" i="28"/>
  <c r="D119" i="28"/>
  <c r="E118" i="28"/>
  <c r="F120" i="28"/>
  <c r="C115" i="28"/>
  <c r="C108" i="28"/>
  <c r="D118" i="28"/>
  <c r="D117" i="28"/>
  <c r="G118" i="28"/>
  <c r="C117" i="28"/>
  <c r="I122" i="28"/>
  <c r="H121" i="28"/>
  <c r="G113" i="28"/>
  <c r="F115" i="28"/>
  <c r="E117" i="28"/>
  <c r="E110" i="28"/>
  <c r="D116" i="28"/>
  <c r="F118" i="28"/>
  <c r="G116" i="28"/>
  <c r="G119" i="28"/>
  <c r="G115" i="28"/>
  <c r="H120" i="28"/>
  <c r="G117" i="28"/>
  <c r="G120" i="28"/>
  <c r="F117" i="28"/>
  <c r="E114" i="28"/>
  <c r="E116" i="28"/>
  <c r="D113" i="28"/>
  <c r="C111" i="28"/>
  <c r="F116" i="28"/>
  <c r="D114" i="28"/>
  <c r="G114" i="28"/>
  <c r="E113" i="28"/>
  <c r="D112" i="28"/>
  <c r="E115" i="28"/>
  <c r="E112" i="28"/>
  <c r="G111" i="28"/>
  <c r="E111" i="28"/>
  <c r="D111" i="28"/>
  <c r="G112" i="28"/>
  <c r="D110" i="28"/>
  <c r="C110" i="28"/>
  <c r="G110" i="28"/>
  <c r="E108" i="28"/>
  <c r="C114" i="28"/>
  <c r="C112" i="28"/>
  <c r="J137" i="28"/>
  <c r="E109" i="28"/>
  <c r="I119" i="28"/>
  <c r="H119" i="28"/>
  <c r="F108" i="28"/>
  <c r="J127" i="28"/>
  <c r="G108" i="28"/>
  <c r="I108" i="28"/>
  <c r="H108" i="28"/>
  <c r="J142" i="28"/>
  <c r="J130" i="28"/>
  <c r="J122" i="28"/>
  <c r="H118" i="28"/>
  <c r="H117" i="28"/>
  <c r="H116" i="28"/>
  <c r="H115" i="28"/>
  <c r="H114" i="28"/>
  <c r="H113" i="28"/>
  <c r="H112" i="28"/>
  <c r="H111" i="28"/>
  <c r="H110" i="28"/>
  <c r="I109" i="28"/>
  <c r="J141" i="28"/>
  <c r="J131" i="28"/>
  <c r="J140" i="28"/>
  <c r="J132" i="28"/>
  <c r="J124" i="28"/>
  <c r="F114" i="28"/>
  <c r="F113" i="28"/>
  <c r="F112" i="28"/>
  <c r="F111" i="28"/>
  <c r="F110" i="28"/>
  <c r="J133" i="28"/>
  <c r="J125" i="28"/>
  <c r="F109" i="28"/>
  <c r="D109" i="28"/>
  <c r="J138" i="28"/>
  <c r="J139" i="28"/>
  <c r="J144" i="28"/>
  <c r="G109" i="28"/>
  <c r="J143" i="28"/>
  <c r="J129" i="28"/>
  <c r="I118" i="28"/>
  <c r="I117" i="28"/>
  <c r="I116" i="28"/>
  <c r="I115" i="28"/>
  <c r="I114" i="28"/>
  <c r="I113" i="28"/>
  <c r="I112" i="28"/>
  <c r="I111" i="28"/>
  <c r="I110" i="28"/>
  <c r="D3" i="37"/>
  <c r="E1" i="35"/>
  <c r="H3" i="32"/>
  <c r="E142" i="35"/>
  <c r="F3" i="34"/>
  <c r="D3" i="28"/>
  <c r="F3" i="28"/>
  <c r="H3" i="30"/>
  <c r="I1" i="35"/>
  <c r="F132" i="35"/>
  <c r="C143" i="35"/>
  <c r="H3" i="29"/>
  <c r="E119" i="35"/>
  <c r="I144" i="35"/>
  <c r="H141" i="35"/>
  <c r="C1" i="35"/>
  <c r="G113" i="35"/>
  <c r="F145" i="35"/>
  <c r="F3" i="37"/>
  <c r="D3" i="30"/>
  <c r="D3" i="31"/>
  <c r="D3" i="35"/>
  <c r="D3" i="36"/>
  <c r="F3" i="31"/>
  <c r="F3" i="35"/>
  <c r="I140" i="35"/>
  <c r="F3" i="36"/>
  <c r="D3" i="29"/>
  <c r="F142" i="35"/>
  <c r="D3" i="34"/>
  <c r="E132" i="35"/>
  <c r="H145" i="35"/>
  <c r="D3" i="18"/>
  <c r="F3" i="18"/>
  <c r="D106" i="28"/>
  <c r="C136" i="18"/>
  <c r="C138" i="18"/>
  <c r="D108" i="18"/>
  <c r="C137" i="18"/>
  <c r="E106" i="29"/>
  <c r="E108" i="30"/>
  <c r="D136" i="30"/>
  <c r="D137" i="30"/>
  <c r="D138" i="30"/>
  <c r="J145" i="30"/>
  <c r="J125" i="30"/>
  <c r="J138" i="31"/>
  <c r="J119" i="31"/>
  <c r="J143" i="30"/>
  <c r="J135" i="30"/>
  <c r="J127" i="30"/>
  <c r="J119" i="30"/>
  <c r="J110" i="30"/>
  <c r="J129" i="31"/>
  <c r="J121" i="31"/>
  <c r="J114" i="31"/>
  <c r="J142" i="30"/>
  <c r="J139" i="30"/>
  <c r="J128" i="30"/>
  <c r="J120" i="30"/>
  <c r="J112" i="30"/>
  <c r="J142" i="31"/>
  <c r="J135" i="31"/>
  <c r="J130" i="31"/>
  <c r="J122" i="31"/>
  <c r="J140" i="30"/>
  <c r="J129" i="30"/>
  <c r="J121" i="30"/>
  <c r="J113" i="30"/>
  <c r="J141" i="31"/>
  <c r="J136" i="31"/>
  <c r="J131" i="31"/>
  <c r="J123" i="31"/>
  <c r="J115" i="31"/>
  <c r="J141" i="30"/>
  <c r="J130" i="30"/>
  <c r="J122" i="30"/>
  <c r="J114" i="30"/>
  <c r="J137" i="31"/>
  <c r="E104" i="31"/>
  <c r="J124" i="31"/>
  <c r="J116" i="31"/>
  <c r="F104" i="32"/>
  <c r="J131" i="30"/>
  <c r="J123" i="30"/>
  <c r="J115" i="30"/>
  <c r="J140" i="31"/>
  <c r="J125" i="31"/>
  <c r="J117" i="31"/>
  <c r="J146" i="30"/>
  <c r="J132" i="30"/>
  <c r="J124" i="30"/>
  <c r="J116" i="30"/>
  <c r="J139" i="31"/>
  <c r="I109" i="29"/>
  <c r="G143" i="33"/>
  <c r="G145" i="33"/>
  <c r="D139" i="33"/>
  <c r="G135" i="33"/>
  <c r="C130" i="33"/>
  <c r="C128" i="33"/>
  <c r="F126" i="33"/>
  <c r="G124" i="33"/>
  <c r="I122" i="33"/>
  <c r="C114" i="33"/>
  <c r="C112" i="33"/>
  <c r="I138" i="34"/>
  <c r="G140" i="34"/>
  <c r="D136" i="34"/>
  <c r="G130" i="34"/>
  <c r="I127" i="34"/>
  <c r="D125" i="34"/>
  <c r="G122" i="34"/>
  <c r="I119" i="34"/>
  <c r="G116" i="34"/>
  <c r="F109" i="34"/>
  <c r="G106" i="32"/>
  <c r="G115" i="32"/>
  <c r="G111" i="32"/>
  <c r="G110" i="32"/>
  <c r="G118" i="32"/>
  <c r="D113" i="32"/>
  <c r="D109" i="32"/>
  <c r="D108" i="32"/>
  <c r="D116" i="32"/>
  <c r="D124" i="32"/>
  <c r="I114" i="34"/>
  <c r="I1" i="34"/>
  <c r="I117" i="34"/>
  <c r="I120" i="34"/>
  <c r="I124" i="34"/>
  <c r="I128" i="34"/>
  <c r="I110" i="34"/>
  <c r="I112" i="34"/>
  <c r="I135" i="34"/>
  <c r="I142" i="34"/>
  <c r="I106" i="34"/>
  <c r="I118" i="34"/>
  <c r="I122" i="34"/>
  <c r="I126" i="34"/>
  <c r="I130" i="34"/>
  <c r="I109" i="34"/>
  <c r="I111" i="34"/>
  <c r="I137" i="34"/>
  <c r="I140" i="34"/>
  <c r="G112" i="34"/>
  <c r="G119" i="34"/>
  <c r="G123" i="34"/>
  <c r="G127" i="34"/>
  <c r="G131" i="34"/>
  <c r="G121" i="34"/>
  <c r="G125" i="34"/>
  <c r="G129" i="34"/>
  <c r="G113" i="34"/>
  <c r="G136" i="34"/>
  <c r="G141" i="34"/>
  <c r="G1" i="34"/>
  <c r="E110" i="34"/>
  <c r="E118" i="34"/>
  <c r="E114" i="34"/>
  <c r="E116" i="34"/>
  <c r="E139" i="34"/>
  <c r="E106" i="34"/>
  <c r="E122" i="34"/>
  <c r="E126" i="34"/>
  <c r="E130" i="34"/>
  <c r="E113" i="34"/>
  <c r="E115" i="34"/>
  <c r="E136" i="34"/>
  <c r="E141" i="34"/>
  <c r="E108" i="34"/>
  <c r="E120" i="34"/>
  <c r="E124" i="34"/>
  <c r="E128" i="34"/>
  <c r="C108" i="34"/>
  <c r="C116" i="34"/>
  <c r="C1" i="34"/>
  <c r="C109" i="34"/>
  <c r="C117" i="34"/>
  <c r="D109" i="29"/>
  <c r="G1" i="33"/>
  <c r="D143" i="33"/>
  <c r="F145" i="33"/>
  <c r="I140" i="33"/>
  <c r="F135" i="33"/>
  <c r="G133" i="33"/>
  <c r="G131" i="33"/>
  <c r="I129" i="33"/>
  <c r="F124" i="33"/>
  <c r="C118" i="33"/>
  <c r="C116" i="33"/>
  <c r="G112" i="33"/>
  <c r="G113" i="33"/>
  <c r="G114" i="33"/>
  <c r="G115" i="33"/>
  <c r="G116" i="33"/>
  <c r="G117" i="33"/>
  <c r="G118" i="33"/>
  <c r="G119" i="33"/>
  <c r="G120" i="33"/>
  <c r="G121" i="33"/>
  <c r="G122" i="33"/>
  <c r="G126" i="33"/>
  <c r="G134" i="33"/>
  <c r="G139" i="33"/>
  <c r="G142" i="33"/>
  <c r="G110" i="33"/>
  <c r="G130" i="33"/>
  <c r="G146" i="33"/>
  <c r="G129" i="33"/>
  <c r="D110" i="33"/>
  <c r="D144" i="33"/>
  <c r="D141" i="33"/>
  <c r="D140" i="33"/>
  <c r="G138" i="34"/>
  <c r="E140" i="34"/>
  <c r="E127" i="34"/>
  <c r="E119" i="34"/>
  <c r="D112" i="34"/>
  <c r="G108" i="34"/>
  <c r="H108" i="32"/>
  <c r="H107" i="32"/>
  <c r="H112" i="32"/>
  <c r="H111" i="32"/>
  <c r="H119" i="32"/>
  <c r="D122" i="35"/>
  <c r="D124" i="35"/>
  <c r="D113" i="35"/>
  <c r="D115" i="35"/>
  <c r="D126" i="35"/>
  <c r="D114" i="35"/>
  <c r="D116" i="35"/>
  <c r="D1" i="35"/>
  <c r="D129" i="35"/>
  <c r="D131" i="35"/>
  <c r="D111" i="35"/>
  <c r="D144" i="35"/>
  <c r="D139" i="35"/>
  <c r="D121" i="35"/>
  <c r="D130" i="35"/>
  <c r="D134" i="35"/>
  <c r="D146" i="35"/>
  <c r="D123" i="35"/>
  <c r="D145" i="35"/>
  <c r="D132" i="35"/>
  <c r="C112" i="35"/>
  <c r="C114" i="35"/>
  <c r="C133" i="35"/>
  <c r="C121" i="35"/>
  <c r="C130" i="35"/>
  <c r="C146" i="35"/>
  <c r="C123" i="35"/>
  <c r="C128" i="35"/>
  <c r="C141" i="35"/>
  <c r="C142" i="35"/>
  <c r="E140" i="32"/>
  <c r="D141" i="32"/>
  <c r="C142" i="32"/>
  <c r="H135" i="32"/>
  <c r="H128" i="32"/>
  <c r="G127" i="32"/>
  <c r="E126" i="32"/>
  <c r="D125" i="32"/>
  <c r="H122" i="32"/>
  <c r="E121" i="32"/>
  <c r="G117" i="32"/>
  <c r="D114" i="32"/>
  <c r="E112" i="32"/>
  <c r="H110" i="32"/>
  <c r="I108" i="32"/>
  <c r="H1" i="33"/>
  <c r="I142" i="33"/>
  <c r="C143" i="33"/>
  <c r="D145" i="33"/>
  <c r="G140" i="33"/>
  <c r="E133" i="33"/>
  <c r="H129" i="33"/>
  <c r="I127" i="33"/>
  <c r="C124" i="33"/>
  <c r="C122" i="33"/>
  <c r="H115" i="33"/>
  <c r="E138" i="34"/>
  <c r="I141" i="34"/>
  <c r="G135" i="34"/>
  <c r="I129" i="34"/>
  <c r="D127" i="34"/>
  <c r="G124" i="34"/>
  <c r="I121" i="34"/>
  <c r="G115" i="34"/>
  <c r="C112" i="34"/>
  <c r="H143" i="35"/>
  <c r="H117" i="35"/>
  <c r="H119" i="35"/>
  <c r="H134" i="35"/>
  <c r="H133" i="35"/>
  <c r="H122" i="35"/>
  <c r="H126" i="35"/>
  <c r="H130" i="35"/>
  <c r="H139" i="35"/>
  <c r="H1" i="35"/>
  <c r="H135" i="35"/>
  <c r="G116" i="35"/>
  <c r="G118" i="35"/>
  <c r="G129" i="35"/>
  <c r="G140" i="35"/>
  <c r="G117" i="35"/>
  <c r="G119" i="35"/>
  <c r="G121" i="35"/>
  <c r="G125" i="35"/>
  <c r="G127" i="35"/>
  <c r="G146" i="35"/>
  <c r="G133" i="35"/>
  <c r="G144" i="35"/>
  <c r="G142" i="35"/>
  <c r="G126" i="35"/>
  <c r="G139" i="35"/>
  <c r="G135" i="35"/>
  <c r="G143" i="35"/>
  <c r="G1" i="35"/>
  <c r="F120" i="35"/>
  <c r="F144" i="35"/>
  <c r="F112" i="35"/>
  <c r="F116" i="35"/>
  <c r="F118" i="35"/>
  <c r="F126" i="35"/>
  <c r="F139" i="35"/>
  <c r="F115" i="35"/>
  <c r="F134" i="35"/>
  <c r="F117" i="35"/>
  <c r="F124" i="35"/>
  <c r="F128" i="35"/>
  <c r="E110" i="35"/>
  <c r="E118" i="35"/>
  <c r="E126" i="35"/>
  <c r="E134" i="35"/>
  <c r="E139" i="35"/>
  <c r="E113" i="35"/>
  <c r="E121" i="35"/>
  <c r="E129" i="35"/>
  <c r="E112" i="35"/>
  <c r="E120" i="35"/>
  <c r="E128" i="35"/>
  <c r="E141" i="35"/>
  <c r="E131" i="35"/>
  <c r="E133" i="35"/>
  <c r="E144" i="35"/>
  <c r="E122" i="35"/>
  <c r="E124" i="35"/>
  <c r="E135" i="35"/>
  <c r="E111" i="35"/>
  <c r="E123" i="35"/>
  <c r="E125" i="35"/>
  <c r="E114" i="35"/>
  <c r="E116" i="35"/>
  <c r="E127" i="35"/>
  <c r="E146" i="35"/>
  <c r="E140" i="35"/>
  <c r="E115" i="35"/>
  <c r="E130" i="35"/>
  <c r="E117" i="35"/>
  <c r="E143" i="35"/>
  <c r="E145" i="35"/>
  <c r="H109" i="29"/>
  <c r="C109" i="29"/>
  <c r="C136" i="29"/>
  <c r="I113" i="33"/>
  <c r="I117" i="33"/>
  <c r="I121" i="33"/>
  <c r="I128" i="33"/>
  <c r="I141" i="33"/>
  <c r="I110" i="33"/>
  <c r="I115" i="33"/>
  <c r="I119" i="33"/>
  <c r="I124" i="33"/>
  <c r="I132" i="33"/>
  <c r="I111" i="33"/>
  <c r="I144" i="33"/>
  <c r="I123" i="33"/>
  <c r="I131" i="33"/>
  <c r="I145" i="33"/>
  <c r="I1" i="33"/>
  <c r="F110" i="33"/>
  <c r="F112" i="33"/>
  <c r="F116" i="33"/>
  <c r="F120" i="33"/>
  <c r="F125" i="33"/>
  <c r="F133" i="33"/>
  <c r="F143" i="33"/>
  <c r="F1" i="33"/>
  <c r="F114" i="33"/>
  <c r="F118" i="33"/>
  <c r="F122" i="33"/>
  <c r="F129" i="33"/>
  <c r="F111" i="33"/>
  <c r="F128" i="33"/>
  <c r="F141" i="33"/>
  <c r="C112" i="32"/>
  <c r="C108" i="32"/>
  <c r="C116" i="32"/>
  <c r="C106" i="32"/>
  <c r="C115" i="32"/>
  <c r="C123" i="32"/>
  <c r="H108" i="34"/>
  <c r="H110" i="34"/>
  <c r="H135" i="34"/>
  <c r="H142" i="34"/>
  <c r="H138" i="34"/>
  <c r="H119" i="34"/>
  <c r="H123" i="34"/>
  <c r="H127" i="34"/>
  <c r="H131" i="34"/>
  <c r="H109" i="34"/>
  <c r="H111" i="34"/>
  <c r="H137" i="34"/>
  <c r="H140" i="34"/>
  <c r="H1" i="34"/>
  <c r="H121" i="34"/>
  <c r="H125" i="34"/>
  <c r="H129" i="34"/>
  <c r="F112" i="34"/>
  <c r="F114" i="34"/>
  <c r="F116" i="34"/>
  <c r="F115" i="34"/>
  <c r="F117" i="34"/>
  <c r="D106" i="34"/>
  <c r="D122" i="34"/>
  <c r="D126" i="34"/>
  <c r="D130" i="34"/>
  <c r="D118" i="34"/>
  <c r="D137" i="34"/>
  <c r="D140" i="34"/>
  <c r="D120" i="34"/>
  <c r="D124" i="34"/>
  <c r="D128" i="34"/>
  <c r="D135" i="34"/>
  <c r="D142" i="34"/>
  <c r="D138" i="34"/>
  <c r="F141" i="35"/>
  <c r="C109" i="28"/>
  <c r="C136" i="28"/>
  <c r="D3" i="33"/>
  <c r="F3" i="33"/>
  <c r="H128" i="35"/>
  <c r="F144" i="33"/>
  <c r="F146" i="33"/>
  <c r="I139" i="33"/>
  <c r="C108" i="33"/>
  <c r="D108" i="33"/>
  <c r="D5" i="33"/>
  <c r="E5" i="33"/>
  <c r="F5" i="33"/>
  <c r="G5" i="33"/>
  <c r="H5" i="33"/>
  <c r="I5" i="33"/>
  <c r="F134" i="33"/>
  <c r="I130" i="33"/>
  <c r="F123" i="33"/>
  <c r="F121" i="33"/>
  <c r="I112" i="33"/>
  <c r="H110" i="33"/>
  <c r="H127" i="33"/>
  <c r="H135" i="33"/>
  <c r="H140" i="33"/>
  <c r="H123" i="33"/>
  <c r="H131" i="33"/>
  <c r="H145" i="33"/>
  <c r="H114" i="33"/>
  <c r="H118" i="33"/>
  <c r="H122" i="33"/>
  <c r="H130" i="33"/>
  <c r="H146" i="33"/>
  <c r="C115" i="33"/>
  <c r="C119" i="33"/>
  <c r="C123" i="33"/>
  <c r="C131" i="33"/>
  <c r="C145" i="33"/>
  <c r="C110" i="33"/>
  <c r="C113" i="33"/>
  <c r="C117" i="33"/>
  <c r="C121" i="33"/>
  <c r="C127" i="33"/>
  <c r="C135" i="33"/>
  <c r="C111" i="33"/>
  <c r="C140" i="33"/>
  <c r="C126" i="33"/>
  <c r="C134" i="33"/>
  <c r="C139" i="33"/>
  <c r="C142" i="33"/>
  <c r="E137" i="34"/>
  <c r="H128" i="34"/>
  <c r="E123" i="34"/>
  <c r="H120" i="34"/>
  <c r="H117" i="34"/>
  <c r="D114" i="34"/>
  <c r="G110" i="34"/>
  <c r="I109" i="32"/>
  <c r="I113" i="32"/>
  <c r="I112" i="32"/>
  <c r="I120" i="32"/>
  <c r="C125" i="35"/>
  <c r="D3" i="32"/>
  <c r="C138" i="32"/>
  <c r="E137" i="32"/>
  <c r="D136" i="32"/>
  <c r="C135" i="32"/>
  <c r="E130" i="32"/>
  <c r="D129" i="32"/>
  <c r="C128" i="32"/>
  <c r="I125" i="32"/>
  <c r="H124" i="32"/>
  <c r="E123" i="32"/>
  <c r="C122" i="32"/>
  <c r="H120" i="32"/>
  <c r="E119" i="32"/>
  <c r="C118" i="32"/>
  <c r="I116" i="32"/>
  <c r="E113" i="32"/>
  <c r="E111" i="32"/>
  <c r="H109" i="32"/>
  <c r="I106" i="32"/>
  <c r="C1" i="33"/>
  <c r="I143" i="33"/>
  <c r="C144" i="33"/>
  <c r="D146" i="33"/>
  <c r="G141" i="33"/>
  <c r="H139" i="33"/>
  <c r="G111" i="33"/>
  <c r="E134" i="33"/>
  <c r="F132" i="33"/>
  <c r="F130" i="33"/>
  <c r="H128" i="33"/>
  <c r="I126" i="33"/>
  <c r="C125" i="33"/>
  <c r="E123" i="33"/>
  <c r="I116" i="33"/>
  <c r="I114" i="33"/>
  <c r="H112" i="33"/>
  <c r="E1" i="34"/>
  <c r="D139" i="34"/>
  <c r="G142" i="34"/>
  <c r="I136" i="34"/>
  <c r="D131" i="34"/>
  <c r="G128" i="34"/>
  <c r="I125" i="34"/>
  <c r="D123" i="34"/>
  <c r="G120" i="34"/>
  <c r="G117" i="34"/>
  <c r="C114" i="34"/>
  <c r="D110" i="34"/>
  <c r="G124" i="35"/>
  <c r="H141" i="32"/>
  <c r="G142" i="32"/>
  <c r="D137" i="32"/>
  <c r="F137" i="32"/>
  <c r="J137" i="32"/>
  <c r="C136" i="32"/>
  <c r="D130" i="32"/>
  <c r="C129" i="32"/>
  <c r="I126" i="32"/>
  <c r="H125" i="32"/>
  <c r="G124" i="32"/>
  <c r="D123" i="32"/>
  <c r="I121" i="32"/>
  <c r="G120" i="32"/>
  <c r="D119" i="32"/>
  <c r="H116" i="32"/>
  <c r="I114" i="32"/>
  <c r="C113" i="32"/>
  <c r="D111" i="32"/>
  <c r="G109" i="32"/>
  <c r="H106" i="32"/>
  <c r="D1" i="33"/>
  <c r="H143" i="33"/>
  <c r="C146" i="33"/>
  <c r="C141" i="33"/>
  <c r="F139" i="33"/>
  <c r="I135" i="33"/>
  <c r="I133" i="33"/>
  <c r="C132" i="33"/>
  <c r="E130" i="33"/>
  <c r="G128" i="33"/>
  <c r="H126" i="33"/>
  <c r="H124" i="33"/>
  <c r="I120" i="33"/>
  <c r="I118" i="33"/>
  <c r="H116" i="33"/>
  <c r="E114" i="33"/>
  <c r="E139" i="33"/>
  <c r="E140" i="33"/>
  <c r="E141" i="33"/>
  <c r="E146" i="33"/>
  <c r="E145" i="33"/>
  <c r="E144" i="33"/>
  <c r="E143" i="33"/>
  <c r="E142" i="33"/>
  <c r="E124" i="33"/>
  <c r="E132" i="33"/>
  <c r="E110" i="33"/>
  <c r="E128" i="33"/>
  <c r="E113" i="33"/>
  <c r="E117" i="33"/>
  <c r="E121" i="33"/>
  <c r="E127" i="33"/>
  <c r="E135" i="33"/>
  <c r="F1" i="34"/>
  <c r="E142" i="34"/>
  <c r="H136" i="34"/>
  <c r="H130" i="34"/>
  <c r="E125" i="34"/>
  <c r="H122" i="34"/>
  <c r="H116" i="34"/>
  <c r="D113" i="34"/>
  <c r="G109" i="34"/>
  <c r="E114" i="32"/>
  <c r="E107" i="32"/>
  <c r="E109" i="32"/>
  <c r="E110" i="32"/>
  <c r="E132" i="32"/>
  <c r="E117" i="32"/>
  <c r="I107" i="34"/>
  <c r="G107" i="34"/>
  <c r="E107" i="34"/>
  <c r="C107" i="34"/>
  <c r="C108" i="35"/>
  <c r="D5" i="35"/>
  <c r="E5" i="35"/>
  <c r="F5" i="35"/>
  <c r="G5" i="35"/>
  <c r="H5" i="35"/>
  <c r="I5" i="35"/>
  <c r="H111" i="33"/>
  <c r="D112" i="33"/>
  <c r="D113" i="33"/>
  <c r="D114" i="33"/>
  <c r="D115" i="33"/>
  <c r="D116" i="33"/>
  <c r="D117" i="33"/>
  <c r="D118" i="33"/>
  <c r="D119" i="33"/>
  <c r="D120" i="33"/>
  <c r="J120" i="33"/>
  <c r="D121" i="33"/>
  <c r="D122" i="33"/>
  <c r="D123" i="33"/>
  <c r="D124" i="33"/>
  <c r="D125" i="33"/>
  <c r="D126" i="33"/>
  <c r="D127" i="33"/>
  <c r="D128" i="33"/>
  <c r="D129" i="33"/>
  <c r="J129" i="33"/>
  <c r="D130" i="33"/>
  <c r="D131" i="33"/>
  <c r="D132" i="33"/>
  <c r="D133" i="33"/>
  <c r="J133" i="33"/>
  <c r="D134" i="33"/>
  <c r="D135" i="33"/>
  <c r="I107" i="32"/>
  <c r="I1" i="32"/>
  <c r="F106" i="32"/>
  <c r="F108" i="32"/>
  <c r="F109" i="32"/>
  <c r="F110" i="32"/>
  <c r="F111" i="32"/>
  <c r="F133" i="32"/>
  <c r="F112" i="32"/>
  <c r="F113" i="32"/>
  <c r="F114" i="32"/>
  <c r="F115" i="32"/>
  <c r="F116" i="32"/>
  <c r="F117" i="32"/>
  <c r="F118" i="32"/>
  <c r="F119" i="32"/>
  <c r="F120" i="32"/>
  <c r="J120" i="32"/>
  <c r="F121" i="32"/>
  <c r="J121" i="32"/>
  <c r="F122" i="32"/>
  <c r="F123" i="32"/>
  <c r="F124" i="32"/>
  <c r="F125" i="32"/>
  <c r="F126" i="32"/>
  <c r="F127" i="32"/>
  <c r="J127" i="32"/>
  <c r="F128" i="32"/>
  <c r="F129" i="32"/>
  <c r="F130" i="32"/>
  <c r="F131" i="32"/>
  <c r="J131" i="32"/>
  <c r="F135" i="32"/>
  <c r="F136" i="32"/>
  <c r="F142" i="32"/>
  <c r="F141" i="32"/>
  <c r="F140" i="32"/>
  <c r="F139" i="32"/>
  <c r="J139" i="32"/>
  <c r="F138" i="32"/>
  <c r="H113" i="34"/>
  <c r="H112" i="34"/>
  <c r="H106" i="34"/>
  <c r="H115" i="34"/>
  <c r="F111" i="34"/>
  <c r="F110" i="34"/>
  <c r="F132" i="34"/>
  <c r="F118" i="34"/>
  <c r="F119" i="34"/>
  <c r="F120" i="34"/>
  <c r="F121" i="34"/>
  <c r="F122" i="34"/>
  <c r="F123" i="34"/>
  <c r="F124" i="34"/>
  <c r="F125" i="34"/>
  <c r="F126" i="34"/>
  <c r="F127" i="34"/>
  <c r="F128" i="34"/>
  <c r="F129" i="34"/>
  <c r="F130" i="34"/>
  <c r="F131" i="34"/>
  <c r="F135" i="34"/>
  <c r="F136" i="34"/>
  <c r="F137" i="34"/>
  <c r="F142" i="34"/>
  <c r="F141" i="34"/>
  <c r="F140" i="34"/>
  <c r="F139" i="34"/>
  <c r="F138" i="34"/>
  <c r="F113" i="34"/>
  <c r="D109" i="34"/>
  <c r="D117" i="34"/>
  <c r="D108" i="34"/>
  <c r="D111" i="34"/>
  <c r="D134" i="34"/>
  <c r="D116" i="34"/>
  <c r="D1" i="34"/>
  <c r="I145" i="35"/>
  <c r="G132" i="35"/>
  <c r="D118" i="35"/>
  <c r="I139" i="35"/>
  <c r="F131" i="35"/>
  <c r="H109" i="28"/>
  <c r="F109" i="29"/>
  <c r="I113" i="34"/>
  <c r="G111" i="34"/>
  <c r="E109" i="34"/>
  <c r="C106" i="34"/>
  <c r="C110" i="34"/>
  <c r="C133" i="34"/>
  <c r="H112" i="35"/>
  <c r="C129" i="35"/>
  <c r="C122" i="35"/>
  <c r="C120" i="35"/>
  <c r="H114" i="35"/>
  <c r="H110" i="35"/>
  <c r="D114" i="36"/>
  <c r="E118" i="36"/>
  <c r="E126" i="36"/>
  <c r="E134" i="36"/>
  <c r="E139" i="36"/>
  <c r="E142" i="36"/>
  <c r="E115" i="36"/>
  <c r="E128" i="36"/>
  <c r="E132" i="36"/>
  <c r="E122" i="36"/>
  <c r="E121" i="36"/>
  <c r="E125" i="36"/>
  <c r="E111" i="36"/>
  <c r="E140" i="36"/>
  <c r="E145" i="36"/>
  <c r="E112" i="36"/>
  <c r="E116" i="36"/>
  <c r="E129" i="36"/>
  <c r="E133" i="36"/>
  <c r="F107" i="31"/>
  <c r="C138" i="34"/>
  <c r="J138" i="34"/>
  <c r="C139" i="34"/>
  <c r="J139" i="34"/>
  <c r="C140" i="34"/>
  <c r="C141" i="34"/>
  <c r="C142" i="34"/>
  <c r="J142" i="34"/>
  <c r="C137" i="34"/>
  <c r="J137" i="34"/>
  <c r="C136" i="34"/>
  <c r="J136" i="34"/>
  <c r="C135" i="34"/>
  <c r="J135" i="34"/>
  <c r="C134" i="34"/>
  <c r="C131" i="34"/>
  <c r="C130" i="34"/>
  <c r="J130" i="34"/>
  <c r="C129" i="34"/>
  <c r="J129" i="34"/>
  <c r="C128" i="34"/>
  <c r="C127" i="34"/>
  <c r="J127" i="34"/>
  <c r="C126" i="34"/>
  <c r="J126" i="34"/>
  <c r="C125" i="34"/>
  <c r="J125" i="34"/>
  <c r="C124" i="34"/>
  <c r="C123" i="34"/>
  <c r="C122" i="34"/>
  <c r="J122" i="34"/>
  <c r="C121" i="34"/>
  <c r="J121" i="34"/>
  <c r="C120" i="34"/>
  <c r="C119" i="34"/>
  <c r="J119" i="34"/>
  <c r="C118" i="34"/>
  <c r="J118" i="34"/>
  <c r="I116" i="34"/>
  <c r="G114" i="34"/>
  <c r="E112" i="34"/>
  <c r="J110" i="34"/>
  <c r="I108" i="34"/>
  <c r="H142" i="35"/>
  <c r="F143" i="35"/>
  <c r="I141" i="35"/>
  <c r="H111" i="35"/>
  <c r="G134" i="35"/>
  <c r="C131" i="35"/>
  <c r="F125" i="35"/>
  <c r="F123" i="35"/>
  <c r="F110" i="35"/>
  <c r="C108" i="36"/>
  <c r="D5" i="36"/>
  <c r="E5" i="36"/>
  <c r="F5" i="36"/>
  <c r="G5" i="36"/>
  <c r="H5" i="36"/>
  <c r="I5" i="36"/>
  <c r="G121" i="36"/>
  <c r="C119" i="36"/>
  <c r="G112" i="36"/>
  <c r="G120" i="36"/>
  <c r="G128" i="36"/>
  <c r="G111" i="36"/>
  <c r="G141" i="36"/>
  <c r="G116" i="36"/>
  <c r="G129" i="36"/>
  <c r="G133" i="36"/>
  <c r="G139" i="36"/>
  <c r="G123" i="36"/>
  <c r="G127" i="36"/>
  <c r="G122" i="36"/>
  <c r="G126" i="36"/>
  <c r="G144" i="36"/>
  <c r="G113" i="36"/>
  <c r="G117" i="36"/>
  <c r="G130" i="36"/>
  <c r="G134" i="36"/>
  <c r="G140" i="36"/>
  <c r="G1" i="36"/>
  <c r="H107" i="31"/>
  <c r="D121" i="36"/>
  <c r="G118" i="36"/>
  <c r="E113" i="36"/>
  <c r="I139" i="36"/>
  <c r="I140" i="36"/>
  <c r="I141" i="36"/>
  <c r="I146" i="36"/>
  <c r="I145" i="36"/>
  <c r="I144" i="36"/>
  <c r="I143" i="36"/>
  <c r="I142" i="36"/>
  <c r="I113" i="36"/>
  <c r="I121" i="36"/>
  <c r="I129" i="36"/>
  <c r="I112" i="36"/>
  <c r="I125" i="36"/>
  <c r="I115" i="36"/>
  <c r="I119" i="36"/>
  <c r="I114" i="36"/>
  <c r="I118" i="36"/>
  <c r="I131" i="36"/>
  <c r="I135" i="36"/>
  <c r="I1" i="36"/>
  <c r="I122" i="36"/>
  <c r="I126" i="36"/>
  <c r="D113" i="36"/>
  <c r="D126" i="36"/>
  <c r="D130" i="36"/>
  <c r="I111" i="30"/>
  <c r="H113" i="35"/>
  <c r="H121" i="35"/>
  <c r="H129" i="35"/>
  <c r="H116" i="35"/>
  <c r="H124" i="35"/>
  <c r="H132" i="35"/>
  <c r="H144" i="35"/>
  <c r="H115" i="35"/>
  <c r="H123" i="35"/>
  <c r="H131" i="35"/>
  <c r="C110" i="35"/>
  <c r="C116" i="35"/>
  <c r="C124" i="35"/>
  <c r="C132" i="35"/>
  <c r="C144" i="35"/>
  <c r="J144" i="35"/>
  <c r="C119" i="35"/>
  <c r="C127" i="35"/>
  <c r="C135" i="35"/>
  <c r="C140" i="35"/>
  <c r="C118" i="35"/>
  <c r="C126" i="35"/>
  <c r="C134" i="35"/>
  <c r="C111" i="35"/>
  <c r="C139" i="35"/>
  <c r="J139" i="35"/>
  <c r="D118" i="36"/>
  <c r="G115" i="36"/>
  <c r="C113" i="36"/>
  <c r="F114" i="36"/>
  <c r="F118" i="36"/>
  <c r="H118" i="36"/>
  <c r="J118" i="36"/>
  <c r="D112" i="36"/>
  <c r="G111" i="30"/>
  <c r="E107" i="31"/>
  <c r="C111" i="30"/>
  <c r="C137" i="30"/>
  <c r="D115" i="36"/>
  <c r="F112" i="36"/>
  <c r="E110" i="36"/>
  <c r="E117" i="34"/>
  <c r="C115" i="34"/>
  <c r="J115" i="34"/>
  <c r="C145" i="35"/>
  <c r="H140" i="35"/>
  <c r="F133" i="35"/>
  <c r="H120" i="35"/>
  <c r="H118" i="35"/>
  <c r="C117" i="35"/>
  <c r="I146" i="35"/>
  <c r="I143" i="35"/>
  <c r="I142" i="35"/>
  <c r="I111" i="35"/>
  <c r="G110" i="35"/>
  <c r="G111" i="35"/>
  <c r="G112" i="35"/>
  <c r="G120" i="35"/>
  <c r="G128" i="35"/>
  <c r="G141" i="35"/>
  <c r="G115" i="35"/>
  <c r="G123" i="35"/>
  <c r="G131" i="35"/>
  <c r="G145" i="35"/>
  <c r="G114" i="35"/>
  <c r="G122" i="35"/>
  <c r="G130" i="35"/>
  <c r="D117" i="35"/>
  <c r="D125" i="35"/>
  <c r="D133" i="35"/>
  <c r="D143" i="35"/>
  <c r="J143" i="35"/>
  <c r="D142" i="35"/>
  <c r="D112" i="35"/>
  <c r="D120" i="35"/>
  <c r="D128" i="35"/>
  <c r="D141" i="35"/>
  <c r="D119" i="35"/>
  <c r="D127" i="35"/>
  <c r="D135" i="35"/>
  <c r="D140" i="35"/>
  <c r="G132" i="36"/>
  <c r="F122" i="36"/>
  <c r="E117" i="36"/>
  <c r="G114" i="36"/>
  <c r="G110" i="36"/>
  <c r="D107" i="31"/>
  <c r="D133" i="31"/>
  <c r="G107" i="32"/>
  <c r="D107" i="32"/>
  <c r="H146" i="35"/>
  <c r="H127" i="35"/>
  <c r="H125" i="35"/>
  <c r="C115" i="35"/>
  <c r="C113" i="35"/>
  <c r="F119" i="35"/>
  <c r="F127" i="35"/>
  <c r="F135" i="35"/>
  <c r="F140" i="35"/>
  <c r="F114" i="35"/>
  <c r="F122" i="35"/>
  <c r="F130" i="35"/>
  <c r="F146" i="35"/>
  <c r="F1" i="35"/>
  <c r="F113" i="35"/>
  <c r="F121" i="35"/>
  <c r="F129" i="35"/>
  <c r="F111" i="35"/>
  <c r="E114" i="36"/>
  <c r="I110" i="36"/>
  <c r="C116" i="36"/>
  <c r="C124" i="36"/>
  <c r="C132" i="36"/>
  <c r="C144" i="36"/>
  <c r="C114" i="36"/>
  <c r="C115" i="36"/>
  <c r="C137" i="36"/>
  <c r="C127" i="36"/>
  <c r="C131" i="36"/>
  <c r="C143" i="36"/>
  <c r="C117" i="36"/>
  <c r="C121" i="36"/>
  <c r="C120" i="36"/>
  <c r="C133" i="36"/>
  <c r="C139" i="36"/>
  <c r="C146" i="36"/>
  <c r="C128" i="36"/>
  <c r="C142" i="36"/>
  <c r="F111" i="30"/>
  <c r="H144" i="36"/>
  <c r="F145" i="36"/>
  <c r="D146" i="36"/>
  <c r="D139" i="36"/>
  <c r="F125" i="36"/>
  <c r="D124" i="36"/>
  <c r="F121" i="36"/>
  <c r="D120" i="36"/>
  <c r="H110" i="36"/>
  <c r="F110" i="36"/>
  <c r="D110" i="36"/>
  <c r="J110" i="36"/>
  <c r="H141" i="36"/>
  <c r="J141" i="36"/>
  <c r="F134" i="36"/>
  <c r="F130" i="36"/>
  <c r="D129" i="36"/>
  <c r="H129" i="36"/>
  <c r="J129" i="36"/>
  <c r="F117" i="36"/>
  <c r="D116" i="36"/>
  <c r="H111" i="30"/>
  <c r="G107" i="31"/>
  <c r="H112" i="36"/>
  <c r="H113" i="36"/>
  <c r="H114" i="36"/>
  <c r="H115" i="36"/>
  <c r="H116" i="36"/>
  <c r="H117" i="36"/>
  <c r="H119" i="36"/>
  <c r="H120" i="36"/>
  <c r="H121" i="36"/>
  <c r="H122" i="36"/>
  <c r="H123" i="36"/>
  <c r="H124" i="36"/>
  <c r="H125" i="36"/>
  <c r="H126" i="36"/>
  <c r="H127" i="36"/>
  <c r="H128" i="36"/>
  <c r="H130" i="36"/>
  <c r="H131" i="36"/>
  <c r="H132" i="36"/>
  <c r="H133" i="36"/>
  <c r="H134" i="36"/>
  <c r="H135" i="36"/>
  <c r="H1" i="36"/>
  <c r="F1" i="36"/>
  <c r="F119" i="36"/>
  <c r="F127" i="36"/>
  <c r="F135" i="36"/>
  <c r="F140" i="36"/>
  <c r="J140" i="36"/>
  <c r="D111" i="36"/>
  <c r="D117" i="36"/>
  <c r="D125" i="36"/>
  <c r="J125" i="36"/>
  <c r="D133" i="36"/>
  <c r="D143" i="36"/>
  <c r="E108" i="37"/>
  <c r="I110" i="35"/>
  <c r="I112" i="35"/>
  <c r="I113" i="35"/>
  <c r="I114" i="35"/>
  <c r="I115" i="35"/>
  <c r="I116" i="35"/>
  <c r="I117" i="35"/>
  <c r="I118" i="35"/>
  <c r="I119" i="35"/>
  <c r="I120" i="35"/>
  <c r="I121" i="35"/>
  <c r="I122" i="35"/>
  <c r="I123" i="35"/>
  <c r="I124" i="35"/>
  <c r="I125" i="35"/>
  <c r="I126" i="35"/>
  <c r="I127" i="35"/>
  <c r="I128" i="35"/>
  <c r="I129" i="35"/>
  <c r="I130" i="35"/>
  <c r="I131" i="35"/>
  <c r="I132" i="35"/>
  <c r="I133" i="35"/>
  <c r="I134" i="35"/>
  <c r="I135" i="35"/>
  <c r="D110" i="35"/>
  <c r="D1" i="36"/>
  <c r="F142" i="36"/>
  <c r="H145" i="36"/>
  <c r="F146" i="36"/>
  <c r="F111" i="36"/>
  <c r="F124" i="36"/>
  <c r="D123" i="36"/>
  <c r="J123" i="36"/>
  <c r="F120" i="36"/>
  <c r="D119" i="36"/>
  <c r="E111" i="30"/>
  <c r="C107" i="31"/>
  <c r="C133" i="31"/>
  <c r="I107" i="31"/>
  <c r="I135" i="37"/>
  <c r="I134" i="37"/>
  <c r="I133" i="37"/>
  <c r="I132" i="37"/>
  <c r="I131" i="37"/>
  <c r="I130" i="37"/>
  <c r="I129" i="37"/>
  <c r="I128" i="37"/>
  <c r="I127" i="37"/>
  <c r="I126" i="37"/>
  <c r="I125" i="37"/>
  <c r="I124" i="37"/>
  <c r="I123" i="37"/>
  <c r="I121" i="37"/>
  <c r="I120" i="37"/>
  <c r="I119" i="37"/>
  <c r="I118" i="37"/>
  <c r="I117" i="37"/>
  <c r="I116" i="37"/>
  <c r="I115" i="37"/>
  <c r="I114" i="37"/>
  <c r="I113" i="37"/>
  <c r="I112" i="37"/>
  <c r="H122" i="37"/>
  <c r="H142" i="37"/>
  <c r="J142" i="37"/>
  <c r="H143" i="37"/>
  <c r="J143" i="37"/>
  <c r="H144" i="37"/>
  <c r="J144" i="37"/>
  <c r="H145" i="37"/>
  <c r="J145" i="37"/>
  <c r="H146" i="37"/>
  <c r="J146" i="37"/>
  <c r="H141" i="37"/>
  <c r="J141" i="37"/>
  <c r="H140" i="37"/>
  <c r="J140" i="37"/>
  <c r="H139" i="37"/>
  <c r="J139" i="37"/>
  <c r="H135" i="37"/>
  <c r="J135" i="37"/>
  <c r="H134" i="37"/>
  <c r="J134" i="37"/>
  <c r="H133" i="37"/>
  <c r="J133" i="37"/>
  <c r="H132" i="37"/>
  <c r="J132" i="37"/>
  <c r="H131" i="37"/>
  <c r="J131" i="37"/>
  <c r="H130" i="37"/>
  <c r="J130" i="37"/>
  <c r="H129" i="37"/>
  <c r="J129" i="37"/>
  <c r="H128" i="37"/>
  <c r="J128" i="37"/>
  <c r="H127" i="37"/>
  <c r="H126" i="37"/>
  <c r="J126" i="37"/>
  <c r="H125" i="37"/>
  <c r="J125" i="37"/>
  <c r="H124" i="37"/>
  <c r="J124" i="37"/>
  <c r="H123" i="37"/>
  <c r="J123" i="37"/>
  <c r="H121" i="37"/>
  <c r="J121" i="37"/>
  <c r="H120" i="37"/>
  <c r="J120" i="37"/>
  <c r="H119" i="37"/>
  <c r="H118" i="37"/>
  <c r="J118" i="37"/>
  <c r="H117" i="37"/>
  <c r="J117" i="37"/>
  <c r="H116" i="37"/>
  <c r="H115" i="37"/>
  <c r="J115" i="37"/>
  <c r="H114" i="37"/>
  <c r="J114" i="37"/>
  <c r="H113" i="37"/>
  <c r="J113" i="37"/>
  <c r="H112" i="37"/>
  <c r="F122" i="37"/>
  <c r="J128" i="28"/>
  <c r="J120" i="28"/>
  <c r="J126" i="28"/>
  <c r="J121" i="28"/>
  <c r="J120" i="34"/>
  <c r="J128" i="34"/>
  <c r="J122" i="36"/>
  <c r="J113" i="34"/>
  <c r="D147" i="30"/>
  <c r="J109" i="31"/>
  <c r="J112" i="31"/>
  <c r="J128" i="31"/>
  <c r="J133" i="30"/>
  <c r="J135" i="36"/>
  <c r="I132" i="34"/>
  <c r="J141" i="32"/>
  <c r="J111" i="31"/>
  <c r="J118" i="30"/>
  <c r="J141" i="34"/>
  <c r="F133" i="34"/>
  <c r="F134" i="34"/>
  <c r="F143" i="34"/>
  <c r="J117" i="32"/>
  <c r="J140" i="32"/>
  <c r="J130" i="36"/>
  <c r="J145" i="36"/>
  <c r="J125" i="32"/>
  <c r="J117" i="30"/>
  <c r="J126" i="30"/>
  <c r="J134" i="36"/>
  <c r="J112" i="36"/>
  <c r="J126" i="36"/>
  <c r="J124" i="34"/>
  <c r="J111" i="34"/>
  <c r="J110" i="32"/>
  <c r="J126" i="32"/>
  <c r="D138" i="37"/>
  <c r="J126" i="31"/>
  <c r="J139" i="36"/>
  <c r="J114" i="32"/>
  <c r="J127" i="31"/>
  <c r="J144" i="30"/>
  <c r="J120" i="31"/>
  <c r="J118" i="31"/>
  <c r="E133" i="34"/>
  <c r="J130" i="32"/>
  <c r="C136" i="33"/>
  <c r="J109" i="32"/>
  <c r="J119" i="28"/>
  <c r="J111" i="37"/>
  <c r="D136" i="37"/>
  <c r="D137" i="37"/>
  <c r="J116" i="37"/>
  <c r="J127" i="37"/>
  <c r="J122" i="37"/>
  <c r="J119" i="37"/>
  <c r="J110" i="37"/>
  <c r="C136" i="37"/>
  <c r="C137" i="37"/>
  <c r="C138" i="37"/>
  <c r="J111" i="18"/>
  <c r="J108" i="28"/>
  <c r="J112" i="28"/>
  <c r="J116" i="28"/>
  <c r="J113" i="28"/>
  <c r="J117" i="28"/>
  <c r="J114" i="28"/>
  <c r="J118" i="28"/>
  <c r="J110" i="28"/>
  <c r="J111" i="28"/>
  <c r="J115" i="28"/>
  <c r="C137" i="35"/>
  <c r="J133" i="36"/>
  <c r="J144" i="36"/>
  <c r="J134" i="35"/>
  <c r="J111" i="32"/>
  <c r="J117" i="33"/>
  <c r="J115" i="32"/>
  <c r="E133" i="32"/>
  <c r="J128" i="35"/>
  <c r="I134" i="34"/>
  <c r="E134" i="32"/>
  <c r="D134" i="31"/>
  <c r="E136" i="30"/>
  <c r="F108" i="30"/>
  <c r="E137" i="30"/>
  <c r="E138" i="30"/>
  <c r="E108" i="18"/>
  <c r="D136" i="18"/>
  <c r="D138" i="18"/>
  <c r="D137" i="18"/>
  <c r="J120" i="36"/>
  <c r="J126" i="35"/>
  <c r="J132" i="35"/>
  <c r="D108" i="36"/>
  <c r="C136" i="36"/>
  <c r="C138" i="36"/>
  <c r="J106" i="34"/>
  <c r="J113" i="32"/>
  <c r="J128" i="32"/>
  <c r="J125" i="35"/>
  <c r="J134" i="33"/>
  <c r="J113" i="33"/>
  <c r="D133" i="34"/>
  <c r="J106" i="32"/>
  <c r="C133" i="32"/>
  <c r="C132" i="32"/>
  <c r="J123" i="35"/>
  <c r="J117" i="34"/>
  <c r="G134" i="34"/>
  <c r="I133" i="34"/>
  <c r="I143" i="34"/>
  <c r="J112" i="33"/>
  <c r="F132" i="32"/>
  <c r="G104" i="32"/>
  <c r="C135" i="29"/>
  <c r="J121" i="36"/>
  <c r="J132" i="36"/>
  <c r="J145" i="35"/>
  <c r="J118" i="35"/>
  <c r="J124" i="35"/>
  <c r="J141" i="33"/>
  <c r="J144" i="33"/>
  <c r="J118" i="32"/>
  <c r="J126" i="33"/>
  <c r="J110" i="33"/>
  <c r="D138" i="33"/>
  <c r="E108" i="33"/>
  <c r="J116" i="32"/>
  <c r="J122" i="33"/>
  <c r="J143" i="33"/>
  <c r="J146" i="35"/>
  <c r="C137" i="33"/>
  <c r="J109" i="34"/>
  <c r="J114" i="33"/>
  <c r="D136" i="29"/>
  <c r="J112" i="37"/>
  <c r="J142" i="36"/>
  <c r="J117" i="36"/>
  <c r="J124" i="36"/>
  <c r="D134" i="32"/>
  <c r="D133" i="32"/>
  <c r="J111" i="30"/>
  <c r="C138" i="30"/>
  <c r="C136" i="30"/>
  <c r="J113" i="36"/>
  <c r="J140" i="35"/>
  <c r="J116" i="35"/>
  <c r="J120" i="35"/>
  <c r="J146" i="33"/>
  <c r="J129" i="32"/>
  <c r="J140" i="33"/>
  <c r="J145" i="33"/>
  <c r="H133" i="34"/>
  <c r="J108" i="32"/>
  <c r="J109" i="29"/>
  <c r="J124" i="33"/>
  <c r="J142" i="32"/>
  <c r="J130" i="35"/>
  <c r="J116" i="33"/>
  <c r="J124" i="32"/>
  <c r="C147" i="30"/>
  <c r="D135" i="29"/>
  <c r="J128" i="36"/>
  <c r="J143" i="36"/>
  <c r="J116" i="36"/>
  <c r="J117" i="35"/>
  <c r="J135" i="35"/>
  <c r="J110" i="35"/>
  <c r="J122" i="35"/>
  <c r="J119" i="32"/>
  <c r="J135" i="32"/>
  <c r="H134" i="34"/>
  <c r="J131" i="33"/>
  <c r="H132" i="34"/>
  <c r="J112" i="32"/>
  <c r="J121" i="35"/>
  <c r="D137" i="33"/>
  <c r="D136" i="33"/>
  <c r="D147" i="33"/>
  <c r="J118" i="33"/>
  <c r="J116" i="34"/>
  <c r="E134" i="34"/>
  <c r="J134" i="34"/>
  <c r="C132" i="34"/>
  <c r="C134" i="29"/>
  <c r="E134" i="29"/>
  <c r="F106" i="29"/>
  <c r="E135" i="29"/>
  <c r="E136" i="29"/>
  <c r="J115" i="36"/>
  <c r="J131" i="36"/>
  <c r="D132" i="31"/>
  <c r="D143" i="31"/>
  <c r="J127" i="35"/>
  <c r="J131" i="35"/>
  <c r="D108" i="35"/>
  <c r="C138" i="35"/>
  <c r="E143" i="32"/>
  <c r="D132" i="34"/>
  <c r="D143" i="34"/>
  <c r="J132" i="33"/>
  <c r="D132" i="32"/>
  <c r="D143" i="32"/>
  <c r="J122" i="32"/>
  <c r="J135" i="33"/>
  <c r="J123" i="33"/>
  <c r="J109" i="28"/>
  <c r="J107" i="32"/>
  <c r="J133" i="35"/>
  <c r="J108" i="34"/>
  <c r="G132" i="34"/>
  <c r="G133" i="34"/>
  <c r="G143" i="34"/>
  <c r="D134" i="29"/>
  <c r="D145" i="29"/>
  <c r="C147" i="18"/>
  <c r="C135" i="28"/>
  <c r="J107" i="31"/>
  <c r="C134" i="31"/>
  <c r="C132" i="31"/>
  <c r="J146" i="36"/>
  <c r="J127" i="36"/>
  <c r="J113" i="35"/>
  <c r="J119" i="35"/>
  <c r="J119" i="36"/>
  <c r="J123" i="34"/>
  <c r="J131" i="34"/>
  <c r="J140" i="34"/>
  <c r="C147" i="36"/>
  <c r="F134" i="32"/>
  <c r="J107" i="34"/>
  <c r="J142" i="33"/>
  <c r="J127" i="33"/>
  <c r="J119" i="33"/>
  <c r="C134" i="32"/>
  <c r="J142" i="35"/>
  <c r="J114" i="35"/>
  <c r="E132" i="34"/>
  <c r="E143" i="34"/>
  <c r="J128" i="33"/>
  <c r="C138" i="33"/>
  <c r="D135" i="28"/>
  <c r="D136" i="28"/>
  <c r="D134" i="28"/>
  <c r="E106" i="28"/>
  <c r="E147" i="30"/>
  <c r="E136" i="37"/>
  <c r="F108" i="37"/>
  <c r="E138" i="37"/>
  <c r="E137" i="37"/>
  <c r="J114" i="36"/>
  <c r="J115" i="35"/>
  <c r="C136" i="35"/>
  <c r="J129" i="35"/>
  <c r="J136" i="32"/>
  <c r="J114" i="34"/>
  <c r="J125" i="33"/>
  <c r="J138" i="32"/>
  <c r="J139" i="33"/>
  <c r="J121" i="33"/>
  <c r="J115" i="33"/>
  <c r="J123" i="32"/>
  <c r="J112" i="34"/>
  <c r="J141" i="35"/>
  <c r="J112" i="35"/>
  <c r="J130" i="33"/>
  <c r="E133" i="31"/>
  <c r="E134" i="31"/>
  <c r="E132" i="31"/>
  <c r="E143" i="31"/>
  <c r="F104" i="31"/>
  <c r="C134" i="28"/>
  <c r="H143" i="34"/>
  <c r="F143" i="32"/>
  <c r="J133" i="34"/>
  <c r="D147" i="37"/>
  <c r="C147" i="37"/>
  <c r="C145" i="28"/>
  <c r="F136" i="37"/>
  <c r="F137" i="37"/>
  <c r="G108" i="37"/>
  <c r="F138" i="37"/>
  <c r="E108" i="35"/>
  <c r="D137" i="35"/>
  <c r="D138" i="35"/>
  <c r="D136" i="35"/>
  <c r="E147" i="37"/>
  <c r="C145" i="29"/>
  <c r="F138" i="30"/>
  <c r="F136" i="30"/>
  <c r="G108" i="30"/>
  <c r="F137" i="30"/>
  <c r="J132" i="34"/>
  <c r="J143" i="34"/>
  <c r="F108" i="33"/>
  <c r="E136" i="33"/>
  <c r="E137" i="33"/>
  <c r="E138" i="33"/>
  <c r="F132" i="31"/>
  <c r="G104" i="31"/>
  <c r="F134" i="31"/>
  <c r="F133" i="31"/>
  <c r="C147" i="35"/>
  <c r="D136" i="36"/>
  <c r="D137" i="36"/>
  <c r="E108" i="36"/>
  <c r="D138" i="36"/>
  <c r="E135" i="28"/>
  <c r="E136" i="28"/>
  <c r="E134" i="28"/>
  <c r="F106" i="28"/>
  <c r="C143" i="31"/>
  <c r="D145" i="28"/>
  <c r="F135" i="29"/>
  <c r="F136" i="29"/>
  <c r="F134" i="29"/>
  <c r="G106" i="29"/>
  <c r="C147" i="33"/>
  <c r="H104" i="32"/>
  <c r="G132" i="32"/>
  <c r="G133" i="32"/>
  <c r="G134" i="32"/>
  <c r="C143" i="32"/>
  <c r="D147" i="18"/>
  <c r="E145" i="29"/>
  <c r="C143" i="34"/>
  <c r="F108" i="18"/>
  <c r="E137" i="18"/>
  <c r="E136" i="18"/>
  <c r="E138" i="18"/>
  <c r="F147" i="37"/>
  <c r="E145" i="28"/>
  <c r="F143" i="31"/>
  <c r="E147" i="18"/>
  <c r="G143" i="32"/>
  <c r="F108" i="35"/>
  <c r="E138" i="35"/>
  <c r="E137" i="35"/>
  <c r="E136" i="35"/>
  <c r="I104" i="32"/>
  <c r="H134" i="32"/>
  <c r="H132" i="32"/>
  <c r="H133" i="32"/>
  <c r="G138" i="30"/>
  <c r="G136" i="30"/>
  <c r="G137" i="30"/>
  <c r="H108" i="30"/>
  <c r="E137" i="36"/>
  <c r="F108" i="36"/>
  <c r="E138" i="36"/>
  <c r="E136" i="36"/>
  <c r="E147" i="36"/>
  <c r="F147" i="30"/>
  <c r="D147" i="36"/>
  <c r="E147" i="33"/>
  <c r="G137" i="37"/>
  <c r="G136" i="37"/>
  <c r="H108" i="37"/>
  <c r="G138" i="37"/>
  <c r="H106" i="29"/>
  <c r="G135" i="29"/>
  <c r="G136" i="29"/>
  <c r="G134" i="29"/>
  <c r="G145" i="29"/>
  <c r="G108" i="18"/>
  <c r="F137" i="18"/>
  <c r="F136" i="18"/>
  <c r="F138" i="18"/>
  <c r="F145" i="29"/>
  <c r="G106" i="28"/>
  <c r="F135" i="28"/>
  <c r="F136" i="28"/>
  <c r="F134" i="28"/>
  <c r="G132" i="31"/>
  <c r="G133" i="31"/>
  <c r="G134" i="31"/>
  <c r="G143" i="31"/>
  <c r="H104" i="31"/>
  <c r="G108" i="33"/>
  <c r="F137" i="33"/>
  <c r="F138" i="33"/>
  <c r="F136" i="33"/>
  <c r="D147" i="35"/>
  <c r="F147" i="18"/>
  <c r="E147" i="35"/>
  <c r="F147" i="33"/>
  <c r="I108" i="37"/>
  <c r="H136" i="37"/>
  <c r="H138" i="37"/>
  <c r="H137" i="37"/>
  <c r="G108" i="35"/>
  <c r="F136" i="35"/>
  <c r="F138" i="35"/>
  <c r="F137" i="35"/>
  <c r="F145" i="28"/>
  <c r="G136" i="18"/>
  <c r="G138" i="18"/>
  <c r="H108" i="18"/>
  <c r="G137" i="18"/>
  <c r="G147" i="37"/>
  <c r="G108" i="36"/>
  <c r="F137" i="36"/>
  <c r="F136" i="36"/>
  <c r="F138" i="36"/>
  <c r="H143" i="32"/>
  <c r="H108" i="33"/>
  <c r="G138" i="33"/>
  <c r="G136" i="33"/>
  <c r="G137" i="33"/>
  <c r="G134" i="28"/>
  <c r="H106" i="28"/>
  <c r="G135" i="28"/>
  <c r="G136" i="28"/>
  <c r="I108" i="30"/>
  <c r="H137" i="30"/>
  <c r="H138" i="30"/>
  <c r="H136" i="30"/>
  <c r="I132" i="32"/>
  <c r="I134" i="32"/>
  <c r="J134" i="32"/>
  <c r="I133" i="32"/>
  <c r="J133" i="32"/>
  <c r="I104" i="31"/>
  <c r="H133" i="31"/>
  <c r="H134" i="31"/>
  <c r="H132" i="31"/>
  <c r="H143" i="31"/>
  <c r="H134" i="29"/>
  <c r="I106" i="29"/>
  <c r="H135" i="29"/>
  <c r="H136" i="29"/>
  <c r="G147" i="30"/>
  <c r="F147" i="36"/>
  <c r="H145" i="29"/>
  <c r="H147" i="37"/>
  <c r="G147" i="33"/>
  <c r="G137" i="36"/>
  <c r="G136" i="36"/>
  <c r="H108" i="36"/>
  <c r="G138" i="36"/>
  <c r="I136" i="37"/>
  <c r="I137" i="37"/>
  <c r="J137" i="37"/>
  <c r="I138" i="37"/>
  <c r="J138" i="37"/>
  <c r="I138" i="30"/>
  <c r="J138" i="30"/>
  <c r="I137" i="30"/>
  <c r="J137" i="30"/>
  <c r="I136" i="30"/>
  <c r="I132" i="31"/>
  <c r="I133" i="31"/>
  <c r="J133" i="31"/>
  <c r="I134" i="31"/>
  <c r="J134" i="31"/>
  <c r="H136" i="33"/>
  <c r="I108" i="33"/>
  <c r="H138" i="33"/>
  <c r="H137" i="33"/>
  <c r="I134" i="29"/>
  <c r="I135" i="29"/>
  <c r="J135" i="29"/>
  <c r="I136" i="29"/>
  <c r="J136" i="29"/>
  <c r="F147" i="35"/>
  <c r="H134" i="28"/>
  <c r="I106" i="28"/>
  <c r="H135" i="28"/>
  <c r="H136" i="28"/>
  <c r="I108" i="18"/>
  <c r="H136" i="18"/>
  <c r="H138" i="18"/>
  <c r="H137" i="18"/>
  <c r="H108" i="35"/>
  <c r="G138" i="35"/>
  <c r="G137" i="35"/>
  <c r="G136" i="35"/>
  <c r="I143" i="32"/>
  <c r="J132" i="32"/>
  <c r="J143" i="32"/>
  <c r="G145" i="28"/>
  <c r="J132" i="31"/>
  <c r="H147" i="30"/>
  <c r="G147" i="18"/>
  <c r="I147" i="30"/>
  <c r="G147" i="35"/>
  <c r="I147" i="37"/>
  <c r="J136" i="37"/>
  <c r="J147" i="37"/>
  <c r="H147" i="18"/>
  <c r="I143" i="31"/>
  <c r="I108" i="36"/>
  <c r="H138" i="36"/>
  <c r="H136" i="36"/>
  <c r="H137" i="36"/>
  <c r="I145" i="29"/>
  <c r="J134" i="29"/>
  <c r="J145" i="29"/>
  <c r="G147" i="36"/>
  <c r="I137" i="18"/>
  <c r="J137" i="18"/>
  <c r="I136" i="18"/>
  <c r="I138" i="18"/>
  <c r="J138" i="18"/>
  <c r="I134" i="28"/>
  <c r="I135" i="28"/>
  <c r="J135" i="28"/>
  <c r="I136" i="28"/>
  <c r="J136" i="28"/>
  <c r="I137" i="33"/>
  <c r="J137" i="33"/>
  <c r="I138" i="33"/>
  <c r="J138" i="33"/>
  <c r="I136" i="33"/>
  <c r="J143" i="31"/>
  <c r="I108" i="35"/>
  <c r="H136" i="35"/>
  <c r="H137" i="35"/>
  <c r="H138" i="35"/>
  <c r="H145" i="28"/>
  <c r="H147" i="33"/>
  <c r="J136" i="30"/>
  <c r="J147" i="30"/>
  <c r="H147" i="36"/>
  <c r="H147" i="35"/>
  <c r="I147" i="18"/>
  <c r="I136" i="36"/>
  <c r="I137" i="36"/>
  <c r="J137" i="36"/>
  <c r="I138" i="36"/>
  <c r="J138" i="36"/>
  <c r="I145" i="28"/>
  <c r="J134" i="28"/>
  <c r="J145" i="28"/>
  <c r="I136" i="35"/>
  <c r="I137" i="35"/>
  <c r="J137" i="35"/>
  <c r="I138" i="35"/>
  <c r="J138" i="35"/>
  <c r="J136" i="18"/>
  <c r="J147" i="18"/>
  <c r="I147" i="33"/>
  <c r="J136" i="33"/>
  <c r="J147" i="33"/>
  <c r="I147" i="35"/>
  <c r="J136" i="35"/>
  <c r="J147" i="35"/>
  <c r="I147" i="36"/>
  <c r="J136" i="36"/>
  <c r="J147" i="36"/>
</calcChain>
</file>

<file path=xl/sharedStrings.xml><?xml version="1.0" encoding="utf-8"?>
<sst xmlns="http://schemas.openxmlformats.org/spreadsheetml/2006/main" count="5848" uniqueCount="172">
  <si>
    <t>CHRISTELLE  KENKOU</t>
  </si>
  <si>
    <t>ABLA GANDE</t>
  </si>
  <si>
    <t>ELINAM AGBO</t>
  </si>
  <si>
    <t>JUSTINE SESSOU</t>
  </si>
  <si>
    <t>NADEGE COUAO-Z.</t>
  </si>
  <si>
    <t>PREENAM   KABOUA</t>
  </si>
  <si>
    <t>RACHIDATOU TCHALA.</t>
  </si>
  <si>
    <t>REINE GNIMASSOUN</t>
  </si>
  <si>
    <t>ABIDE TAKOUDA</t>
  </si>
  <si>
    <t>ABLA DANHIN</t>
  </si>
  <si>
    <t>ADJOA AWOUSSI</t>
  </si>
  <si>
    <t>AFI AKAKPO-HOVA</t>
  </si>
  <si>
    <t>AKOFA GNASSOUNOU</t>
  </si>
  <si>
    <t>AKOFA PEDRO</t>
  </si>
  <si>
    <t>AKOUVI SOGAH</t>
  </si>
  <si>
    <t>AMIVI AYISSOU</t>
  </si>
  <si>
    <t>AYEKINAM KANAWE</t>
  </si>
  <si>
    <t>CHANTAL KOUMAKO</t>
  </si>
  <si>
    <t>DEDE BANIABA</t>
  </si>
  <si>
    <t>ESTHER AGBEGNENOU</t>
  </si>
  <si>
    <t>GINETTE GOSSOU</t>
  </si>
  <si>
    <t>INA APPONSAH</t>
  </si>
  <si>
    <t>MANA KUNAKEY</t>
  </si>
  <si>
    <t>MARCELINE KOUTOWOU</t>
  </si>
  <si>
    <t>NATHALIE DHOSSA</t>
  </si>
  <si>
    <t>NATHALIE VIAGBO</t>
  </si>
  <si>
    <t>ROMAINE LARE-B.</t>
  </si>
  <si>
    <t>SEPE AMOUZOU</t>
  </si>
  <si>
    <t>VIWASSI ACKEY</t>
  </si>
  <si>
    <t>JEAN-LUC</t>
  </si>
  <si>
    <t xml:space="preserve"> Date de début :</t>
  </si>
  <si>
    <t>MSG. B.C</t>
  </si>
  <si>
    <t>06H00-14H30</t>
  </si>
  <si>
    <t>08H30-17H00</t>
  </si>
  <si>
    <t>09H00-17H30</t>
  </si>
  <si>
    <t>13H30-22H00</t>
  </si>
  <si>
    <t>14H30-23H00</t>
  </si>
  <si>
    <t>18H00-22H00</t>
  </si>
  <si>
    <t>21H45-06H15</t>
  </si>
  <si>
    <t>Actions</t>
  </si>
  <si>
    <t>Congés</t>
  </si>
  <si>
    <t>Fériés</t>
  </si>
  <si>
    <t>Login</t>
  </si>
  <si>
    <t>AKOU  ADZE</t>
  </si>
  <si>
    <t>MODTOGO</t>
  </si>
  <si>
    <t>TOGO04</t>
  </si>
  <si>
    <t>MODTOGO17</t>
  </si>
  <si>
    <t>MODTOGO8</t>
  </si>
  <si>
    <t>TOGO16</t>
  </si>
  <si>
    <t>TOGO10</t>
  </si>
  <si>
    <t>TOGO01</t>
  </si>
  <si>
    <t>TOGO17</t>
  </si>
  <si>
    <t>MODTOGO1</t>
  </si>
  <si>
    <t>MODTOGO5</t>
  </si>
  <si>
    <t>TOGO08</t>
  </si>
  <si>
    <t>TOGO02</t>
  </si>
  <si>
    <t>TOGO13</t>
  </si>
  <si>
    <t>MODTOGO9</t>
  </si>
  <si>
    <t>MODTOGO18</t>
  </si>
  <si>
    <t>MODTOGO00</t>
  </si>
  <si>
    <t>MODTOGO19</t>
  </si>
  <si>
    <t>TOGO06</t>
  </si>
  <si>
    <t>TOGO00</t>
  </si>
  <si>
    <t>MODTOGO2</t>
  </si>
  <si>
    <t>TOGO18</t>
  </si>
  <si>
    <t>MODTOGO16</t>
  </si>
  <si>
    <t>TOGO11</t>
  </si>
  <si>
    <t>MODTOGO10</t>
  </si>
  <si>
    <t>TOGO03</t>
  </si>
  <si>
    <t>TOGO14</t>
  </si>
  <si>
    <t>TOGO05</t>
  </si>
  <si>
    <t>TOGO12</t>
  </si>
  <si>
    <t>TOGO15</t>
  </si>
  <si>
    <t>TOGO07</t>
  </si>
  <si>
    <t>MODTOGO11</t>
  </si>
  <si>
    <t>TOGO09</t>
  </si>
  <si>
    <t>MODTOGO3</t>
  </si>
  <si>
    <t>MODTOGO7</t>
  </si>
  <si>
    <t>TOGON8</t>
  </si>
  <si>
    <t>A.C / R.G</t>
  </si>
  <si>
    <t>A.G Matin</t>
  </si>
  <si>
    <t>A.G Après-Midi</t>
  </si>
  <si>
    <t>A.WEB Matin 1</t>
  </si>
  <si>
    <t>A.WEB Matin 2</t>
  </si>
  <si>
    <t>A.WEB Après-Midi 1</t>
  </si>
  <si>
    <t>A.WEB Après-Midi 2</t>
  </si>
  <si>
    <t>ARCHIVAGE - Matin 1</t>
  </si>
  <si>
    <t>ARCHIVAGE - Matin 2</t>
  </si>
  <si>
    <t>ARCHIVAGE - Après-Midi</t>
  </si>
  <si>
    <t>ARCHIVAGE - soir</t>
  </si>
  <si>
    <t>MSG / MTG12</t>
  </si>
  <si>
    <t>MSG / MTG13</t>
  </si>
  <si>
    <t>MSG / MTG14</t>
  </si>
  <si>
    <t>MSG. G.P</t>
  </si>
  <si>
    <t>VALID/PL/R.G</t>
  </si>
  <si>
    <t>Repos Week-end / Nuit</t>
  </si>
  <si>
    <t>10H00-18H30</t>
  </si>
  <si>
    <t>Horaires</t>
  </si>
  <si>
    <t>Cumul</t>
  </si>
  <si>
    <t>Absence</t>
  </si>
  <si>
    <t>Absence Partielle</t>
  </si>
  <si>
    <t>c.f. GDI</t>
  </si>
  <si>
    <t>AYOKO ADUAYOM</t>
  </si>
  <si>
    <t>A.G Nuit</t>
  </si>
  <si>
    <t>LIMATA NIBOMBE</t>
  </si>
  <si>
    <t>OLIVIA ADJIVON</t>
  </si>
  <si>
    <t>VIWALE KPADE</t>
  </si>
  <si>
    <t>Minimum</t>
  </si>
  <si>
    <t>PAYE</t>
  </si>
  <si>
    <t>3H A.WEB / 5H MSG BC</t>
  </si>
  <si>
    <t>A.WEB  Nuit</t>
  </si>
  <si>
    <t>SONIA YOVO</t>
  </si>
  <si>
    <t>Ressources Archi</t>
  </si>
  <si>
    <t>MEHEZA ASSIH</t>
  </si>
  <si>
    <t>TOGO19</t>
  </si>
  <si>
    <t>SEYRAM YEME</t>
  </si>
  <si>
    <t>08H00-16H30</t>
  </si>
  <si>
    <t>CM</t>
  </si>
  <si>
    <t>4H</t>
  </si>
  <si>
    <t>AYAWAVI KPOGO</t>
  </si>
  <si>
    <t>MATIEBE CHAPIOGO</t>
  </si>
  <si>
    <t>MODTOGO20</t>
  </si>
  <si>
    <t>A.WEB Matin Plus</t>
  </si>
  <si>
    <t>A.WEB Après-Midi Plus</t>
  </si>
  <si>
    <t>KOSSIWA GAWOU</t>
  </si>
  <si>
    <t>13H00-21H30</t>
  </si>
  <si>
    <t>09H30-18H00</t>
  </si>
  <si>
    <t>CHRISTINE VIFAN</t>
  </si>
  <si>
    <t xml:space="preserve">VALID PHOTOS </t>
  </si>
  <si>
    <t>TOGO21</t>
  </si>
  <si>
    <t>MODTOGO21</t>
  </si>
  <si>
    <t>KOSSIWA AHAMA</t>
  </si>
  <si>
    <t>BERNIDA VIVOR</t>
  </si>
  <si>
    <t>HAPPY ADANOU</t>
  </si>
  <si>
    <t>TOGO22</t>
  </si>
  <si>
    <t>ELOM DUSSEY</t>
  </si>
  <si>
    <t>ANITA ADANLETE</t>
  </si>
  <si>
    <t>ANIM SMS Matin</t>
  </si>
  <si>
    <t>ANIM SMS Nuit</t>
  </si>
  <si>
    <t>ANIM SMS Après-Midi</t>
  </si>
  <si>
    <t>14H00-22H30</t>
  </si>
  <si>
    <t>22H00-06H30</t>
  </si>
  <si>
    <t>MODTOGO22</t>
  </si>
  <si>
    <t>OLIVIA KPAKPOVI</t>
  </si>
  <si>
    <t>MODTOGO23</t>
  </si>
  <si>
    <t>TOGO23</t>
  </si>
  <si>
    <t>KRISTA ADZALLA</t>
  </si>
  <si>
    <t>TCHOTCHOVI ZOMAI</t>
  </si>
  <si>
    <t>SIKA SOGBADJI</t>
  </si>
  <si>
    <t>MSG BC</t>
  </si>
  <si>
    <t>1H MSG/1H AG/3H WEB/3H AC</t>
  </si>
  <si>
    <t>VALID / PL / MOD</t>
  </si>
  <si>
    <t>VALID / PL / Tmail</t>
  </si>
  <si>
    <t>ANIM SMS &amp; AG Nuit</t>
  </si>
  <si>
    <t>MOD SMS / VALID / AG</t>
  </si>
  <si>
    <t>SEMAINE 01</t>
  </si>
  <si>
    <t>SEMAINE 02</t>
  </si>
  <si>
    <t>SEMAINE 04</t>
  </si>
  <si>
    <t>SEMAINE 03</t>
  </si>
  <si>
    <t>J/S</t>
  </si>
  <si>
    <t xml:space="preserve">MOD &amp; COATCH VOYANCE </t>
  </si>
  <si>
    <t>SEMAINE 05</t>
  </si>
  <si>
    <t>SEMAINE 06</t>
  </si>
  <si>
    <t>SEMAINE 07</t>
  </si>
  <si>
    <t>SEMAINE 08</t>
  </si>
  <si>
    <t>SEMAINE 09</t>
  </si>
  <si>
    <t>AUDIOTEL  A.S</t>
  </si>
  <si>
    <t>AUDIOTEL A.S</t>
  </si>
  <si>
    <t>MOD &amp; COACH VOY</t>
  </si>
  <si>
    <t>SEMAINE 10</t>
  </si>
  <si>
    <t>SEMAINE 12</t>
  </si>
  <si>
    <t>SEMAINE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</si>
</sst>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ddd\ d\ mmmm"/>
  </numFmts>
  <fonts count="4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"/>
      <color theme="3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9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Arial"/>
      <family val="2"/>
    </font>
    <font>
      <b/>
      <sz val="9"/>
      <color rgb="FF0070C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70C0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theme="9" tint="-0.499984740745262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b/>
      <i/>
      <sz val="9"/>
      <color theme="9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000000"/>
      <name val="Calibri"/>
      <family val="2"/>
      <scheme val="minor"/>
    </font>
    <font>
      <sz val="10"/>
      <color rgb="FFFFFFFF"/>
      <name val="Calibri"/>
      <family val="2"/>
      <scheme val="minor"/>
    </font>
    <font>
      <sz val="9"/>
      <color rgb="FFFFFFFF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FBF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rgb="FF000000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/>
      <top/>
      <bottom style="thin">
        <color rgb="FF0070C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double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/>
      <diagonal/>
    </border>
    <border>
      <left style="thin">
        <color rgb="FF0070C0"/>
      </left>
      <right style="thin">
        <color rgb="FF0070C0"/>
      </right>
      <top style="thick">
        <color rgb="FF0070C0"/>
      </top>
      <bottom/>
      <diagonal/>
    </border>
    <border>
      <left style="thin">
        <color rgb="FF0070C0"/>
      </left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 style="thin">
        <color rgb="FF0070C0"/>
      </right>
      <top/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/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ck">
        <color rgb="FF0070C0"/>
      </right>
      <top/>
      <bottom/>
      <diagonal/>
    </border>
    <border>
      <left style="thick">
        <color rgb="FF0070C0"/>
      </left>
      <right style="thin">
        <color rgb="FF0070C0"/>
      </right>
      <top style="double">
        <color rgb="FF0070C0"/>
      </top>
      <bottom/>
      <diagonal/>
    </border>
    <border>
      <left style="thin">
        <color rgb="FF0070C0"/>
      </left>
      <right style="thick">
        <color rgb="FF0070C0"/>
      </right>
      <top style="double">
        <color rgb="FF0070C0"/>
      </top>
      <bottom/>
      <diagonal/>
    </border>
    <border>
      <left style="thick">
        <color rgb="FF0070C0"/>
      </left>
      <right style="thin">
        <color rgb="FF0070C0"/>
      </right>
      <top/>
      <bottom style="double">
        <color rgb="FF0070C0"/>
      </bottom>
      <diagonal/>
    </border>
    <border>
      <left style="thin">
        <color rgb="FF0070C0"/>
      </left>
      <right style="thick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thick">
        <color rgb="FF0070C0"/>
      </left>
      <right/>
      <top style="double">
        <color rgb="FF0070C0"/>
      </top>
      <bottom/>
      <diagonal/>
    </border>
    <border>
      <left style="thick">
        <color rgb="FF0070C0"/>
      </left>
      <right/>
      <top/>
      <bottom style="double">
        <color rgb="FF0070C0"/>
      </bottom>
      <diagonal/>
    </border>
    <border>
      <left/>
      <right style="thick">
        <color rgb="FF0070C0"/>
      </right>
      <top style="double">
        <color rgb="FF0070C0"/>
      </top>
      <bottom/>
      <diagonal/>
    </border>
    <border>
      <left/>
      <right style="thick">
        <color rgb="FF0070C0"/>
      </right>
      <top/>
      <bottom style="double">
        <color rgb="FF0070C0"/>
      </bottom>
      <diagonal/>
    </border>
  </borders>
  <cellStyleXfs count="522">
    <xf numFmtId="0" fontId="0" fillId="0" borderId="0"/>
    <xf numFmtId="0" fontId="2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5">
    <xf numFmtId="0" fontId="0" fillId="0" borderId="0" xfId="0"/>
    <xf numFmtId="0" fontId="3" fillId="12" borderId="0" xfId="0" applyFont="1" applyFill="1" applyBorder="1" applyAlignment="1">
      <alignment horizontal="center" vertical="center"/>
    </xf>
    <xf numFmtId="0" fontId="3" fillId="12" borderId="0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left"/>
    </xf>
    <xf numFmtId="0" fontId="1" fillId="15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6" borderId="0" xfId="0" applyFont="1" applyFill="1" applyBorder="1" applyAlignment="1">
      <alignment horizontal="left"/>
    </xf>
    <xf numFmtId="0" fontId="1" fillId="16" borderId="0" xfId="0" applyFont="1" applyFill="1" applyBorder="1" applyAlignment="1">
      <alignment horizontal="left"/>
    </xf>
    <xf numFmtId="0" fontId="1" fillId="5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1" fillId="18" borderId="0" xfId="0" applyFont="1" applyFill="1" applyBorder="1" applyAlignment="1">
      <alignment horizontal="left"/>
    </xf>
    <xf numFmtId="0" fontId="1" fillId="10" borderId="0" xfId="0" applyFont="1" applyFill="1" applyBorder="1" applyAlignment="1">
      <alignment horizontal="left"/>
    </xf>
    <xf numFmtId="0" fontId="1" fillId="13" borderId="0" xfId="0" applyFont="1" applyFill="1" applyBorder="1" applyAlignment="1">
      <alignment horizontal="left"/>
    </xf>
    <xf numFmtId="0" fontId="1" fillId="12" borderId="0" xfId="0" applyFont="1" applyFill="1" applyBorder="1" applyAlignment="1">
      <alignment horizontal="center" vertical="center"/>
    </xf>
    <xf numFmtId="0" fontId="4" fillId="22" borderId="0" xfId="0" applyFont="1" applyFill="1" applyBorder="1" applyAlignment="1">
      <alignment horizontal="left"/>
    </xf>
    <xf numFmtId="0" fontId="1" fillId="24" borderId="0" xfId="0" applyFont="1" applyFill="1" applyBorder="1" applyAlignment="1">
      <alignment horizontal="left"/>
    </xf>
    <xf numFmtId="0" fontId="1" fillId="30" borderId="0" xfId="0" applyFont="1" applyFill="1" applyBorder="1" applyAlignment="1">
      <alignment horizontal="left"/>
    </xf>
    <xf numFmtId="0" fontId="1" fillId="26" borderId="0" xfId="0" applyFont="1" applyFill="1" applyBorder="1" applyAlignment="1">
      <alignment horizontal="left"/>
    </xf>
    <xf numFmtId="0" fontId="1" fillId="31" borderId="0" xfId="0" applyFont="1" applyFill="1" applyBorder="1" applyAlignment="1">
      <alignment horizontal="left"/>
    </xf>
    <xf numFmtId="0" fontId="1" fillId="33" borderId="0" xfId="0" applyFont="1" applyFill="1" applyBorder="1" applyAlignment="1">
      <alignment horizontal="left"/>
    </xf>
    <xf numFmtId="0" fontId="7" fillId="29" borderId="0" xfId="0" applyFont="1" applyFill="1" applyAlignment="1">
      <alignment horizontal="left"/>
    </xf>
    <xf numFmtId="0" fontId="8" fillId="12" borderId="0" xfId="0" applyFont="1" applyFill="1" applyAlignment="1">
      <alignment vertical="center"/>
    </xf>
    <xf numFmtId="0" fontId="9" fillId="12" borderId="2" xfId="0" applyFont="1" applyFill="1" applyBorder="1" applyAlignment="1">
      <alignment horizontal="center" vertical="center" wrapText="1"/>
    </xf>
    <xf numFmtId="0" fontId="10" fillId="1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1" fillId="12" borderId="0" xfId="0" applyFont="1" applyFill="1" applyAlignment="1">
      <alignment horizontal="center"/>
    </xf>
    <xf numFmtId="14" fontId="12" fillId="12" borderId="0" xfId="1" applyNumberFormat="1" applyFont="1" applyFill="1" applyBorder="1" applyAlignment="1"/>
    <xf numFmtId="1" fontId="12" fillId="12" borderId="0" xfId="1" applyNumberFormat="1" applyFont="1" applyFill="1" applyBorder="1" applyAlignment="1"/>
    <xf numFmtId="0" fontId="13" fillId="12" borderId="0" xfId="0" applyFont="1" applyFill="1" applyAlignment="1">
      <alignment horizontal="center" vertical="center"/>
    </xf>
    <xf numFmtId="1" fontId="14" fillId="12" borderId="0" xfId="0" applyNumberFormat="1" applyFont="1" applyFill="1" applyBorder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12" borderId="0" xfId="0" applyFont="1" applyFill="1" applyBorder="1" applyAlignment="1">
      <alignment horizontal="right" vertical="center" indent="1"/>
    </xf>
    <xf numFmtId="164" fontId="17" fillId="12" borderId="3" xfId="0" applyNumberFormat="1" applyFont="1" applyFill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0" xfId="0" applyFont="1" applyFill="1"/>
    <xf numFmtId="0" fontId="10" fillId="12" borderId="0" xfId="0" applyFont="1" applyFill="1"/>
    <xf numFmtId="0" fontId="8" fillId="0" borderId="0" xfId="0" applyFont="1"/>
    <xf numFmtId="0" fontId="8" fillId="12" borderId="22" xfId="0" applyFont="1" applyFill="1" applyBorder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18" fillId="23" borderId="8" xfId="0" applyFont="1" applyFill="1" applyBorder="1" applyAlignment="1">
      <alignment horizontal="center" vertical="center"/>
    </xf>
    <xf numFmtId="164" fontId="8" fillId="12" borderId="0" xfId="0" applyNumberFormat="1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0" fontId="20" fillId="12" borderId="0" xfId="0" applyFont="1" applyFill="1" applyAlignment="1">
      <alignment horizontal="right"/>
    </xf>
    <xf numFmtId="0" fontId="8" fillId="12" borderId="0" xfId="0" applyFont="1" applyFill="1" applyAlignment="1">
      <alignment horizontal="right"/>
    </xf>
    <xf numFmtId="0" fontId="7" fillId="12" borderId="0" xfId="0" applyFont="1" applyFill="1" applyAlignment="1">
      <alignment horizontal="center"/>
    </xf>
    <xf numFmtId="0" fontId="7" fillId="14" borderId="0" xfId="0" applyFont="1" applyFill="1" applyBorder="1" applyAlignment="1">
      <alignment horizontal="left"/>
    </xf>
    <xf numFmtId="0" fontId="8" fillId="12" borderId="5" xfId="0" applyFont="1" applyFill="1" applyBorder="1" applyAlignment="1">
      <alignment horizontal="center"/>
    </xf>
    <xf numFmtId="0" fontId="20" fillId="12" borderId="5" xfId="0" applyFont="1" applyFill="1" applyBorder="1"/>
    <xf numFmtId="0" fontId="10" fillId="25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7" fillId="7" borderId="0" xfId="0" applyFont="1" applyFill="1" applyBorder="1" applyAlignment="1">
      <alignment horizontal="left"/>
    </xf>
    <xf numFmtId="0" fontId="7" fillId="17" borderId="0" xfId="0" applyFont="1" applyFill="1" applyBorder="1" applyAlignment="1">
      <alignment horizontal="left"/>
    </xf>
    <xf numFmtId="0" fontId="7" fillId="8" borderId="0" xfId="0" applyFont="1" applyFill="1" applyBorder="1" applyAlignment="1">
      <alignment horizontal="left"/>
    </xf>
    <xf numFmtId="0" fontId="8" fillId="12" borderId="6" xfId="0" applyFont="1" applyFill="1" applyBorder="1" applyAlignment="1">
      <alignment horizontal="right" vertical="center"/>
    </xf>
    <xf numFmtId="0" fontId="18" fillId="23" borderId="0" xfId="0" applyFont="1" applyFill="1" applyAlignment="1">
      <alignment horizontal="right" vertical="center"/>
    </xf>
    <xf numFmtId="0" fontId="10" fillId="32" borderId="0" xfId="0" applyFont="1" applyFill="1" applyBorder="1" applyAlignment="1">
      <alignment horizontal="left"/>
    </xf>
    <xf numFmtId="0" fontId="18" fillId="23" borderId="0" xfId="0" applyFont="1" applyFill="1" applyAlignment="1">
      <alignment horizontal="right"/>
    </xf>
    <xf numFmtId="0" fontId="7" fillId="19" borderId="0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8" fillId="23" borderId="0" xfId="0" applyFont="1" applyFill="1"/>
    <xf numFmtId="0" fontId="10" fillId="20" borderId="0" xfId="0" applyFont="1" applyFill="1" applyBorder="1" applyAlignment="1">
      <alignment horizontal="left"/>
    </xf>
    <xf numFmtId="0" fontId="10" fillId="21" borderId="0" xfId="0" applyFont="1" applyFill="1" applyBorder="1" applyAlignment="1">
      <alignment horizontal="left"/>
    </xf>
    <xf numFmtId="0" fontId="10" fillId="12" borderId="0" xfId="0" applyFont="1" applyFill="1" applyBorder="1" applyAlignment="1">
      <alignment horizontal="left"/>
    </xf>
    <xf numFmtId="0" fontId="20" fillId="12" borderId="0" xfId="0" applyFont="1" applyFill="1"/>
    <xf numFmtId="0" fontId="21" fillId="29" borderId="0" xfId="0" applyFont="1" applyFill="1" applyAlignment="1">
      <alignment horizontal="left"/>
    </xf>
    <xf numFmtId="0" fontId="22" fillId="12" borderId="8" xfId="0" applyFont="1" applyFill="1" applyBorder="1" applyAlignment="1">
      <alignment horizontal="center" vertical="center"/>
    </xf>
    <xf numFmtId="0" fontId="23" fillId="12" borderId="8" xfId="0" applyFont="1" applyFill="1" applyBorder="1" applyAlignment="1">
      <alignment horizontal="center" vertical="center"/>
    </xf>
    <xf numFmtId="0" fontId="24" fillId="24" borderId="0" xfId="0" applyFont="1" applyFill="1" applyBorder="1" applyAlignment="1">
      <alignment horizontal="left"/>
    </xf>
    <xf numFmtId="0" fontId="22" fillId="12" borderId="0" xfId="0" applyFont="1" applyFill="1" applyAlignment="1">
      <alignment vertical="center"/>
    </xf>
    <xf numFmtId="0" fontId="25" fillId="12" borderId="2" xfId="0" applyFont="1" applyFill="1" applyBorder="1" applyAlignment="1">
      <alignment horizontal="center" vertical="center" wrapText="1"/>
    </xf>
    <xf numFmtId="0" fontId="26" fillId="12" borderId="0" xfId="0" applyFont="1" applyFill="1" applyAlignment="1">
      <alignment vertical="center"/>
    </xf>
    <xf numFmtId="0" fontId="27" fillId="12" borderId="0" xfId="0" applyFont="1" applyFill="1" applyAlignment="1">
      <alignment horizontal="center"/>
    </xf>
    <xf numFmtId="14" fontId="28" fillId="12" borderId="0" xfId="1" applyNumberFormat="1" applyFont="1" applyFill="1" applyBorder="1" applyAlignment="1"/>
    <xf numFmtId="1" fontId="28" fillId="12" borderId="0" xfId="1" applyNumberFormat="1" applyFont="1" applyFill="1" applyBorder="1" applyAlignment="1"/>
    <xf numFmtId="0" fontId="29" fillId="12" borderId="0" xfId="0" applyFont="1" applyFill="1" applyAlignment="1">
      <alignment horizontal="center" vertical="center"/>
    </xf>
    <xf numFmtId="1" fontId="30" fillId="12" borderId="0" xfId="0" applyNumberFormat="1" applyFont="1" applyFill="1" applyBorder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22" fillId="12" borderId="0" xfId="0" applyFont="1" applyFill="1" applyBorder="1" applyAlignment="1">
      <alignment horizontal="right" vertical="center" indent="1"/>
    </xf>
    <xf numFmtId="164" fontId="33" fillId="12" borderId="3" xfId="0" applyNumberFormat="1" applyFont="1" applyFill="1" applyBorder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22" fillId="12" borderId="11" xfId="0" applyFont="1" applyFill="1" applyBorder="1" applyAlignment="1">
      <alignment horizontal="center" vertical="center"/>
    </xf>
    <xf numFmtId="0" fontId="22" fillId="12" borderId="9" xfId="0" applyFont="1" applyFill="1" applyBorder="1" applyAlignment="1">
      <alignment horizontal="center" vertical="center"/>
    </xf>
    <xf numFmtId="0" fontId="22" fillId="12" borderId="7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12" borderId="0" xfId="0" applyFont="1" applyFill="1"/>
    <xf numFmtId="0" fontId="26" fillId="12" borderId="0" xfId="0" applyFont="1" applyFill="1"/>
    <xf numFmtId="0" fontId="22" fillId="12" borderId="22" xfId="0" applyFont="1" applyFill="1" applyBorder="1" applyAlignment="1">
      <alignment horizontal="center" vertical="center"/>
    </xf>
    <xf numFmtId="0" fontId="22" fillId="12" borderId="14" xfId="0" applyFont="1" applyFill="1" applyBorder="1" applyAlignment="1">
      <alignment horizontal="center" vertical="center"/>
    </xf>
    <xf numFmtId="0" fontId="22" fillId="0" borderId="0" xfId="0" applyFont="1"/>
    <xf numFmtId="164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center"/>
    </xf>
    <xf numFmtId="0" fontId="35" fillId="12" borderId="0" xfId="0" applyFont="1" applyFill="1" applyAlignment="1">
      <alignment horizontal="center"/>
    </xf>
    <xf numFmtId="0" fontId="35" fillId="12" borderId="0" xfId="0" applyFont="1" applyFill="1" applyAlignment="1">
      <alignment horizontal="right"/>
    </xf>
    <xf numFmtId="0" fontId="22" fillId="12" borderId="0" xfId="0" applyFont="1" applyFill="1" applyAlignment="1">
      <alignment horizontal="right"/>
    </xf>
    <xf numFmtId="0" fontId="21" fillId="12" borderId="0" xfId="0" applyFont="1" applyFill="1" applyAlignment="1">
      <alignment horizontal="center"/>
    </xf>
    <xf numFmtId="0" fontId="21" fillId="14" borderId="0" xfId="0" applyFont="1" applyFill="1" applyBorder="1" applyAlignment="1">
      <alignment horizontal="left"/>
    </xf>
    <xf numFmtId="0" fontId="22" fillId="12" borderId="5" xfId="0" applyFont="1" applyFill="1" applyBorder="1" applyAlignment="1">
      <alignment horizontal="center"/>
    </xf>
    <xf numFmtId="0" fontId="35" fillId="12" borderId="5" xfId="0" applyFont="1" applyFill="1" applyBorder="1"/>
    <xf numFmtId="0" fontId="36" fillId="1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/>
    </xf>
    <xf numFmtId="0" fontId="24" fillId="4" borderId="0" xfId="0" applyFont="1" applyFill="1" applyBorder="1" applyAlignment="1">
      <alignment horizontal="left"/>
    </xf>
    <xf numFmtId="0" fontId="24" fillId="15" borderId="0" xfId="0" applyFont="1" applyFill="1" applyBorder="1" applyAlignment="1">
      <alignment horizontal="left"/>
    </xf>
    <xf numFmtId="0" fontId="24" fillId="3" borderId="0" xfId="0" applyFont="1" applyFill="1" applyBorder="1" applyAlignment="1">
      <alignment horizontal="left"/>
    </xf>
    <xf numFmtId="0" fontId="37" fillId="22" borderId="0" xfId="0" applyFont="1" applyFill="1" applyBorder="1" applyAlignment="1">
      <alignment horizontal="left"/>
    </xf>
    <xf numFmtId="0" fontId="24" fillId="30" borderId="0" xfId="0" applyFont="1" applyFill="1" applyBorder="1" applyAlignment="1">
      <alignment horizontal="left"/>
    </xf>
    <xf numFmtId="0" fontId="24" fillId="6" borderId="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  <xf numFmtId="0" fontId="24" fillId="26" borderId="0" xfId="0" applyFont="1" applyFill="1" applyBorder="1" applyAlignment="1">
      <alignment horizontal="left"/>
    </xf>
    <xf numFmtId="0" fontId="24" fillId="5" borderId="0" xfId="0" applyFont="1" applyFill="1" applyBorder="1" applyAlignment="1">
      <alignment horizontal="left"/>
    </xf>
    <xf numFmtId="0" fontId="21" fillId="7" borderId="0" xfId="0" applyFont="1" applyFill="1" applyBorder="1" applyAlignment="1">
      <alignment horizontal="left"/>
    </xf>
    <xf numFmtId="0" fontId="21" fillId="17" borderId="0" xfId="0" applyFont="1" applyFill="1" applyBorder="1" applyAlignment="1">
      <alignment horizontal="left"/>
    </xf>
    <xf numFmtId="0" fontId="21" fillId="8" borderId="0" xfId="0" applyFont="1" applyFill="1" applyBorder="1" applyAlignment="1">
      <alignment horizontal="left"/>
    </xf>
    <xf numFmtId="0" fontId="24" fillId="9" borderId="0" xfId="0" applyFont="1" applyFill="1" applyBorder="1" applyAlignment="1">
      <alignment horizontal="left"/>
    </xf>
    <xf numFmtId="0" fontId="24" fillId="18" borderId="0" xfId="0" applyFont="1" applyFill="1" applyBorder="1" applyAlignment="1">
      <alignment horizontal="left"/>
    </xf>
    <xf numFmtId="0" fontId="24" fillId="10" borderId="0" xfId="0" applyFont="1" applyFill="1" applyBorder="1" applyAlignment="1">
      <alignment horizontal="left"/>
    </xf>
    <xf numFmtId="0" fontId="24" fillId="33" borderId="0" xfId="0" applyFont="1" applyFill="1" applyBorder="1" applyAlignment="1">
      <alignment horizontal="left"/>
    </xf>
    <xf numFmtId="0" fontId="22" fillId="12" borderId="6" xfId="0" applyFont="1" applyFill="1" applyBorder="1" applyAlignment="1">
      <alignment horizontal="right" vertical="center"/>
    </xf>
    <xf numFmtId="0" fontId="36" fillId="12" borderId="0" xfId="0" applyFont="1" applyFill="1" applyBorder="1" applyAlignment="1">
      <alignment horizontal="center"/>
    </xf>
    <xf numFmtId="0" fontId="24" fillId="31" borderId="0" xfId="0" applyFont="1" applyFill="1" applyBorder="1" applyAlignment="1">
      <alignment horizontal="left"/>
    </xf>
    <xf numFmtId="0" fontId="38" fillId="23" borderId="0" xfId="0" applyFont="1" applyFill="1" applyAlignment="1">
      <alignment horizontal="right" vertical="center"/>
    </xf>
    <xf numFmtId="0" fontId="26" fillId="32" borderId="0" xfId="0" applyFont="1" applyFill="1" applyBorder="1" applyAlignment="1">
      <alignment horizontal="left"/>
    </xf>
    <xf numFmtId="0" fontId="38" fillId="23" borderId="0" xfId="0" applyFont="1" applyFill="1" applyAlignment="1">
      <alignment horizontal="right"/>
    </xf>
    <xf numFmtId="0" fontId="24" fillId="13" borderId="0" xfId="0" applyFont="1" applyFill="1" applyBorder="1" applyAlignment="1">
      <alignment horizontal="left"/>
    </xf>
    <xf numFmtId="0" fontId="21" fillId="19" borderId="0" xfId="0" applyFont="1" applyFill="1" applyBorder="1" applyAlignment="1">
      <alignment horizontal="left"/>
    </xf>
    <xf numFmtId="0" fontId="26" fillId="11" borderId="0" xfId="0" applyFont="1" applyFill="1" applyBorder="1" applyAlignment="1">
      <alignment horizontal="left"/>
    </xf>
    <xf numFmtId="0" fontId="38" fillId="23" borderId="0" xfId="0" applyFont="1" applyFill="1"/>
    <xf numFmtId="0" fontId="24" fillId="12" borderId="0" xfId="0" applyFont="1" applyFill="1" applyBorder="1" applyAlignment="1">
      <alignment horizontal="center" vertical="center"/>
    </xf>
    <xf numFmtId="0" fontId="26" fillId="20" borderId="0" xfId="0" applyFont="1" applyFill="1" applyBorder="1" applyAlignment="1">
      <alignment horizontal="left"/>
    </xf>
    <xf numFmtId="0" fontId="26" fillId="21" borderId="0" xfId="0" applyFont="1" applyFill="1" applyBorder="1" applyAlignment="1">
      <alignment horizontal="left"/>
    </xf>
    <xf numFmtId="0" fontId="26" fillId="12" borderId="0" xfId="0" applyFont="1" applyFill="1" applyBorder="1" applyAlignment="1">
      <alignment horizontal="left"/>
    </xf>
    <xf numFmtId="0" fontId="35" fillId="12" borderId="0" xfId="0" applyFont="1" applyFill="1"/>
    <xf numFmtId="0" fontId="38" fillId="23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2" fillId="12" borderId="0" xfId="0" applyFont="1" applyFill="1" applyAlignment="1">
      <alignment horizontal="left" vertical="center"/>
    </xf>
    <xf numFmtId="0" fontId="29" fillId="12" borderId="0" xfId="0" applyFont="1" applyFill="1" applyAlignment="1">
      <alignment horizontal="left" vertical="center"/>
    </xf>
    <xf numFmtId="0" fontId="22" fillId="12" borderId="0" xfId="0" applyFont="1" applyFill="1" applyAlignment="1">
      <alignment horizontal="left"/>
    </xf>
    <xf numFmtId="0" fontId="22" fillId="12" borderId="6" xfId="0" applyFont="1" applyFill="1" applyBorder="1" applyAlignment="1">
      <alignment horizontal="left" vertical="center"/>
    </xf>
    <xf numFmtId="0" fontId="38" fillId="23" borderId="0" xfId="0" applyFont="1" applyFill="1" applyAlignment="1">
      <alignment horizontal="left" vertical="center"/>
    </xf>
    <xf numFmtId="0" fontId="38" fillId="23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40" fillId="34" borderId="8" xfId="0" applyFont="1" applyFill="1" applyBorder="1" applyAlignment="1">
      <alignment horizontal="center" vertical="center"/>
    </xf>
    <xf numFmtId="0" fontId="25" fillId="12" borderId="0" xfId="0" applyFont="1" applyFill="1" applyBorder="1" applyAlignment="1">
      <alignment horizontal="center" vertical="center" wrapText="1"/>
    </xf>
    <xf numFmtId="0" fontId="25" fillId="12" borderId="0" xfId="0" applyFont="1" applyFill="1" applyBorder="1" applyAlignment="1">
      <alignment horizontal="center" vertical="center"/>
    </xf>
    <xf numFmtId="1" fontId="31" fillId="12" borderId="4" xfId="0" applyNumberFormat="1" applyFont="1" applyFill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27" borderId="18" xfId="0" applyFont="1" applyFill="1" applyBorder="1" applyAlignment="1">
      <alignment horizontal="center" vertical="center"/>
    </xf>
    <xf numFmtId="0" fontId="31" fillId="27" borderId="20" xfId="0" applyFont="1" applyFill="1" applyBorder="1" applyAlignment="1">
      <alignment horizontal="center" vertical="center"/>
    </xf>
    <xf numFmtId="0" fontId="31" fillId="12" borderId="18" xfId="0" applyFont="1" applyFill="1" applyBorder="1" applyAlignment="1">
      <alignment horizontal="center" vertical="center"/>
    </xf>
    <xf numFmtId="0" fontId="31" fillId="12" borderId="20" xfId="0" applyFont="1" applyFill="1" applyBorder="1" applyAlignment="1">
      <alignment horizontal="center" vertical="center"/>
    </xf>
    <xf numFmtId="0" fontId="31" fillId="27" borderId="10" xfId="0" applyFont="1" applyFill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8" xfId="0" applyFont="1" applyFill="1" applyBorder="1" applyAlignment="1">
      <alignment horizontal="center" vertical="center"/>
    </xf>
    <xf numFmtId="0" fontId="31" fillId="0" borderId="20" xfId="0" applyFont="1" applyFill="1" applyBorder="1" applyAlignment="1">
      <alignment horizontal="center" vertical="center"/>
    </xf>
    <xf numFmtId="0" fontId="31" fillId="28" borderId="18" xfId="0" applyFont="1" applyFill="1" applyBorder="1" applyAlignment="1">
      <alignment horizontal="center" vertical="center"/>
    </xf>
    <xf numFmtId="0" fontId="31" fillId="28" borderId="20" xfId="0" applyFont="1" applyFill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27" borderId="18" xfId="0" applyFont="1" applyFill="1" applyBorder="1" applyAlignment="1">
      <alignment horizontal="center" vertical="center"/>
    </xf>
    <xf numFmtId="0" fontId="34" fillId="27" borderId="16" xfId="0" applyFont="1" applyFill="1" applyBorder="1" applyAlignment="1">
      <alignment horizontal="center" vertical="center"/>
    </xf>
    <xf numFmtId="0" fontId="31" fillId="12" borderId="13" xfId="0" applyFont="1" applyFill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 wrapText="1"/>
    </xf>
    <xf numFmtId="0" fontId="9" fillId="12" borderId="0" xfId="0" applyFont="1" applyFill="1" applyBorder="1" applyAlignment="1">
      <alignment horizontal="center" vertical="center"/>
    </xf>
    <xf numFmtId="1" fontId="15" fillId="12" borderId="4" xfId="0" applyNumberFormat="1" applyFont="1" applyFill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12" borderId="18" xfId="0" applyFont="1" applyFill="1" applyBorder="1" applyAlignment="1">
      <alignment horizontal="center" vertical="center"/>
    </xf>
    <xf numFmtId="0" fontId="15" fillId="12" borderId="20" xfId="0" applyFont="1" applyFill="1" applyBorder="1" applyAlignment="1">
      <alignment horizontal="center" vertical="center"/>
    </xf>
    <xf numFmtId="0" fontId="15" fillId="27" borderId="10" xfId="0" applyFont="1" applyFill="1" applyBorder="1" applyAlignment="1">
      <alignment horizontal="center" vertical="center"/>
    </xf>
    <xf numFmtId="0" fontId="15" fillId="27" borderId="20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8" borderId="18" xfId="0" applyFont="1" applyFill="1" applyBorder="1" applyAlignment="1">
      <alignment horizontal="center" vertical="center"/>
    </xf>
    <xf numFmtId="0" fontId="15" fillId="28" borderId="20" xfId="0" applyFont="1" applyFill="1" applyBorder="1" applyAlignment="1">
      <alignment horizontal="center" vertical="center"/>
    </xf>
    <xf numFmtId="0" fontId="15" fillId="27" borderId="18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5" fillId="12" borderId="13" xfId="0" applyFont="1" applyFill="1" applyBorder="1" applyAlignment="1">
      <alignment horizontal="center" vertical="center"/>
    </xf>
    <xf numFmtId="0" fontId="19" fillId="27" borderId="18" xfId="0" applyFont="1" applyFill="1" applyBorder="1" applyAlignment="1">
      <alignment horizontal="center" vertical="center"/>
    </xf>
    <xf numFmtId="0" fontId="19" fillId="27" borderId="16" xfId="0" applyFont="1" applyFill="1" applyBorder="1" applyAlignment="1">
      <alignment horizontal="center" vertical="center"/>
    </xf>
    <xf numFmtId="0" fontId="19" fillId="12" borderId="18" xfId="0" applyFont="1" applyFill="1" applyBorder="1" applyAlignment="1">
      <alignment horizontal="center" vertical="center"/>
    </xf>
    <xf numFmtId="0" fontId="19" fillId="12" borderId="16" xfId="0" applyFont="1" applyFill="1" applyBorder="1" applyAlignment="1">
      <alignment horizontal="center" vertical="center"/>
    </xf>
    <xf numFmtId="0" fontId="15" fillId="12" borderId="10" xfId="0" applyFont="1" applyFill="1" applyBorder="1" applyAlignment="1">
      <alignment horizontal="center" vertical="center"/>
    </xf>
    <xf numFmtId="0" fontId="31" fillId="12" borderId="10" xfId="0" applyFont="1" applyFill="1" applyBorder="1" applyAlignment="1">
      <alignment horizontal="center" vertical="center"/>
    </xf>
    <xf numFmtId="0" fontId="34" fillId="12" borderId="18" xfId="0" applyFont="1" applyFill="1" applyBorder="1" applyAlignment="1">
      <alignment horizontal="center" vertical="center"/>
    </xf>
    <xf numFmtId="0" fontId="34" fillId="12" borderId="16" xfId="0" applyFont="1" applyFill="1" applyBorder="1" applyAlignment="1">
      <alignment horizontal="center" vertical="center"/>
    </xf>
  </cellXfs>
  <cellStyles count="522">
    <cellStyle name="Lien hypertexte" xfId="2" builtinId="8" hidden="1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" xfId="194" builtinId="8" hidden="1"/>
    <cellStyle name="Lien hypertexte" xfId="196" builtinId="8" hidden="1"/>
    <cellStyle name="Lien hypertexte" xfId="198" builtinId="8" hidden="1"/>
    <cellStyle name="Lien hypertexte" xfId="200" builtinId="8" hidden="1"/>
    <cellStyle name="Lien hypertexte" xfId="202" builtinId="8" hidden="1"/>
    <cellStyle name="Lien hypertexte" xfId="204" builtinId="8" hidden="1"/>
    <cellStyle name="Lien hypertexte" xfId="206" builtinId="8" hidden="1"/>
    <cellStyle name="Lien hypertexte" xfId="208" builtinId="8" hidden="1"/>
    <cellStyle name="Lien hypertexte" xfId="210" builtinId="8" hidden="1"/>
    <cellStyle name="Lien hypertexte" xfId="212" builtinId="8" hidden="1"/>
    <cellStyle name="Lien hypertexte" xfId="214" builtinId="8" hidden="1"/>
    <cellStyle name="Lien hypertexte" xfId="216" builtinId="8" hidden="1"/>
    <cellStyle name="Lien hypertexte" xfId="218" builtinId="8" hidden="1"/>
    <cellStyle name="Lien hypertexte" xfId="220" builtinId="8" hidden="1"/>
    <cellStyle name="Lien hypertexte" xfId="222" builtinId="8" hidden="1"/>
    <cellStyle name="Lien hypertexte" xfId="224" builtinId="8" hidden="1"/>
    <cellStyle name="Lien hypertexte" xfId="226" builtinId="8" hidden="1"/>
    <cellStyle name="Lien hypertexte" xfId="228" builtinId="8" hidden="1"/>
    <cellStyle name="Lien hypertexte" xfId="230" builtinId="8" hidden="1"/>
    <cellStyle name="Lien hypertexte" xfId="232" builtinId="8" hidden="1"/>
    <cellStyle name="Lien hypertexte" xfId="234" builtinId="8" hidden="1"/>
    <cellStyle name="Lien hypertexte" xfId="236" builtinId="8" hidden="1"/>
    <cellStyle name="Lien hypertexte" xfId="238" builtinId="8" hidden="1"/>
    <cellStyle name="Lien hypertexte" xfId="240" builtinId="8" hidden="1"/>
    <cellStyle name="Lien hypertexte" xfId="242" builtinId="8" hidden="1"/>
    <cellStyle name="Lien hypertexte" xfId="244" builtinId="8" hidden="1"/>
    <cellStyle name="Lien hypertexte" xfId="246" builtinId="8" hidden="1"/>
    <cellStyle name="Lien hypertexte" xfId="248" builtinId="8" hidden="1"/>
    <cellStyle name="Lien hypertexte" xfId="250" builtinId="8" hidden="1"/>
    <cellStyle name="Lien hypertexte" xfId="252" builtinId="8" hidden="1"/>
    <cellStyle name="Lien hypertexte" xfId="254" builtinId="8" hidden="1"/>
    <cellStyle name="Lien hypertexte" xfId="256" builtinId="8" hidden="1"/>
    <cellStyle name="Lien hypertexte" xfId="258" builtinId="8" hidden="1"/>
    <cellStyle name="Lien hypertexte" xfId="260" builtinId="8" hidden="1"/>
    <cellStyle name="Lien hypertexte" xfId="262" builtinId="8" hidden="1"/>
    <cellStyle name="Lien hypertexte" xfId="264" builtinId="8" hidden="1"/>
    <cellStyle name="Lien hypertexte" xfId="266" builtinId="8" hidden="1"/>
    <cellStyle name="Lien hypertexte" xfId="268" builtinId="8" hidden="1"/>
    <cellStyle name="Lien hypertexte" xfId="270" builtinId="8" hidden="1"/>
    <cellStyle name="Lien hypertexte" xfId="272" builtinId="8" hidden="1"/>
    <cellStyle name="Lien hypertexte" xfId="274" builtinId="8" hidden="1"/>
    <cellStyle name="Lien hypertexte" xfId="276" builtinId="8" hidden="1"/>
    <cellStyle name="Lien hypertexte" xfId="278" builtinId="8" hidden="1"/>
    <cellStyle name="Lien hypertexte" xfId="280" builtinId="8" hidden="1"/>
    <cellStyle name="Lien hypertexte" xfId="282" builtinId="8" hidden="1"/>
    <cellStyle name="Lien hypertexte" xfId="284" builtinId="8" hidden="1"/>
    <cellStyle name="Lien hypertexte" xfId="286" builtinId="8" hidden="1"/>
    <cellStyle name="Lien hypertexte" xfId="288" builtinId="8" hidden="1"/>
    <cellStyle name="Lien hypertexte" xfId="290" builtinId="8" hidden="1"/>
    <cellStyle name="Lien hypertexte" xfId="292" builtinId="8" hidden="1"/>
    <cellStyle name="Lien hypertexte" xfId="294" builtinId="8" hidden="1"/>
    <cellStyle name="Lien hypertexte" xfId="296" builtinId="8" hidden="1"/>
    <cellStyle name="Lien hypertexte" xfId="298" builtinId="8" hidden="1"/>
    <cellStyle name="Lien hypertexte" xfId="300" builtinId="8" hidden="1"/>
    <cellStyle name="Lien hypertexte" xfId="302" builtinId="8" hidden="1"/>
    <cellStyle name="Lien hypertexte" xfId="304" builtinId="8" hidden="1"/>
    <cellStyle name="Lien hypertexte" xfId="306" builtinId="8" hidden="1"/>
    <cellStyle name="Lien hypertexte" xfId="308" builtinId="8" hidden="1"/>
    <cellStyle name="Lien hypertexte" xfId="310" builtinId="8" hidden="1"/>
    <cellStyle name="Lien hypertexte" xfId="312" builtinId="8" hidden="1"/>
    <cellStyle name="Lien hypertexte" xfId="314" builtinId="8" hidden="1"/>
    <cellStyle name="Lien hypertexte" xfId="316" builtinId="8" hidden="1"/>
    <cellStyle name="Lien hypertexte" xfId="318" builtinId="8" hidden="1"/>
    <cellStyle name="Lien hypertexte" xfId="320" builtinId="8" hidden="1"/>
    <cellStyle name="Lien hypertexte" xfId="322" builtinId="8" hidden="1"/>
    <cellStyle name="Lien hypertexte" xfId="324" builtinId="8" hidden="1"/>
    <cellStyle name="Lien hypertexte" xfId="326" builtinId="8" hidden="1"/>
    <cellStyle name="Lien hypertexte" xfId="328" builtinId="8" hidden="1"/>
    <cellStyle name="Lien hypertexte" xfId="330" builtinId="8" hidden="1"/>
    <cellStyle name="Lien hypertexte" xfId="332" builtinId="8" hidden="1"/>
    <cellStyle name="Lien hypertexte" xfId="334" builtinId="8" hidden="1"/>
    <cellStyle name="Lien hypertexte" xfId="336" builtinId="8" hidden="1"/>
    <cellStyle name="Lien hypertexte" xfId="338" builtinId="8" hidden="1"/>
    <cellStyle name="Lien hypertexte" xfId="340" builtinId="8" hidden="1"/>
    <cellStyle name="Lien hypertexte" xfId="342" builtinId="8" hidden="1"/>
    <cellStyle name="Lien hypertexte" xfId="344" builtinId="8" hidden="1"/>
    <cellStyle name="Lien hypertexte" xfId="346" builtinId="8" hidden="1"/>
    <cellStyle name="Lien hypertexte" xfId="348" builtinId="8" hidden="1"/>
    <cellStyle name="Lien hypertexte" xfId="350" builtinId="8" hidden="1"/>
    <cellStyle name="Lien hypertexte" xfId="352" builtinId="8" hidden="1"/>
    <cellStyle name="Lien hypertexte" xfId="354" builtinId="8" hidden="1"/>
    <cellStyle name="Lien hypertexte" xfId="356" builtinId="8" hidden="1"/>
    <cellStyle name="Lien hypertexte" xfId="358" builtinId="8" hidden="1"/>
    <cellStyle name="Lien hypertexte" xfId="360" builtinId="8" hidden="1"/>
    <cellStyle name="Lien hypertexte" xfId="362" builtinId="8" hidden="1"/>
    <cellStyle name="Lien hypertexte" xfId="364" builtinId="8" hidden="1"/>
    <cellStyle name="Lien hypertexte" xfId="366" builtinId="8" hidden="1"/>
    <cellStyle name="Lien hypertexte" xfId="368" builtinId="8" hidden="1"/>
    <cellStyle name="Lien hypertexte" xfId="370" builtinId="8" hidden="1"/>
    <cellStyle name="Lien hypertexte" xfId="372" builtinId="8" hidden="1"/>
    <cellStyle name="Lien hypertexte" xfId="374" builtinId="8" hidden="1"/>
    <cellStyle name="Lien hypertexte" xfId="376" builtinId="8" hidden="1"/>
    <cellStyle name="Lien hypertexte" xfId="378" builtinId="8" hidden="1"/>
    <cellStyle name="Lien hypertexte" xfId="380" builtinId="8" hidden="1"/>
    <cellStyle name="Lien hypertexte" xfId="382" builtinId="8" hidden="1"/>
    <cellStyle name="Lien hypertexte" xfId="384" builtinId="8" hidden="1"/>
    <cellStyle name="Lien hypertexte" xfId="386" builtinId="8" hidden="1"/>
    <cellStyle name="Lien hypertexte" xfId="388" builtinId="8" hidden="1"/>
    <cellStyle name="Lien hypertexte" xfId="390" builtinId="8" hidden="1"/>
    <cellStyle name="Lien hypertexte" xfId="392" builtinId="8" hidden="1"/>
    <cellStyle name="Lien hypertexte" xfId="394" builtinId="8" hidden="1"/>
    <cellStyle name="Lien hypertexte" xfId="396" builtinId="8" hidden="1"/>
    <cellStyle name="Lien hypertexte" xfId="398" builtinId="8" hidden="1"/>
    <cellStyle name="Lien hypertexte" xfId="400" builtinId="8" hidden="1"/>
    <cellStyle name="Lien hypertexte" xfId="402" builtinId="8" hidden="1"/>
    <cellStyle name="Lien hypertexte" xfId="404" builtinId="8" hidden="1"/>
    <cellStyle name="Lien hypertexte" xfId="406" builtinId="8" hidden="1"/>
    <cellStyle name="Lien hypertexte" xfId="408" builtinId="8" hidden="1"/>
    <cellStyle name="Lien hypertexte" xfId="410" builtinId="8" hidden="1"/>
    <cellStyle name="Lien hypertexte" xfId="412" builtinId="8" hidden="1"/>
    <cellStyle name="Lien hypertexte" xfId="414" builtinId="8" hidden="1"/>
    <cellStyle name="Lien hypertexte" xfId="416" builtinId="8" hidden="1"/>
    <cellStyle name="Lien hypertexte" xfId="418" builtinId="8" hidden="1"/>
    <cellStyle name="Lien hypertexte" xfId="420" builtinId="8" hidden="1"/>
    <cellStyle name="Lien hypertexte" xfId="422" builtinId="8" hidden="1"/>
    <cellStyle name="Lien hypertexte" xfId="424" builtinId="8" hidden="1"/>
    <cellStyle name="Lien hypertexte" xfId="426" builtinId="8" hidden="1"/>
    <cellStyle name="Lien hypertexte" xfId="428" builtinId="8" hidden="1"/>
    <cellStyle name="Lien hypertexte" xfId="430" builtinId="8" hidden="1"/>
    <cellStyle name="Lien hypertexte" xfId="432" builtinId="8" hidden="1"/>
    <cellStyle name="Lien hypertexte" xfId="434" builtinId="8" hidden="1"/>
    <cellStyle name="Lien hypertexte" xfId="436" builtinId="8" hidden="1"/>
    <cellStyle name="Lien hypertexte" xfId="438" builtinId="8" hidden="1"/>
    <cellStyle name="Lien hypertexte" xfId="440" builtinId="8" hidden="1"/>
    <cellStyle name="Lien hypertexte" xfId="442" builtinId="8" hidden="1"/>
    <cellStyle name="Lien hypertexte" xfId="444" builtinId="8" hidden="1"/>
    <cellStyle name="Lien hypertexte" xfId="446" builtinId="8" hidden="1"/>
    <cellStyle name="Lien hypertexte" xfId="448" builtinId="8" hidden="1"/>
    <cellStyle name="Lien hypertexte" xfId="450" builtinId="8" hidden="1"/>
    <cellStyle name="Lien hypertexte" xfId="452" builtinId="8" hidden="1"/>
    <cellStyle name="Lien hypertexte" xfId="454" builtinId="8" hidden="1"/>
    <cellStyle name="Lien hypertexte" xfId="456" builtinId="8" hidden="1"/>
    <cellStyle name="Lien hypertexte" xfId="458" builtinId="8" hidden="1"/>
    <cellStyle name="Lien hypertexte" xfId="460" builtinId="8" hidden="1"/>
    <cellStyle name="Lien hypertexte" xfId="462" builtinId="8" hidden="1"/>
    <cellStyle name="Lien hypertexte" xfId="464" builtinId="8" hidden="1"/>
    <cellStyle name="Lien hypertexte" xfId="466" builtinId="8" hidden="1"/>
    <cellStyle name="Lien hypertexte" xfId="468" builtinId="8" hidden="1"/>
    <cellStyle name="Lien hypertexte" xfId="470" builtinId="8" hidden="1"/>
    <cellStyle name="Lien hypertexte" xfId="472" builtinId="8" hidden="1"/>
    <cellStyle name="Lien hypertexte" xfId="474" builtinId="8" hidden="1"/>
    <cellStyle name="Lien hypertexte" xfId="476" builtinId="8" hidden="1"/>
    <cellStyle name="Lien hypertexte" xfId="478" builtinId="8" hidden="1"/>
    <cellStyle name="Lien hypertexte" xfId="480" builtinId="8" hidden="1"/>
    <cellStyle name="Lien hypertexte" xfId="482" builtinId="8" hidden="1"/>
    <cellStyle name="Lien hypertexte" xfId="484" builtinId="8" hidden="1"/>
    <cellStyle name="Lien hypertexte" xfId="486" builtinId="8" hidden="1"/>
    <cellStyle name="Lien hypertexte" xfId="488" builtinId="8" hidden="1"/>
    <cellStyle name="Lien hypertexte" xfId="490" builtinId="8" hidden="1"/>
    <cellStyle name="Lien hypertexte" xfId="492" builtinId="8" hidden="1"/>
    <cellStyle name="Lien hypertexte" xfId="494" builtinId="8" hidden="1"/>
    <cellStyle name="Lien hypertexte" xfId="496" builtinId="8" hidden="1"/>
    <cellStyle name="Lien hypertexte" xfId="498" builtinId="8" hidden="1"/>
    <cellStyle name="Lien hypertexte" xfId="500" builtinId="8" hidden="1"/>
    <cellStyle name="Lien hypertexte" xfId="502" builtinId="8" hidden="1"/>
    <cellStyle name="Lien hypertexte" xfId="504" builtinId="8" hidden="1"/>
    <cellStyle name="Lien hypertexte" xfId="506" builtinId="8" hidden="1"/>
    <cellStyle name="Lien hypertexte" xfId="508" builtinId="8" hidden="1"/>
    <cellStyle name="Lien hypertexte" xfId="510" builtinId="8" hidden="1"/>
    <cellStyle name="Lien hypertexte" xfId="512" builtinId="8" hidden="1"/>
    <cellStyle name="Lien hypertexte" xfId="514" builtinId="8" hidden="1"/>
    <cellStyle name="Lien hypertexte" xfId="516" builtinId="8" hidden="1"/>
    <cellStyle name="Lien hypertexte" xfId="518" builtinId="8" hidden="1"/>
    <cellStyle name="Lien hypertexte" xfId="520" builtinId="8" hidden="1"/>
    <cellStyle name="Lien hypertexte visité" xfId="3" builtinId="9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0" builtinId="9" hidden="1"/>
    <cellStyle name="Lien hypertexte visité" xfId="151" builtinId="9" hidden="1"/>
    <cellStyle name="Lien hypertexte visité" xfId="152" builtinId="9" hidden="1"/>
    <cellStyle name="Lien hypertexte visité" xfId="153" builtinId="9" hidden="1"/>
    <cellStyle name="Lien hypertexte visité" xfId="154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Lien hypertexte visité" xfId="195" builtinId="9" hidden="1"/>
    <cellStyle name="Lien hypertexte visité" xfId="197" builtinId="9" hidden="1"/>
    <cellStyle name="Lien hypertexte visité" xfId="199" builtinId="9" hidden="1"/>
    <cellStyle name="Lien hypertexte visité" xfId="201" builtinId="9" hidden="1"/>
    <cellStyle name="Lien hypertexte visité" xfId="203" builtinId="9" hidden="1"/>
    <cellStyle name="Lien hypertexte visité" xfId="205" builtinId="9" hidden="1"/>
    <cellStyle name="Lien hypertexte visité" xfId="207" builtinId="9" hidden="1"/>
    <cellStyle name="Lien hypertexte visité" xfId="209" builtinId="9" hidden="1"/>
    <cellStyle name="Lien hypertexte visité" xfId="211" builtinId="9" hidden="1"/>
    <cellStyle name="Lien hypertexte visité" xfId="213" builtinId="9" hidden="1"/>
    <cellStyle name="Lien hypertexte visité" xfId="215" builtinId="9" hidden="1"/>
    <cellStyle name="Lien hypertexte visité" xfId="217" builtinId="9" hidden="1"/>
    <cellStyle name="Lien hypertexte visité" xfId="219" builtinId="9" hidden="1"/>
    <cellStyle name="Lien hypertexte visité" xfId="221" builtinId="9" hidden="1"/>
    <cellStyle name="Lien hypertexte visité" xfId="223" builtinId="9" hidden="1"/>
    <cellStyle name="Lien hypertexte visité" xfId="225" builtinId="9" hidden="1"/>
    <cellStyle name="Lien hypertexte visité" xfId="227" builtinId="9" hidden="1"/>
    <cellStyle name="Lien hypertexte visité" xfId="229" builtinId="9" hidden="1"/>
    <cellStyle name="Lien hypertexte visité" xfId="231" builtinId="9" hidden="1"/>
    <cellStyle name="Lien hypertexte visité" xfId="233" builtinId="9" hidden="1"/>
    <cellStyle name="Lien hypertexte visité" xfId="235" builtinId="9" hidden="1"/>
    <cellStyle name="Lien hypertexte visité" xfId="237" builtinId="9" hidden="1"/>
    <cellStyle name="Lien hypertexte visité" xfId="239" builtinId="9" hidden="1"/>
    <cellStyle name="Lien hypertexte visité" xfId="241" builtinId="9" hidden="1"/>
    <cellStyle name="Lien hypertexte visité" xfId="243" builtinId="9" hidden="1"/>
    <cellStyle name="Lien hypertexte visité" xfId="245" builtinId="9" hidden="1"/>
    <cellStyle name="Lien hypertexte visité" xfId="247" builtinId="9" hidden="1"/>
    <cellStyle name="Lien hypertexte visité" xfId="249" builtinId="9" hidden="1"/>
    <cellStyle name="Lien hypertexte visité" xfId="251" builtinId="9" hidden="1"/>
    <cellStyle name="Lien hypertexte visité" xfId="253" builtinId="9" hidden="1"/>
    <cellStyle name="Lien hypertexte visité" xfId="255" builtinId="9" hidden="1"/>
    <cellStyle name="Lien hypertexte visité" xfId="257" builtinId="9" hidden="1"/>
    <cellStyle name="Lien hypertexte visité" xfId="259" builtinId="9" hidden="1"/>
    <cellStyle name="Lien hypertexte visité" xfId="261" builtinId="9" hidden="1"/>
    <cellStyle name="Lien hypertexte visité" xfId="263" builtinId="9" hidden="1"/>
    <cellStyle name="Lien hypertexte visité" xfId="265" builtinId="9" hidden="1"/>
    <cellStyle name="Lien hypertexte visité" xfId="267" builtinId="9" hidden="1"/>
    <cellStyle name="Lien hypertexte visité" xfId="269" builtinId="9" hidden="1"/>
    <cellStyle name="Lien hypertexte visité" xfId="271" builtinId="9" hidden="1"/>
    <cellStyle name="Lien hypertexte visité" xfId="273" builtinId="9" hidden="1"/>
    <cellStyle name="Lien hypertexte visité" xfId="275" builtinId="9" hidden="1"/>
    <cellStyle name="Lien hypertexte visité" xfId="277" builtinId="9" hidden="1"/>
    <cellStyle name="Lien hypertexte visité" xfId="279" builtinId="9" hidden="1"/>
    <cellStyle name="Lien hypertexte visité" xfId="281" builtinId="9" hidden="1"/>
    <cellStyle name="Lien hypertexte visité" xfId="283" builtinId="9" hidden="1"/>
    <cellStyle name="Lien hypertexte visité" xfId="285" builtinId="9" hidden="1"/>
    <cellStyle name="Lien hypertexte visité" xfId="287" builtinId="9" hidden="1"/>
    <cellStyle name="Lien hypertexte visité" xfId="289" builtinId="9" hidden="1"/>
    <cellStyle name="Lien hypertexte visité" xfId="291" builtinId="9" hidden="1"/>
    <cellStyle name="Lien hypertexte visité" xfId="293" builtinId="9" hidden="1"/>
    <cellStyle name="Lien hypertexte visité" xfId="295" builtinId="9" hidden="1"/>
    <cellStyle name="Lien hypertexte visité" xfId="297" builtinId="9" hidden="1"/>
    <cellStyle name="Lien hypertexte visité" xfId="299" builtinId="9" hidden="1"/>
    <cellStyle name="Lien hypertexte visité" xfId="301" builtinId="9" hidden="1"/>
    <cellStyle name="Lien hypertexte visité" xfId="303" builtinId="9" hidden="1"/>
    <cellStyle name="Lien hypertexte visité" xfId="305" builtinId="9" hidden="1"/>
    <cellStyle name="Lien hypertexte visité" xfId="307" builtinId="9" hidden="1"/>
    <cellStyle name="Lien hypertexte visité" xfId="309" builtinId="9" hidden="1"/>
    <cellStyle name="Lien hypertexte visité" xfId="311" builtinId="9" hidden="1"/>
    <cellStyle name="Lien hypertexte visité" xfId="313" builtinId="9" hidden="1"/>
    <cellStyle name="Lien hypertexte visité" xfId="315" builtinId="9" hidden="1"/>
    <cellStyle name="Lien hypertexte visité" xfId="317" builtinId="9" hidden="1"/>
    <cellStyle name="Lien hypertexte visité" xfId="319" builtinId="9" hidden="1"/>
    <cellStyle name="Lien hypertexte visité" xfId="321" builtinId="9" hidden="1"/>
    <cellStyle name="Lien hypertexte visité" xfId="323" builtinId="9" hidden="1"/>
    <cellStyle name="Lien hypertexte visité" xfId="325" builtinId="9" hidden="1"/>
    <cellStyle name="Lien hypertexte visité" xfId="327" builtinId="9" hidden="1"/>
    <cellStyle name="Lien hypertexte visité" xfId="329" builtinId="9" hidden="1"/>
    <cellStyle name="Lien hypertexte visité" xfId="331" builtinId="9" hidden="1"/>
    <cellStyle name="Lien hypertexte visité" xfId="333" builtinId="9" hidden="1"/>
    <cellStyle name="Lien hypertexte visité" xfId="335" builtinId="9" hidden="1"/>
    <cellStyle name="Lien hypertexte visité" xfId="337" builtinId="9" hidden="1"/>
    <cellStyle name="Lien hypertexte visité" xfId="339" builtinId="9" hidden="1"/>
    <cellStyle name="Lien hypertexte visité" xfId="341" builtinId="9" hidden="1"/>
    <cellStyle name="Lien hypertexte visité" xfId="343" builtinId="9" hidden="1"/>
    <cellStyle name="Lien hypertexte visité" xfId="345" builtinId="9" hidden="1"/>
    <cellStyle name="Lien hypertexte visité" xfId="347" builtinId="9" hidden="1"/>
    <cellStyle name="Lien hypertexte visité" xfId="349" builtinId="9" hidden="1"/>
    <cellStyle name="Lien hypertexte visité" xfId="351" builtinId="9" hidden="1"/>
    <cellStyle name="Lien hypertexte visité" xfId="353" builtinId="9" hidden="1"/>
    <cellStyle name="Lien hypertexte visité" xfId="355" builtinId="9" hidden="1"/>
    <cellStyle name="Lien hypertexte visité" xfId="357" builtinId="9" hidden="1"/>
    <cellStyle name="Lien hypertexte visité" xfId="359" builtinId="9" hidden="1"/>
    <cellStyle name="Lien hypertexte visité" xfId="361" builtinId="9" hidden="1"/>
    <cellStyle name="Lien hypertexte visité" xfId="363" builtinId="9" hidden="1"/>
    <cellStyle name="Lien hypertexte visité" xfId="365" builtinId="9" hidden="1"/>
    <cellStyle name="Lien hypertexte visité" xfId="367" builtinId="9" hidden="1"/>
    <cellStyle name="Lien hypertexte visité" xfId="369" builtinId="9" hidden="1"/>
    <cellStyle name="Lien hypertexte visité" xfId="371" builtinId="9" hidden="1"/>
    <cellStyle name="Lien hypertexte visité" xfId="373" builtinId="9" hidden="1"/>
    <cellStyle name="Lien hypertexte visité" xfId="375" builtinId="9" hidden="1"/>
    <cellStyle name="Lien hypertexte visité" xfId="377" builtinId="9" hidden="1"/>
    <cellStyle name="Lien hypertexte visité" xfId="379" builtinId="9" hidden="1"/>
    <cellStyle name="Lien hypertexte visité" xfId="381" builtinId="9" hidden="1"/>
    <cellStyle name="Lien hypertexte visité" xfId="383" builtinId="9" hidden="1"/>
    <cellStyle name="Lien hypertexte visité" xfId="385" builtinId="9" hidden="1"/>
    <cellStyle name="Lien hypertexte visité" xfId="387" builtinId="9" hidden="1"/>
    <cellStyle name="Lien hypertexte visité" xfId="389" builtinId="9" hidden="1"/>
    <cellStyle name="Lien hypertexte visité" xfId="391" builtinId="9" hidden="1"/>
    <cellStyle name="Lien hypertexte visité" xfId="393" builtinId="9" hidden="1"/>
    <cellStyle name="Lien hypertexte visité" xfId="395" builtinId="9" hidden="1"/>
    <cellStyle name="Lien hypertexte visité" xfId="397" builtinId="9" hidden="1"/>
    <cellStyle name="Lien hypertexte visité" xfId="399" builtinId="9" hidden="1"/>
    <cellStyle name="Lien hypertexte visité" xfId="401" builtinId="9" hidden="1"/>
    <cellStyle name="Lien hypertexte visité" xfId="403" builtinId="9" hidden="1"/>
    <cellStyle name="Lien hypertexte visité" xfId="405" builtinId="9" hidden="1"/>
    <cellStyle name="Lien hypertexte visité" xfId="407" builtinId="9" hidden="1"/>
    <cellStyle name="Lien hypertexte visité" xfId="409" builtinId="9" hidden="1"/>
    <cellStyle name="Lien hypertexte visité" xfId="411" builtinId="9" hidden="1"/>
    <cellStyle name="Lien hypertexte visité" xfId="413" builtinId="9" hidden="1"/>
    <cellStyle name="Lien hypertexte visité" xfId="415" builtinId="9" hidden="1"/>
    <cellStyle name="Lien hypertexte visité" xfId="417" builtinId="9" hidden="1"/>
    <cellStyle name="Lien hypertexte visité" xfId="419" builtinId="9" hidden="1"/>
    <cellStyle name="Lien hypertexte visité" xfId="421" builtinId="9" hidden="1"/>
    <cellStyle name="Lien hypertexte visité" xfId="423" builtinId="9" hidden="1"/>
    <cellStyle name="Lien hypertexte visité" xfId="425" builtinId="9" hidden="1"/>
    <cellStyle name="Lien hypertexte visité" xfId="427" builtinId="9" hidden="1"/>
    <cellStyle name="Lien hypertexte visité" xfId="429" builtinId="9" hidden="1"/>
    <cellStyle name="Lien hypertexte visité" xfId="431" builtinId="9" hidden="1"/>
    <cellStyle name="Lien hypertexte visité" xfId="433" builtinId="9" hidden="1"/>
    <cellStyle name="Lien hypertexte visité" xfId="435" builtinId="9" hidden="1"/>
    <cellStyle name="Lien hypertexte visité" xfId="437" builtinId="9" hidden="1"/>
    <cellStyle name="Lien hypertexte visité" xfId="439" builtinId="9" hidden="1"/>
    <cellStyle name="Lien hypertexte visité" xfId="441" builtinId="9" hidden="1"/>
    <cellStyle name="Lien hypertexte visité" xfId="443" builtinId="9" hidden="1"/>
    <cellStyle name="Lien hypertexte visité" xfId="445" builtinId="9" hidden="1"/>
    <cellStyle name="Lien hypertexte visité" xfId="447" builtinId="9" hidden="1"/>
    <cellStyle name="Lien hypertexte visité" xfId="449" builtinId="9" hidden="1"/>
    <cellStyle name="Lien hypertexte visité" xfId="451" builtinId="9" hidden="1"/>
    <cellStyle name="Lien hypertexte visité" xfId="453" builtinId="9" hidden="1"/>
    <cellStyle name="Lien hypertexte visité" xfId="455" builtinId="9" hidden="1"/>
    <cellStyle name="Lien hypertexte visité" xfId="457" builtinId="9" hidden="1"/>
    <cellStyle name="Lien hypertexte visité" xfId="459" builtinId="9" hidden="1"/>
    <cellStyle name="Lien hypertexte visité" xfId="461" builtinId="9" hidden="1"/>
    <cellStyle name="Lien hypertexte visité" xfId="463" builtinId="9" hidden="1"/>
    <cellStyle name="Lien hypertexte visité" xfId="465" builtinId="9" hidden="1"/>
    <cellStyle name="Lien hypertexte visité" xfId="467" builtinId="9" hidden="1"/>
    <cellStyle name="Lien hypertexte visité" xfId="469" builtinId="9" hidden="1"/>
    <cellStyle name="Lien hypertexte visité" xfId="471" builtinId="9" hidden="1"/>
    <cellStyle name="Lien hypertexte visité" xfId="473" builtinId="9" hidden="1"/>
    <cellStyle name="Lien hypertexte visité" xfId="475" builtinId="9" hidden="1"/>
    <cellStyle name="Lien hypertexte visité" xfId="477" builtinId="9" hidden="1"/>
    <cellStyle name="Lien hypertexte visité" xfId="479" builtinId="9" hidden="1"/>
    <cellStyle name="Lien hypertexte visité" xfId="481" builtinId="9" hidden="1"/>
    <cellStyle name="Lien hypertexte visité" xfId="483" builtinId="9" hidden="1"/>
    <cellStyle name="Lien hypertexte visité" xfId="485" builtinId="9" hidden="1"/>
    <cellStyle name="Lien hypertexte visité" xfId="487" builtinId="9" hidden="1"/>
    <cellStyle name="Lien hypertexte visité" xfId="489" builtinId="9" hidden="1"/>
    <cellStyle name="Lien hypertexte visité" xfId="491" builtinId="9" hidden="1"/>
    <cellStyle name="Lien hypertexte visité" xfId="493" builtinId="9" hidden="1"/>
    <cellStyle name="Lien hypertexte visité" xfId="495" builtinId="9" hidden="1"/>
    <cellStyle name="Lien hypertexte visité" xfId="497" builtinId="9" hidden="1"/>
    <cellStyle name="Lien hypertexte visité" xfId="499" builtinId="9" hidden="1"/>
    <cellStyle name="Lien hypertexte visité" xfId="501" builtinId="9" hidden="1"/>
    <cellStyle name="Lien hypertexte visité" xfId="503" builtinId="9" hidden="1"/>
    <cellStyle name="Lien hypertexte visité" xfId="505" builtinId="9" hidden="1"/>
    <cellStyle name="Lien hypertexte visité" xfId="507" builtinId="9" hidden="1"/>
    <cellStyle name="Lien hypertexte visité" xfId="509" builtinId="9" hidden="1"/>
    <cellStyle name="Lien hypertexte visité" xfId="511" builtinId="9" hidden="1"/>
    <cellStyle name="Lien hypertexte visité" xfId="513" builtinId="9" hidden="1"/>
    <cellStyle name="Lien hypertexte visité" xfId="515" builtinId="9" hidden="1"/>
    <cellStyle name="Lien hypertexte visité" xfId="517" builtinId="9" hidden="1"/>
    <cellStyle name="Lien hypertexte visité" xfId="519" builtinId="9" hidden="1"/>
    <cellStyle name="Lien hypertexte visité" xfId="521" builtinId="9" hidden="1"/>
    <cellStyle name="Normal" xfId="0" builtinId="0"/>
    <cellStyle name="Titre 2" xfId="1" builtinId="17"/>
  </cellStyles>
  <dxfs count="8741"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color auto="1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1"/>
      </font>
      <fill>
        <patternFill patternType="solid">
          <fgColor indexed="64"/>
          <bgColor rgb="FFCBCB6F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b val="0"/>
        <i/>
        <strike val="0"/>
      </font>
      <fill>
        <patternFill patternType="none">
          <fgColor indexed="64"/>
          <bgColor auto="1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strike val="0"/>
        <color theme="0"/>
      </font>
      <fill>
        <patternFill>
          <bgColor theme="0" tint="-0.499984740745262"/>
        </patternFill>
      </fill>
    </dxf>
    <dxf>
      <font>
        <b val="0"/>
        <i val="0"/>
        <color theme="1"/>
      </font>
      <fill>
        <patternFill>
          <bgColor theme="9" tint="0.79998168889431442"/>
        </patternFill>
      </fill>
    </dxf>
    <dxf>
      <font>
        <b val="0"/>
        <i val="0"/>
        <strike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9" tint="0.39994506668294322"/>
        </patternFill>
      </fill>
    </dxf>
    <dxf>
      <font>
        <b val="0"/>
        <i val="0"/>
        <color theme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59996337778862885"/>
        </patternFill>
      </fill>
    </dxf>
    <dxf>
      <font>
        <b val="0"/>
        <i val="0"/>
        <strike val="0"/>
        <color theme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79998168889431442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1"/>
      </font>
      <fill>
        <patternFill>
          <bgColor theme="7" tint="0.59996337778862885"/>
        </patternFill>
      </fill>
    </dxf>
    <dxf>
      <font>
        <b val="0"/>
        <i val="0"/>
        <color theme="0"/>
      </font>
      <fill>
        <patternFill>
          <bgColor theme="7" tint="0.3999450666829432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theme="1"/>
      </font>
      <fill>
        <patternFill>
          <bgColor theme="6" tint="0.79998168889431442"/>
        </patternFill>
      </fill>
    </dxf>
    <dxf>
      <font>
        <b val="0"/>
        <i val="0"/>
        <color auto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6" tint="0.3999450666829432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ont>
        <b val="0"/>
        <i val="0"/>
        <color theme="1"/>
      </font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strike val="0"/>
        <color theme="0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1"/>
      </font>
      <fill>
        <patternFill patternType="solid">
          <fgColor indexed="64"/>
          <bgColor theme="9" tint="0.39997558519241921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strike val="0"/>
      </font>
      <fill>
        <patternFill patternType="solid">
          <fgColor indexed="64"/>
          <bgColor theme="0" tint="-0.14999847407452621"/>
        </patternFill>
      </fill>
    </dxf>
    <dxf>
      <font>
        <strike val="0"/>
        <color auto="1"/>
      </font>
      <fill>
        <patternFill patternType="solid">
          <fgColor indexed="64"/>
          <bgColor theme="6" tint="0.79998168889431442"/>
        </patternFill>
      </fill>
    </dxf>
    <dxf>
      <font>
        <strike val="0"/>
        <color auto="1"/>
      </font>
      <fill>
        <patternFill patternType="solid">
          <fgColor indexed="64"/>
          <bgColor theme="6" tint="0.39997558519241921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strike val="0"/>
        <color theme="0"/>
      </font>
      <fill>
        <patternFill>
          <bgColor theme="0" tint="-0.499984740745262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auto="1"/>
      </font>
      <fill>
        <patternFill patternType="solid">
          <fgColor indexed="64"/>
          <bgColor theme="4" tint="0.599993896298104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9"/>
  <dimension ref="A1:L147"/>
  <sheetViews>
    <sheetView zoomScale="140" zoomScaleNormal="140" zoomScalePageLayoutView="125" workbookViewId="0">
      <pane ySplit="5" topLeftCell="A6" activePane="bottomLeft" state="frozen"/>
      <selection pane="bottomLeft" activeCell="D27" sqref="D27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7" style="145" bestFit="1" customWidth="1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74"/>
      <c r="B1" s="147" t="s">
        <v>112</v>
      </c>
      <c r="C1" s="75">
        <f t="shared" ref="C1:I1" si="0">COUNTIF(C6:C107,$B$127)+COUNTIF(C6:C107,$B$128)+COUNTIF(C6:C107,$B$129)+COUNTIF(C6:C107,$B$130)</f>
        <v>0</v>
      </c>
      <c r="D1" s="75">
        <f t="shared" si="0"/>
        <v>5</v>
      </c>
      <c r="E1" s="75">
        <f t="shared" si="0"/>
        <v>4</v>
      </c>
      <c r="F1" s="75">
        <f t="shared" si="0"/>
        <v>6</v>
      </c>
      <c r="G1" s="75">
        <f t="shared" si="0"/>
        <v>6</v>
      </c>
      <c r="H1" s="75">
        <f t="shared" si="0"/>
        <v>0</v>
      </c>
      <c r="I1" s="75">
        <f t="shared" si="0"/>
        <v>0</v>
      </c>
      <c r="J1" s="74"/>
      <c r="K1" s="139"/>
      <c r="L1" s="76"/>
    </row>
    <row r="2" spans="1:12" s="24" customFormat="1" ht="15" hidden="1" customHeight="1" x14ac:dyDescent="0.15">
      <c r="A2" s="74"/>
      <c r="B2" s="148" t="s">
        <v>30</v>
      </c>
      <c r="C2" s="77"/>
      <c r="D2" s="77"/>
      <c r="E2" s="77"/>
      <c r="F2" s="77"/>
      <c r="G2" s="77"/>
      <c r="H2" s="77"/>
      <c r="I2" s="77"/>
      <c r="J2" s="74"/>
      <c r="K2" s="139"/>
      <c r="L2" s="76"/>
    </row>
    <row r="3" spans="1:12" s="24" customFormat="1" hidden="1" x14ac:dyDescent="0.15">
      <c r="A3" s="74"/>
      <c r="B3" s="78">
        <v>43101</v>
      </c>
      <c r="C3" s="79">
        <f ca="1">WEEKNUM(TODAY())-1</f>
        <v>9</v>
      </c>
      <c r="D3" s="79">
        <f ca="1">IF($C$3=B4,1,0)</f>
        <v>0</v>
      </c>
      <c r="E3" s="79"/>
      <c r="F3" s="79">
        <f ca="1">IF($C$3=E4,1,0)</f>
        <v>0</v>
      </c>
      <c r="G3" s="79"/>
      <c r="H3" s="79">
        <f ca="1">IF($C$3=G4,1,0)</f>
        <v>0</v>
      </c>
      <c r="I3" s="79"/>
      <c r="J3" s="74"/>
      <c r="K3" s="139"/>
      <c r="L3" s="76"/>
    </row>
    <row r="4" spans="1:12" s="31" customFormat="1" x14ac:dyDescent="0.2">
      <c r="A4" s="80"/>
      <c r="B4" s="81"/>
      <c r="C4" s="149" t="s">
        <v>155</v>
      </c>
      <c r="D4" s="149"/>
      <c r="E4" s="149"/>
      <c r="F4" s="149"/>
      <c r="G4" s="149"/>
      <c r="H4" s="149"/>
      <c r="I4" s="149"/>
      <c r="J4" s="80"/>
      <c r="K4" s="140"/>
      <c r="L4" s="82"/>
    </row>
    <row r="5" spans="1:12" s="24" customFormat="1" ht="15" thickBot="1" x14ac:dyDescent="0.25">
      <c r="A5" s="74"/>
      <c r="B5" s="83"/>
      <c r="C5" s="84">
        <f>B3</f>
        <v>43101</v>
      </c>
      <c r="D5" s="84">
        <f t="shared" ref="D5:I5" si="1">C5+1</f>
        <v>43102</v>
      </c>
      <c r="E5" s="84">
        <f t="shared" si="1"/>
        <v>43103</v>
      </c>
      <c r="F5" s="84">
        <f t="shared" si="1"/>
        <v>43104</v>
      </c>
      <c r="G5" s="84">
        <f t="shared" si="1"/>
        <v>43105</v>
      </c>
      <c r="H5" s="84">
        <f t="shared" si="1"/>
        <v>43106</v>
      </c>
      <c r="I5" s="84">
        <f t="shared" si="1"/>
        <v>43107</v>
      </c>
      <c r="J5" s="85" t="s">
        <v>42</v>
      </c>
      <c r="K5" s="139" t="s">
        <v>159</v>
      </c>
      <c r="L5" s="76"/>
    </row>
    <row r="6" spans="1:12" s="24" customFormat="1" ht="13" customHeight="1" thickTop="1" x14ac:dyDescent="0.2">
      <c r="A6" s="74">
        <f>7-(COUNTIF(C6:I6,"")+COUNTIF(C6:I6,$B$144))</f>
        <v>5</v>
      </c>
      <c r="B6" s="150" t="s">
        <v>0</v>
      </c>
      <c r="C6" s="86" t="s">
        <v>41</v>
      </c>
      <c r="D6" s="86" t="s">
        <v>87</v>
      </c>
      <c r="E6" s="86" t="s">
        <v>87</v>
      </c>
      <c r="F6" s="86" t="s">
        <v>87</v>
      </c>
      <c r="G6" s="86" t="s">
        <v>87</v>
      </c>
      <c r="H6" s="71" t="s">
        <v>95</v>
      </c>
      <c r="I6" s="71" t="s">
        <v>95</v>
      </c>
      <c r="J6" s="152"/>
      <c r="K6" s="139">
        <v>5</v>
      </c>
      <c r="L6" s="76"/>
    </row>
    <row r="7" spans="1:12" s="24" customFormat="1" ht="13" customHeight="1" thickBot="1" x14ac:dyDescent="0.25">
      <c r="A7" s="74"/>
      <c r="B7" s="151"/>
      <c r="C7" s="87">
        <f t="shared" ref="C7:I7" si="2">IF(ISBLANK(C6),"",VLOOKUP(C6,$B$110:$L$146,11,0))</f>
        <v>0</v>
      </c>
      <c r="D7" s="87" t="str">
        <f t="shared" si="2"/>
        <v>08H00-16H30</v>
      </c>
      <c r="E7" s="87" t="str">
        <f t="shared" si="2"/>
        <v>08H00-16H30</v>
      </c>
      <c r="F7" s="87" t="str">
        <f t="shared" si="2"/>
        <v>08H00-16H30</v>
      </c>
      <c r="G7" s="87" t="str">
        <f t="shared" si="2"/>
        <v>08H00-16H30</v>
      </c>
      <c r="H7" s="88">
        <f t="shared" si="2"/>
        <v>0</v>
      </c>
      <c r="I7" s="88">
        <f t="shared" si="2"/>
        <v>0</v>
      </c>
      <c r="J7" s="153"/>
      <c r="K7" s="139"/>
      <c r="L7" s="89"/>
    </row>
    <row r="8" spans="1:12" ht="13" customHeight="1" thickTop="1" thickBot="1" x14ac:dyDescent="0.25">
      <c r="A8" s="74">
        <f>7-(COUNTIF(C8:I8,"")+COUNTIF(C8:I8,$B$144))</f>
        <v>5</v>
      </c>
      <c r="B8" s="154" t="s">
        <v>1</v>
      </c>
      <c r="C8" s="86" t="s">
        <v>41</v>
      </c>
      <c r="D8" s="86" t="s">
        <v>87</v>
      </c>
      <c r="E8" s="86" t="s">
        <v>87</v>
      </c>
      <c r="F8" s="86" t="s">
        <v>87</v>
      </c>
      <c r="G8" s="86" t="s">
        <v>87</v>
      </c>
      <c r="H8" s="71" t="s">
        <v>95</v>
      </c>
      <c r="I8" s="71" t="s">
        <v>95</v>
      </c>
      <c r="J8" s="156"/>
      <c r="K8" s="139">
        <v>5</v>
      </c>
      <c r="L8" s="91"/>
    </row>
    <row r="9" spans="1:12" ht="13" customHeight="1" thickTop="1" thickBot="1" x14ac:dyDescent="0.25">
      <c r="A9" s="90"/>
      <c r="B9" s="155"/>
      <c r="C9" s="92">
        <f t="shared" ref="C9:I9" si="3">IF(ISBLANK(C8),"",VLOOKUP(C8,$B$110:$L$146,11,0))</f>
        <v>0</v>
      </c>
      <c r="D9" s="92" t="str">
        <f t="shared" si="3"/>
        <v>08H00-16H30</v>
      </c>
      <c r="E9" s="92" t="str">
        <f t="shared" si="3"/>
        <v>08H00-16H30</v>
      </c>
      <c r="F9" s="92" t="str">
        <f t="shared" si="3"/>
        <v>08H00-16H30</v>
      </c>
      <c r="G9" s="92" t="str">
        <f t="shared" si="3"/>
        <v>08H00-16H30</v>
      </c>
      <c r="H9" s="92">
        <f t="shared" si="3"/>
        <v>0</v>
      </c>
      <c r="I9" s="92">
        <f t="shared" si="3"/>
        <v>0</v>
      </c>
      <c r="J9" s="157"/>
      <c r="K9" s="139"/>
      <c r="L9" s="91"/>
    </row>
    <row r="10" spans="1:12" ht="13" customHeight="1" thickTop="1" x14ac:dyDescent="0.2">
      <c r="A10" s="74">
        <f>7-(COUNTIF(C10:I10,"")+COUNTIF(C10:I10,$B$144))</f>
        <v>5</v>
      </c>
      <c r="B10" s="158" t="s">
        <v>2</v>
      </c>
      <c r="C10" s="71" t="s">
        <v>41</v>
      </c>
      <c r="D10" s="71" t="s">
        <v>40</v>
      </c>
      <c r="E10" s="71" t="s">
        <v>40</v>
      </c>
      <c r="F10" s="71" t="s">
        <v>40</v>
      </c>
      <c r="G10" s="71" t="s">
        <v>40</v>
      </c>
      <c r="H10" s="86" t="s">
        <v>95</v>
      </c>
      <c r="I10" s="86" t="s">
        <v>95</v>
      </c>
      <c r="J10" s="160"/>
      <c r="K10" s="139">
        <v>5</v>
      </c>
      <c r="L10" s="91"/>
    </row>
    <row r="11" spans="1:12" ht="13" customHeight="1" thickBot="1" x14ac:dyDescent="0.25">
      <c r="A11" s="90"/>
      <c r="B11" s="159"/>
      <c r="C11" s="87">
        <f t="shared" ref="C11:I11" si="4">IF(ISBLANK(C10),"",VLOOKUP(C10,$B$110:$L$146,11,0))</f>
        <v>0</v>
      </c>
      <c r="D11" s="87">
        <f t="shared" si="4"/>
        <v>0</v>
      </c>
      <c r="E11" s="87">
        <f t="shared" si="4"/>
        <v>0</v>
      </c>
      <c r="F11" s="87">
        <f t="shared" si="4"/>
        <v>0</v>
      </c>
      <c r="G11" s="87">
        <f t="shared" si="4"/>
        <v>0</v>
      </c>
      <c r="H11" s="87">
        <f t="shared" si="4"/>
        <v>0</v>
      </c>
      <c r="I11" s="87">
        <f t="shared" si="4"/>
        <v>0</v>
      </c>
      <c r="J11" s="161" t="s">
        <v>44</v>
      </c>
      <c r="K11" s="139"/>
      <c r="L11" s="91"/>
    </row>
    <row r="12" spans="1:12" ht="13" customHeight="1" thickTop="1" x14ac:dyDescent="0.2">
      <c r="A12" s="74">
        <f>7-(COUNTIF(C12:I12,"")+COUNTIF(C12:I12,$B$144))</f>
        <v>5</v>
      </c>
      <c r="B12" s="158" t="s">
        <v>4</v>
      </c>
      <c r="C12" s="86" t="s">
        <v>41</v>
      </c>
      <c r="D12" s="86" t="s">
        <v>87</v>
      </c>
      <c r="E12" s="86" t="s">
        <v>87</v>
      </c>
      <c r="F12" s="86" t="s">
        <v>87</v>
      </c>
      <c r="G12" s="86" t="s">
        <v>87</v>
      </c>
      <c r="H12" s="71" t="s">
        <v>95</v>
      </c>
      <c r="I12" s="71" t="s">
        <v>95</v>
      </c>
      <c r="J12" s="160"/>
      <c r="K12" s="139">
        <v>5</v>
      </c>
      <c r="L12" s="91"/>
    </row>
    <row r="13" spans="1:12" s="39" customFormat="1" ht="13" customHeight="1" thickBot="1" x14ac:dyDescent="0.25">
      <c r="A13" s="90"/>
      <c r="B13" s="159"/>
      <c r="C13" s="87">
        <f t="shared" ref="C13:I13" si="5">IF(ISBLANK(C12),"",VLOOKUP(C12,$B$110:$L$146,11,0))</f>
        <v>0</v>
      </c>
      <c r="D13" s="87" t="str">
        <f t="shared" si="5"/>
        <v>08H00-16H30</v>
      </c>
      <c r="E13" s="87" t="str">
        <f t="shared" si="5"/>
        <v>08H00-16H30</v>
      </c>
      <c r="F13" s="87" t="str">
        <f t="shared" si="5"/>
        <v>08H00-16H30</v>
      </c>
      <c r="G13" s="87" t="str">
        <f t="shared" si="5"/>
        <v>08H00-16H30</v>
      </c>
      <c r="H13" s="87">
        <f t="shared" si="5"/>
        <v>0</v>
      </c>
      <c r="I13" s="87">
        <f t="shared" si="5"/>
        <v>0</v>
      </c>
      <c r="J13" s="161" t="s">
        <v>45</v>
      </c>
      <c r="K13" s="139"/>
      <c r="L13" s="91"/>
    </row>
    <row r="14" spans="1:12" s="39" customFormat="1" ht="13" customHeight="1" thickTop="1" x14ac:dyDescent="0.2">
      <c r="A14" s="74">
        <f>7-(COUNTIF(C14:I14,"")+COUNTIF(C14:I14,$B$144))</f>
        <v>5</v>
      </c>
      <c r="B14" s="158" t="s">
        <v>5</v>
      </c>
      <c r="C14" s="86" t="s">
        <v>41</v>
      </c>
      <c r="D14" s="86" t="s">
        <v>87</v>
      </c>
      <c r="E14" s="86" t="s">
        <v>87</v>
      </c>
      <c r="F14" s="86" t="s">
        <v>87</v>
      </c>
      <c r="G14" s="86" t="s">
        <v>87</v>
      </c>
      <c r="H14" s="71" t="s">
        <v>95</v>
      </c>
      <c r="I14" s="71" t="s">
        <v>95</v>
      </c>
      <c r="J14" s="160" t="s">
        <v>78</v>
      </c>
      <c r="K14" s="139">
        <v>5</v>
      </c>
      <c r="L14" s="91"/>
    </row>
    <row r="15" spans="1:12" s="39" customFormat="1" ht="13" customHeight="1" thickBot="1" x14ac:dyDescent="0.25">
      <c r="A15" s="90"/>
      <c r="B15" s="159"/>
      <c r="C15" s="87">
        <f t="shared" ref="C15:I15" si="6">IF(ISBLANK(C14),"",VLOOKUP(C14,$B$110:$L$146,11,0))</f>
        <v>0</v>
      </c>
      <c r="D15" s="87" t="str">
        <f t="shared" si="6"/>
        <v>08H00-16H30</v>
      </c>
      <c r="E15" s="87" t="str">
        <f t="shared" si="6"/>
        <v>08H00-16H30</v>
      </c>
      <c r="F15" s="87" t="str">
        <f t="shared" si="6"/>
        <v>08H00-16H30</v>
      </c>
      <c r="G15" s="87" t="str">
        <f t="shared" si="6"/>
        <v>08H00-16H30</v>
      </c>
      <c r="H15" s="87">
        <f t="shared" si="6"/>
        <v>0</v>
      </c>
      <c r="I15" s="87">
        <f t="shared" si="6"/>
        <v>0</v>
      </c>
      <c r="J15" s="161" t="s">
        <v>45</v>
      </c>
      <c r="K15" s="139"/>
      <c r="L15" s="91"/>
    </row>
    <row r="16" spans="1:12" s="39" customFormat="1" ht="13" customHeight="1" thickTop="1" x14ac:dyDescent="0.2">
      <c r="A16" s="74">
        <f>7-(COUNTIF(C16:I16,"")+COUNTIF(C16:I16,$B$144))</f>
        <v>5</v>
      </c>
      <c r="B16" s="158" t="s">
        <v>6</v>
      </c>
      <c r="C16" s="71" t="s">
        <v>41</v>
      </c>
      <c r="D16" s="71" t="s">
        <v>40</v>
      </c>
      <c r="E16" s="86" t="s">
        <v>40</v>
      </c>
      <c r="F16" s="86" t="s">
        <v>87</v>
      </c>
      <c r="G16" s="86" t="s">
        <v>87</v>
      </c>
      <c r="H16" s="71" t="s">
        <v>95</v>
      </c>
      <c r="I16" s="71" t="s">
        <v>95</v>
      </c>
      <c r="J16" s="160"/>
      <c r="K16" s="139">
        <v>5</v>
      </c>
      <c r="L16" s="91"/>
    </row>
    <row r="17" spans="1:12" s="39" customFormat="1" ht="13" customHeight="1" thickBot="1" x14ac:dyDescent="0.25">
      <c r="A17" s="90"/>
      <c r="B17" s="159"/>
      <c r="C17" s="87">
        <f t="shared" ref="C17:I17" si="7">IF(ISBLANK(C16),"",VLOOKUP(C16,$B$110:$L$146,11,0))</f>
        <v>0</v>
      </c>
      <c r="D17" s="87">
        <f t="shared" si="7"/>
        <v>0</v>
      </c>
      <c r="E17" s="87">
        <f t="shared" si="7"/>
        <v>0</v>
      </c>
      <c r="F17" s="87" t="str">
        <f t="shared" si="7"/>
        <v>08H00-16H30</v>
      </c>
      <c r="G17" s="87" t="str">
        <f t="shared" si="7"/>
        <v>08H00-16H30</v>
      </c>
      <c r="H17" s="87">
        <f t="shared" si="7"/>
        <v>0</v>
      </c>
      <c r="I17" s="87">
        <f t="shared" si="7"/>
        <v>0</v>
      </c>
      <c r="J17" s="161"/>
      <c r="K17" s="139"/>
      <c r="L17" s="91"/>
    </row>
    <row r="18" spans="1:12" s="39" customFormat="1" ht="13" customHeight="1" thickTop="1" x14ac:dyDescent="0.2">
      <c r="A18" s="74">
        <f>7-(COUNTIF(C18:I18,"")+COUNTIF(C18:I18,$B$144))</f>
        <v>5</v>
      </c>
      <c r="B18" s="151" t="s">
        <v>7</v>
      </c>
      <c r="C18" s="86" t="s">
        <v>41</v>
      </c>
      <c r="D18" s="88" t="s">
        <v>89</v>
      </c>
      <c r="E18" s="88" t="s">
        <v>99</v>
      </c>
      <c r="F18" s="88" t="s">
        <v>89</v>
      </c>
      <c r="G18" s="88" t="s">
        <v>89</v>
      </c>
      <c r="H18" s="71" t="s">
        <v>95</v>
      </c>
      <c r="I18" s="71" t="s">
        <v>95</v>
      </c>
      <c r="J18" s="153"/>
      <c r="K18" s="139">
        <v>2.5</v>
      </c>
      <c r="L18" s="91"/>
    </row>
    <row r="19" spans="1:12" s="39" customFormat="1" ht="13" customHeight="1" thickBot="1" x14ac:dyDescent="0.25">
      <c r="A19" s="90"/>
      <c r="B19" s="151"/>
      <c r="C19" s="88">
        <f t="shared" ref="C19:I19" si="8">IF(ISBLANK(C18),"",VLOOKUP(C18,$B$110:$L$146,11,0))</f>
        <v>0</v>
      </c>
      <c r="D19" s="88" t="str">
        <f t="shared" si="8"/>
        <v>18H00-22H00</v>
      </c>
      <c r="E19" s="88">
        <f t="shared" si="8"/>
        <v>0</v>
      </c>
      <c r="F19" s="88" t="str">
        <f t="shared" si="8"/>
        <v>18H00-22H00</v>
      </c>
      <c r="G19" s="88" t="str">
        <f t="shared" si="8"/>
        <v>18H00-22H00</v>
      </c>
      <c r="H19" s="88">
        <f t="shared" si="8"/>
        <v>0</v>
      </c>
      <c r="I19" s="88">
        <f t="shared" si="8"/>
        <v>0</v>
      </c>
      <c r="J19" s="153"/>
      <c r="K19" s="139"/>
      <c r="L19" s="91"/>
    </row>
    <row r="20" spans="1:12" s="39" customFormat="1" ht="13" customHeight="1" thickTop="1" x14ac:dyDescent="0.2">
      <c r="A20" s="74">
        <f>7-(COUNTIF(C20:I20,"")+COUNTIF(C20:I20,$B$144))</f>
        <v>5</v>
      </c>
      <c r="B20" s="158" t="s">
        <v>111</v>
      </c>
      <c r="C20" s="71" t="s">
        <v>41</v>
      </c>
      <c r="D20" s="71" t="s">
        <v>99</v>
      </c>
      <c r="E20" s="71" t="s">
        <v>139</v>
      </c>
      <c r="F20" s="71"/>
      <c r="G20" s="71" t="s">
        <v>152</v>
      </c>
      <c r="H20" s="71"/>
      <c r="I20" s="71" t="s">
        <v>79</v>
      </c>
      <c r="J20" s="160" t="s">
        <v>64</v>
      </c>
      <c r="K20" s="139">
        <v>4</v>
      </c>
      <c r="L20" s="91"/>
    </row>
    <row r="21" spans="1:12" s="39" customFormat="1" ht="13" customHeight="1" thickBot="1" x14ac:dyDescent="0.25">
      <c r="A21" s="90"/>
      <c r="B21" s="159"/>
      <c r="C21" s="87">
        <f t="shared" ref="C21:I21" si="9">IF(ISBLANK(C20),"",VLOOKUP(C20,$B$110:$L$146,11,0))</f>
        <v>0</v>
      </c>
      <c r="D21" s="87">
        <f t="shared" si="9"/>
        <v>0</v>
      </c>
      <c r="E21" s="87" t="str">
        <f t="shared" si="9"/>
        <v>14H00-22H30</v>
      </c>
      <c r="F21" s="87" t="str">
        <f t="shared" si="9"/>
        <v/>
      </c>
      <c r="G21" s="87" t="str">
        <f t="shared" si="9"/>
        <v>08H30-17H00</v>
      </c>
      <c r="H21" s="87" t="str">
        <f t="shared" si="9"/>
        <v/>
      </c>
      <c r="I21" s="87" t="str">
        <f t="shared" si="9"/>
        <v>09H00-17H30</v>
      </c>
      <c r="J21" s="161"/>
      <c r="K21" s="139"/>
      <c r="L21" s="91"/>
    </row>
    <row r="22" spans="1:12" ht="13" customHeight="1" thickTop="1" x14ac:dyDescent="0.2">
      <c r="A22" s="74">
        <f>7-(COUNTIF(C22:I22,"")+COUNTIF(C22:I22,$B$144))</f>
        <v>5</v>
      </c>
      <c r="B22" s="164" t="s">
        <v>3</v>
      </c>
      <c r="C22" s="71" t="s">
        <v>149</v>
      </c>
      <c r="D22" s="71" t="s">
        <v>83</v>
      </c>
      <c r="E22" s="71" t="s">
        <v>110</v>
      </c>
      <c r="F22" s="71"/>
      <c r="G22" s="71" t="s">
        <v>110</v>
      </c>
      <c r="H22" s="71"/>
      <c r="I22" s="71" t="s">
        <v>138</v>
      </c>
      <c r="J22" s="160" t="s">
        <v>44</v>
      </c>
      <c r="K22" s="139">
        <v>5</v>
      </c>
      <c r="L22" s="91"/>
    </row>
    <row r="23" spans="1:12" ht="13" customHeight="1" thickBot="1" x14ac:dyDescent="0.25">
      <c r="A23" s="90"/>
      <c r="B23" s="165"/>
      <c r="C23" s="87" t="str">
        <f t="shared" ref="C23:I23" si="10">IF(ISBLANK(C22),"",VLOOKUP(C22,$B$110:$L$146,11,0))</f>
        <v>09H00-17H30</v>
      </c>
      <c r="D23" s="87" t="str">
        <f t="shared" si="10"/>
        <v>09H00-17H30</v>
      </c>
      <c r="E23" s="87" t="str">
        <f t="shared" si="10"/>
        <v>21H45-06H15</v>
      </c>
      <c r="F23" s="87" t="str">
        <f t="shared" si="10"/>
        <v/>
      </c>
      <c r="G23" s="87" t="str">
        <f t="shared" si="10"/>
        <v>21H45-06H15</v>
      </c>
      <c r="H23" s="87" t="str">
        <f t="shared" si="10"/>
        <v/>
      </c>
      <c r="I23" s="87" t="str">
        <f t="shared" si="10"/>
        <v>22H00-06H30</v>
      </c>
      <c r="J23" s="161"/>
      <c r="K23" s="139"/>
      <c r="L23" s="91"/>
    </row>
    <row r="24" spans="1:12" s="39" customFormat="1" ht="13" customHeight="1" thickTop="1" x14ac:dyDescent="0.2">
      <c r="A24" s="74">
        <f>7-(COUNTIF(C24:I24,"")+COUNTIF(C24:I24,$B$144))</f>
        <v>5</v>
      </c>
      <c r="B24" s="166" t="s">
        <v>8</v>
      </c>
      <c r="C24" s="71" t="s">
        <v>41</v>
      </c>
      <c r="D24" s="71" t="s">
        <v>137</v>
      </c>
      <c r="E24" s="71"/>
      <c r="F24" s="71" t="s">
        <v>81</v>
      </c>
      <c r="G24" s="71"/>
      <c r="H24" s="71" t="s">
        <v>122</v>
      </c>
      <c r="I24" s="71" t="s">
        <v>82</v>
      </c>
      <c r="J24" s="152" t="s">
        <v>46</v>
      </c>
      <c r="K24" s="139">
        <v>4</v>
      </c>
      <c r="L24" s="91"/>
    </row>
    <row r="25" spans="1:12" s="39" customFormat="1" ht="13" customHeight="1" thickBot="1" x14ac:dyDescent="0.25">
      <c r="A25" s="90"/>
      <c r="B25" s="163"/>
      <c r="C25" s="87">
        <f t="shared" ref="C25:I25" si="11">IF(ISBLANK(C24),"",VLOOKUP(C24,$B$110:$L$146,11,0))</f>
        <v>0</v>
      </c>
      <c r="D25" s="87" t="str">
        <f t="shared" si="11"/>
        <v>06H00-14H30</v>
      </c>
      <c r="E25" s="87" t="str">
        <f t="shared" si="11"/>
        <v/>
      </c>
      <c r="F25" s="87" t="str">
        <f t="shared" si="11"/>
        <v>14H30-23H00</v>
      </c>
      <c r="G25" s="87" t="str">
        <f t="shared" si="11"/>
        <v/>
      </c>
      <c r="H25" s="87" t="str">
        <f t="shared" si="11"/>
        <v>06H00-14H30</v>
      </c>
      <c r="I25" s="87" t="str">
        <f t="shared" si="11"/>
        <v>06H00-14H30</v>
      </c>
      <c r="J25" s="161" t="s">
        <v>46</v>
      </c>
      <c r="K25" s="139"/>
      <c r="L25" s="91"/>
    </row>
    <row r="26" spans="1:12" s="39" customFormat="1" ht="13" customHeight="1" thickTop="1" x14ac:dyDescent="0.2">
      <c r="A26" s="74">
        <f>7-(COUNTIF(C26:I26,"")+COUNTIF(C26:I26,$B$144))</f>
        <v>6</v>
      </c>
      <c r="B26" s="158" t="s">
        <v>9</v>
      </c>
      <c r="C26" s="71" t="s">
        <v>41</v>
      </c>
      <c r="D26" s="71" t="s">
        <v>139</v>
      </c>
      <c r="E26" s="71" t="s">
        <v>83</v>
      </c>
      <c r="F26" s="71" t="s">
        <v>79</v>
      </c>
      <c r="G26" s="71" t="s">
        <v>80</v>
      </c>
      <c r="H26" s="71" t="s">
        <v>84</v>
      </c>
      <c r="I26" s="71" t="s">
        <v>95</v>
      </c>
      <c r="J26" s="160" t="s">
        <v>47</v>
      </c>
      <c r="K26" s="139">
        <v>5</v>
      </c>
      <c r="L26" s="91"/>
    </row>
    <row r="27" spans="1:12" s="39" customFormat="1" ht="13" customHeight="1" thickBot="1" x14ac:dyDescent="0.25">
      <c r="A27" s="90"/>
      <c r="B27" s="159"/>
      <c r="C27" s="87">
        <f t="shared" ref="C27:I27" si="12">IF(ISBLANK(C26),"",VLOOKUP(C26,$B$110:$L$146,11,0))</f>
        <v>0</v>
      </c>
      <c r="D27" s="87" t="str">
        <f t="shared" si="12"/>
        <v>14H00-22H30</v>
      </c>
      <c r="E27" s="87" t="str">
        <f t="shared" si="12"/>
        <v>09H00-17H30</v>
      </c>
      <c r="F27" s="87" t="str">
        <f t="shared" si="12"/>
        <v>09H00-17H30</v>
      </c>
      <c r="G27" s="87" t="str">
        <f t="shared" si="12"/>
        <v>06H00-14H30</v>
      </c>
      <c r="H27" s="87" t="str">
        <f t="shared" si="12"/>
        <v>13H30-22H00</v>
      </c>
      <c r="I27" s="87">
        <f t="shared" si="12"/>
        <v>0</v>
      </c>
      <c r="J27" s="161" t="s">
        <v>47</v>
      </c>
      <c r="K27" s="139"/>
      <c r="L27" s="91"/>
    </row>
    <row r="28" spans="1:12" s="39" customFormat="1" ht="13" customHeight="1" thickTop="1" x14ac:dyDescent="0.2">
      <c r="A28" s="74">
        <f>7-(COUNTIF(C28:I28,"")+COUNTIF(C28:I28,$B$144))</f>
        <v>5</v>
      </c>
      <c r="B28" s="158" t="s">
        <v>10</v>
      </c>
      <c r="C28" s="71" t="s">
        <v>80</v>
      </c>
      <c r="D28" s="71"/>
      <c r="E28" s="71" t="s">
        <v>82</v>
      </c>
      <c r="F28" s="71" t="s">
        <v>92</v>
      </c>
      <c r="G28" s="71" t="s">
        <v>85</v>
      </c>
      <c r="H28" s="71"/>
      <c r="I28" s="71" t="s">
        <v>82</v>
      </c>
      <c r="J28" s="160" t="s">
        <v>48</v>
      </c>
      <c r="K28" s="139">
        <v>3</v>
      </c>
      <c r="L28" s="91"/>
    </row>
    <row r="29" spans="1:12" s="39" customFormat="1" ht="13" customHeight="1" thickBot="1" x14ac:dyDescent="0.25">
      <c r="A29" s="90"/>
      <c r="B29" s="159"/>
      <c r="C29" s="87" t="str">
        <f t="shared" ref="C29:I29" si="13">IF(ISBLANK(C28),"",VLOOKUP(C28,$B$110:$L$146,11,0))</f>
        <v>06H00-14H30</v>
      </c>
      <c r="D29" s="87" t="str">
        <f t="shared" si="13"/>
        <v/>
      </c>
      <c r="E29" s="87" t="str">
        <f t="shared" si="13"/>
        <v>06H00-14H30</v>
      </c>
      <c r="F29" s="87" t="str">
        <f t="shared" si="13"/>
        <v>10H00-18H30</v>
      </c>
      <c r="G29" s="87" t="str">
        <f t="shared" si="13"/>
        <v>14H30-23H00</v>
      </c>
      <c r="H29" s="87" t="str">
        <f t="shared" si="13"/>
        <v/>
      </c>
      <c r="I29" s="87" t="str">
        <f t="shared" si="13"/>
        <v>06H00-14H30</v>
      </c>
      <c r="J29" s="161" t="s">
        <v>48</v>
      </c>
      <c r="K29" s="139"/>
      <c r="L29" s="91"/>
    </row>
    <row r="30" spans="1:12" s="39" customFormat="1" ht="13" customHeight="1" thickTop="1" x14ac:dyDescent="0.2">
      <c r="A30" s="74">
        <f>7-(COUNTIF(C30:I30,"")+COUNTIF(C30:I30,$B$144))</f>
        <v>5</v>
      </c>
      <c r="B30" s="158" t="s">
        <v>11</v>
      </c>
      <c r="C30" s="71" t="s">
        <v>84</v>
      </c>
      <c r="D30" s="71"/>
      <c r="E30" s="71" t="s">
        <v>149</v>
      </c>
      <c r="F30" s="71" t="s">
        <v>122</v>
      </c>
      <c r="G30" s="71" t="s">
        <v>90</v>
      </c>
      <c r="H30" s="71"/>
      <c r="I30" s="71" t="s">
        <v>81</v>
      </c>
      <c r="J30" s="160" t="s">
        <v>49</v>
      </c>
      <c r="K30" s="139">
        <v>5</v>
      </c>
      <c r="L30" s="91"/>
    </row>
    <row r="31" spans="1:12" s="39" customFormat="1" ht="13" customHeight="1" thickBot="1" x14ac:dyDescent="0.25">
      <c r="A31" s="74"/>
      <c r="B31" s="159"/>
      <c r="C31" s="87" t="str">
        <f t="shared" ref="C31:I31" si="14">IF(ISBLANK(C30),"",VLOOKUP(C30,$B$110:$L$146,11,0))</f>
        <v>13H30-22H00</v>
      </c>
      <c r="D31" s="87" t="str">
        <f t="shared" si="14"/>
        <v/>
      </c>
      <c r="E31" s="87" t="str">
        <f t="shared" si="14"/>
        <v>09H00-17H30</v>
      </c>
      <c r="F31" s="87" t="str">
        <f t="shared" si="14"/>
        <v>06H00-14H30</v>
      </c>
      <c r="G31" s="87" t="str">
        <f t="shared" si="14"/>
        <v>06H00-14H30</v>
      </c>
      <c r="H31" s="87" t="str">
        <f t="shared" si="14"/>
        <v/>
      </c>
      <c r="I31" s="87" t="str">
        <f t="shared" si="14"/>
        <v>14H30-23H00</v>
      </c>
      <c r="J31" s="161" t="s">
        <v>49</v>
      </c>
      <c r="K31" s="139"/>
      <c r="L31" s="91"/>
    </row>
    <row r="32" spans="1:12" s="39" customFormat="1" ht="13" customHeight="1" thickTop="1" x14ac:dyDescent="0.2">
      <c r="A32" s="74">
        <f>7-(COUNTIF(C32:I32,"")+COUNTIF(C32:I32,$B$144))</f>
        <v>5</v>
      </c>
      <c r="B32" s="162" t="s">
        <v>12</v>
      </c>
      <c r="C32" s="71" t="s">
        <v>138</v>
      </c>
      <c r="D32" s="71"/>
      <c r="E32" s="71" t="s">
        <v>152</v>
      </c>
      <c r="F32" s="71" t="s">
        <v>154</v>
      </c>
      <c r="G32" s="71" t="s">
        <v>138</v>
      </c>
      <c r="H32" s="71" t="s">
        <v>110</v>
      </c>
      <c r="I32" s="71"/>
      <c r="J32" s="160" t="s">
        <v>50</v>
      </c>
      <c r="K32" s="139">
        <v>5</v>
      </c>
      <c r="L32" s="91"/>
    </row>
    <row r="33" spans="1:12" s="39" customFormat="1" ht="13" customHeight="1" thickBot="1" x14ac:dyDescent="0.25">
      <c r="A33" s="90"/>
      <c r="B33" s="163"/>
      <c r="C33" s="87" t="str">
        <f t="shared" ref="C33:I33" si="15">IF(ISBLANK(C32),"",VLOOKUP(C32,$B$110:$L$146,11,0))</f>
        <v>22H00-06H30</v>
      </c>
      <c r="D33" s="87" t="str">
        <f t="shared" si="15"/>
        <v/>
      </c>
      <c r="E33" s="87" t="str">
        <f t="shared" si="15"/>
        <v>08H30-17H00</v>
      </c>
      <c r="F33" s="87" t="str">
        <f t="shared" si="15"/>
        <v>13H00-21H30</v>
      </c>
      <c r="G33" s="87" t="str">
        <f t="shared" si="15"/>
        <v>22H00-06H30</v>
      </c>
      <c r="H33" s="87" t="str">
        <f t="shared" si="15"/>
        <v>21H45-06H15</v>
      </c>
      <c r="I33" s="87" t="str">
        <f t="shared" si="15"/>
        <v/>
      </c>
      <c r="J33" s="161" t="s">
        <v>50</v>
      </c>
      <c r="K33" s="139"/>
      <c r="L33" s="91"/>
    </row>
    <row r="34" spans="1:12" s="39" customFormat="1" ht="13" customHeight="1" thickTop="1" x14ac:dyDescent="0.2">
      <c r="A34" s="74">
        <f>7-(COUNTIF(C34:I34,"")+COUNTIF(C34:I34,$B$144))</f>
        <v>5</v>
      </c>
      <c r="B34" s="169" t="s">
        <v>13</v>
      </c>
      <c r="C34" s="71" t="s">
        <v>99</v>
      </c>
      <c r="D34" s="71" t="s">
        <v>99</v>
      </c>
      <c r="E34" s="71" t="s">
        <v>99</v>
      </c>
      <c r="F34" s="71" t="s">
        <v>99</v>
      </c>
      <c r="G34" s="71" t="s">
        <v>99</v>
      </c>
      <c r="H34" s="71" t="s">
        <v>95</v>
      </c>
      <c r="I34" s="71" t="s">
        <v>95</v>
      </c>
      <c r="J34" s="160" t="s">
        <v>51</v>
      </c>
      <c r="K34" s="139">
        <v>3</v>
      </c>
      <c r="L34" s="91"/>
    </row>
    <row r="35" spans="1:12" s="39" customFormat="1" ht="13" customHeight="1" thickBot="1" x14ac:dyDescent="0.25">
      <c r="A35" s="90"/>
      <c r="B35" s="170"/>
      <c r="C35" s="87">
        <f t="shared" ref="C35:I35" si="16">IF(ISBLANK(C34),"",VLOOKUP(C34,$B$110:$L$146,11,0))</f>
        <v>0</v>
      </c>
      <c r="D35" s="87">
        <f t="shared" si="16"/>
        <v>0</v>
      </c>
      <c r="E35" s="87">
        <f t="shared" si="16"/>
        <v>0</v>
      </c>
      <c r="F35" s="87">
        <f t="shared" si="16"/>
        <v>0</v>
      </c>
      <c r="G35" s="87">
        <f t="shared" si="16"/>
        <v>0</v>
      </c>
      <c r="H35" s="87">
        <f t="shared" si="16"/>
        <v>0</v>
      </c>
      <c r="I35" s="87">
        <f t="shared" si="16"/>
        <v>0</v>
      </c>
      <c r="J35" s="161" t="s">
        <v>51</v>
      </c>
      <c r="K35" s="139"/>
      <c r="L35" s="91"/>
    </row>
    <row r="36" spans="1:12" s="39" customFormat="1" ht="13" customHeight="1" thickTop="1" x14ac:dyDescent="0.2">
      <c r="A36" s="74">
        <f>7-(COUNTIF(C36:I36,"")+COUNTIF(C36:I36,$B$144))</f>
        <v>5</v>
      </c>
      <c r="B36" s="171" t="s">
        <v>43</v>
      </c>
      <c r="C36" s="71" t="s">
        <v>84</v>
      </c>
      <c r="D36" s="71" t="s">
        <v>85</v>
      </c>
      <c r="E36" s="71"/>
      <c r="F36" s="71" t="s">
        <v>90</v>
      </c>
      <c r="G36" s="71"/>
      <c r="H36" s="71" t="s">
        <v>91</v>
      </c>
      <c r="I36" s="71" t="s">
        <v>122</v>
      </c>
      <c r="J36" s="160" t="s">
        <v>114</v>
      </c>
      <c r="K36" s="139">
        <v>5</v>
      </c>
      <c r="L36" s="91"/>
    </row>
    <row r="37" spans="1:12" s="39" customFormat="1" ht="13" customHeight="1" thickBot="1" x14ac:dyDescent="0.25">
      <c r="A37" s="90"/>
      <c r="B37" s="172"/>
      <c r="C37" s="87" t="str">
        <f t="shared" ref="C37:I37" si="17">IF(ISBLANK(C36),"",VLOOKUP(C36,$B$110:$L$146,11,0))</f>
        <v>13H30-22H00</v>
      </c>
      <c r="D37" s="87" t="str">
        <f t="shared" si="17"/>
        <v>14H30-23H00</v>
      </c>
      <c r="E37" s="87" t="str">
        <f t="shared" si="17"/>
        <v/>
      </c>
      <c r="F37" s="87" t="str">
        <f t="shared" si="17"/>
        <v>06H00-14H30</v>
      </c>
      <c r="G37" s="87" t="str">
        <f t="shared" si="17"/>
        <v/>
      </c>
      <c r="H37" s="87" t="str">
        <f t="shared" si="17"/>
        <v>06H00-14H30</v>
      </c>
      <c r="I37" s="87" t="str">
        <f t="shared" si="17"/>
        <v>06H00-14H30</v>
      </c>
      <c r="J37" s="161"/>
      <c r="K37" s="139"/>
      <c r="L37" s="91"/>
    </row>
    <row r="38" spans="1:12" s="39" customFormat="1" ht="13" customHeight="1" thickTop="1" x14ac:dyDescent="0.2">
      <c r="A38" s="74">
        <f>7-(COUNTIF(C38:I38,"")+COUNTIF(C38:I38,$B$144))</f>
        <v>4</v>
      </c>
      <c r="B38" s="158" t="s">
        <v>14</v>
      </c>
      <c r="C38" s="71" t="s">
        <v>91</v>
      </c>
      <c r="D38" s="86"/>
      <c r="E38" s="71" t="s">
        <v>85</v>
      </c>
      <c r="F38" s="71"/>
      <c r="G38" s="71"/>
      <c r="H38" s="71" t="s">
        <v>90</v>
      </c>
      <c r="I38" s="71" t="s">
        <v>31</v>
      </c>
      <c r="J38" s="160" t="s">
        <v>52</v>
      </c>
      <c r="K38" s="139">
        <v>4</v>
      </c>
      <c r="L38" s="91"/>
    </row>
    <row r="39" spans="1:12" s="39" customFormat="1" ht="13" customHeight="1" thickBot="1" x14ac:dyDescent="0.25">
      <c r="A39" s="90"/>
      <c r="B39" s="159"/>
      <c r="C39" s="87" t="str">
        <f t="shared" ref="C39:I39" si="18">IF(ISBLANK(C38),"",VLOOKUP(C38,$B$110:$L$146,11,0))</f>
        <v>06H00-14H30</v>
      </c>
      <c r="D39" s="87" t="str">
        <f t="shared" si="18"/>
        <v/>
      </c>
      <c r="E39" s="87" t="str">
        <f t="shared" si="18"/>
        <v>14H30-23H00</v>
      </c>
      <c r="F39" s="87" t="str">
        <f t="shared" si="18"/>
        <v/>
      </c>
      <c r="G39" s="87" t="str">
        <f t="shared" si="18"/>
        <v/>
      </c>
      <c r="H39" s="87" t="str">
        <f t="shared" si="18"/>
        <v>06H00-14H30</v>
      </c>
      <c r="I39" s="87" t="str">
        <f t="shared" si="18"/>
        <v>06H00-14H30</v>
      </c>
      <c r="J39" s="161" t="s">
        <v>52</v>
      </c>
      <c r="K39" s="139"/>
      <c r="L39" s="91"/>
    </row>
    <row r="40" spans="1:12" s="39" customFormat="1" ht="13" customHeight="1" thickTop="1" x14ac:dyDescent="0.2">
      <c r="A40" s="74">
        <f>7-(COUNTIF(C40:I40,"")+COUNTIF(C40:I40,$B$144))</f>
        <v>5</v>
      </c>
      <c r="B40" s="162" t="s">
        <v>15</v>
      </c>
      <c r="C40" s="71" t="s">
        <v>41</v>
      </c>
      <c r="D40" s="71" t="s">
        <v>40</v>
      </c>
      <c r="E40" s="71" t="s">
        <v>40</v>
      </c>
      <c r="F40" s="71" t="s">
        <v>40</v>
      </c>
      <c r="G40" s="71" t="s">
        <v>40</v>
      </c>
      <c r="H40" s="71" t="s">
        <v>95</v>
      </c>
      <c r="I40" s="71" t="s">
        <v>95</v>
      </c>
      <c r="J40" s="160" t="s">
        <v>53</v>
      </c>
      <c r="K40" s="139">
        <v>5</v>
      </c>
      <c r="L40" s="91"/>
    </row>
    <row r="41" spans="1:12" s="39" customFormat="1" ht="13" customHeight="1" thickBot="1" x14ac:dyDescent="0.25">
      <c r="A41" s="90"/>
      <c r="B41" s="163"/>
      <c r="C41" s="87">
        <f t="shared" ref="C41:I41" si="19">IF(ISBLANK(C40),"",VLOOKUP(C40,$B$110:$L$146,11,0))</f>
        <v>0</v>
      </c>
      <c r="D41" s="87">
        <f t="shared" si="19"/>
        <v>0</v>
      </c>
      <c r="E41" s="87">
        <f t="shared" si="19"/>
        <v>0</v>
      </c>
      <c r="F41" s="87">
        <f t="shared" si="19"/>
        <v>0</v>
      </c>
      <c r="G41" s="87">
        <f t="shared" si="19"/>
        <v>0</v>
      </c>
      <c r="H41" s="87">
        <f t="shared" si="19"/>
        <v>0</v>
      </c>
      <c r="I41" s="87">
        <f t="shared" si="19"/>
        <v>0</v>
      </c>
      <c r="J41" s="161" t="s">
        <v>54</v>
      </c>
      <c r="K41" s="139"/>
      <c r="L41" s="91"/>
    </row>
    <row r="42" spans="1:12" s="39" customFormat="1" ht="13" customHeight="1" thickTop="1" x14ac:dyDescent="0.2">
      <c r="A42" s="74">
        <f>7-(COUNTIF(C42:I42,"")+COUNTIF(C42:I42,$B$144))</f>
        <v>5</v>
      </c>
      <c r="B42" s="151" t="s">
        <v>119</v>
      </c>
      <c r="C42" s="88" t="s">
        <v>84</v>
      </c>
      <c r="D42" s="88"/>
      <c r="E42" s="71" t="s">
        <v>122</v>
      </c>
      <c r="F42" s="71" t="s">
        <v>91</v>
      </c>
      <c r="G42" s="71" t="s">
        <v>83</v>
      </c>
      <c r="H42" s="71" t="s">
        <v>139</v>
      </c>
      <c r="I42" s="71" t="s">
        <v>95</v>
      </c>
      <c r="J42" s="153" t="s">
        <v>73</v>
      </c>
      <c r="K42" s="139">
        <v>5</v>
      </c>
      <c r="L42" s="91"/>
    </row>
    <row r="43" spans="1:12" s="39" customFormat="1" ht="13" customHeight="1" thickBot="1" x14ac:dyDescent="0.25">
      <c r="A43" s="90"/>
      <c r="B43" s="167"/>
      <c r="C43" s="93" t="str">
        <f t="shared" ref="C43:I43" si="20">IF(ISBLANK(C42),"",VLOOKUP(C42,$B$110:$L$146,11,0))</f>
        <v>13H30-22H00</v>
      </c>
      <c r="D43" s="93" t="str">
        <f t="shared" si="20"/>
        <v/>
      </c>
      <c r="E43" s="93" t="str">
        <f t="shared" si="20"/>
        <v>06H00-14H30</v>
      </c>
      <c r="F43" s="93" t="str">
        <f t="shared" si="20"/>
        <v>06H00-14H30</v>
      </c>
      <c r="G43" s="93" t="str">
        <f t="shared" si="20"/>
        <v>09H00-17H30</v>
      </c>
      <c r="H43" s="93" t="str">
        <f t="shared" si="20"/>
        <v>14H00-22H30</v>
      </c>
      <c r="I43" s="93">
        <f t="shared" si="20"/>
        <v>0</v>
      </c>
      <c r="J43" s="168"/>
      <c r="K43" s="139"/>
      <c r="L43" s="91"/>
    </row>
    <row r="44" spans="1:12" s="39" customFormat="1" ht="13" customHeight="1" thickTop="1" x14ac:dyDescent="0.2">
      <c r="A44" s="74">
        <f>7-(COUNTIF(C44:I44,"")+COUNTIF(C44:I44,$B$144))</f>
        <v>5</v>
      </c>
      <c r="B44" s="158" t="s">
        <v>16</v>
      </c>
      <c r="C44" s="71" t="s">
        <v>82</v>
      </c>
      <c r="D44" s="71"/>
      <c r="E44" s="71" t="s">
        <v>81</v>
      </c>
      <c r="F44" s="71" t="s">
        <v>84</v>
      </c>
      <c r="G44" s="71"/>
      <c r="H44" s="71" t="s">
        <v>31</v>
      </c>
      <c r="I44" s="71" t="s">
        <v>90</v>
      </c>
      <c r="J44" s="160" t="s">
        <v>54</v>
      </c>
      <c r="K44" s="139">
        <v>5</v>
      </c>
      <c r="L44" s="91"/>
    </row>
    <row r="45" spans="1:12" s="39" customFormat="1" ht="13" customHeight="1" thickBot="1" x14ac:dyDescent="0.25">
      <c r="A45" s="90"/>
      <c r="B45" s="159"/>
      <c r="C45" s="87" t="str">
        <f t="shared" ref="C45:I45" si="21">IF(ISBLANK(C44),"",VLOOKUP(C44,$B$110:$L$146,11,0))</f>
        <v>06H00-14H30</v>
      </c>
      <c r="D45" s="87" t="str">
        <f t="shared" si="21"/>
        <v/>
      </c>
      <c r="E45" s="87" t="str">
        <f t="shared" si="21"/>
        <v>14H30-23H00</v>
      </c>
      <c r="F45" s="87" t="str">
        <f t="shared" si="21"/>
        <v>13H30-22H00</v>
      </c>
      <c r="G45" s="87" t="str">
        <f t="shared" si="21"/>
        <v/>
      </c>
      <c r="H45" s="87" t="str">
        <f t="shared" si="21"/>
        <v>06H00-14H30</v>
      </c>
      <c r="I45" s="87" t="str">
        <f t="shared" si="21"/>
        <v>06H00-14H30</v>
      </c>
      <c r="J45" s="161" t="s">
        <v>55</v>
      </c>
      <c r="K45" s="139"/>
      <c r="L45" s="91"/>
    </row>
    <row r="46" spans="1:12" s="39" customFormat="1" ht="13" customHeight="1" thickTop="1" x14ac:dyDescent="0.2">
      <c r="A46" s="74">
        <f>7-(COUNTIF(C46:I46,"")+COUNTIF(C46:I46,$B$144))</f>
        <v>5</v>
      </c>
      <c r="B46" s="158" t="s">
        <v>102</v>
      </c>
      <c r="C46" s="71" t="s">
        <v>94</v>
      </c>
      <c r="D46" s="71" t="s">
        <v>81</v>
      </c>
      <c r="E46" s="71"/>
      <c r="F46" s="71" t="s">
        <v>137</v>
      </c>
      <c r="G46" s="71"/>
      <c r="H46" s="71" t="s">
        <v>82</v>
      </c>
      <c r="I46" s="71" t="s">
        <v>154</v>
      </c>
      <c r="J46" s="160" t="s">
        <v>55</v>
      </c>
      <c r="K46" s="139">
        <v>5</v>
      </c>
      <c r="L46" s="91"/>
    </row>
    <row r="47" spans="1:12" s="39" customFormat="1" ht="13" customHeight="1" thickBot="1" x14ac:dyDescent="0.25">
      <c r="A47" s="74"/>
      <c r="B47" s="159"/>
      <c r="C47" s="87" t="str">
        <f t="shared" ref="C47:I47" si="22">IF(ISBLANK(C46),"",VLOOKUP(C46,$B$110:$L$146,11,0))</f>
        <v>08H30-17H00</v>
      </c>
      <c r="D47" s="87" t="str">
        <f t="shared" si="22"/>
        <v>14H30-23H00</v>
      </c>
      <c r="E47" s="87" t="str">
        <f t="shared" si="22"/>
        <v/>
      </c>
      <c r="F47" s="87" t="str">
        <f t="shared" si="22"/>
        <v>06H00-14H30</v>
      </c>
      <c r="G47" s="87" t="str">
        <f t="shared" si="22"/>
        <v/>
      </c>
      <c r="H47" s="87" t="str">
        <f t="shared" si="22"/>
        <v>06H00-14H30</v>
      </c>
      <c r="I47" s="87" t="str">
        <f t="shared" si="22"/>
        <v>13H00-21H30</v>
      </c>
      <c r="J47" s="161" t="s">
        <v>56</v>
      </c>
      <c r="K47" s="139"/>
      <c r="L47" s="91"/>
    </row>
    <row r="48" spans="1:12" s="39" customFormat="1" ht="13" customHeight="1" thickTop="1" x14ac:dyDescent="0.2">
      <c r="A48" s="74">
        <f>7-(COUNTIF(C48:I48,"")+COUNTIF(C48:I48,$B$144))</f>
        <v>6</v>
      </c>
      <c r="B48" s="158" t="s">
        <v>132</v>
      </c>
      <c r="C48" s="71" t="s">
        <v>41</v>
      </c>
      <c r="D48" s="71" t="s">
        <v>84</v>
      </c>
      <c r="E48" s="72" t="s">
        <v>150</v>
      </c>
      <c r="F48" s="71" t="s">
        <v>123</v>
      </c>
      <c r="G48" s="71"/>
      <c r="H48" s="71" t="s">
        <v>82</v>
      </c>
      <c r="I48" s="71" t="s">
        <v>93</v>
      </c>
      <c r="J48" s="160" t="s">
        <v>57</v>
      </c>
      <c r="K48" s="139">
        <v>4</v>
      </c>
      <c r="L48" s="91"/>
    </row>
    <row r="49" spans="1:12" ht="13" customHeight="1" thickBot="1" x14ac:dyDescent="0.25">
      <c r="A49" s="90"/>
      <c r="B49" s="159"/>
      <c r="C49" s="87">
        <f t="shared" ref="C49:I49" si="23">IF(ISBLANK(C48),"",VLOOKUP(C48,$B$110:$L$146,11,0))</f>
        <v>0</v>
      </c>
      <c r="D49" s="87" t="str">
        <f t="shared" si="23"/>
        <v>13H30-22H00</v>
      </c>
      <c r="E49" s="87" t="str">
        <f t="shared" si="23"/>
        <v>09H00-17H30</v>
      </c>
      <c r="F49" s="87" t="str">
        <f t="shared" si="23"/>
        <v>14H30-23H00</v>
      </c>
      <c r="G49" s="87" t="str">
        <f t="shared" si="23"/>
        <v/>
      </c>
      <c r="H49" s="87" t="str">
        <f t="shared" si="23"/>
        <v>06H00-14H30</v>
      </c>
      <c r="I49" s="87" t="str">
        <f t="shared" si="23"/>
        <v>06H00-14H30</v>
      </c>
      <c r="J49" s="161" t="s">
        <v>57</v>
      </c>
      <c r="K49" s="139"/>
      <c r="L49" s="91"/>
    </row>
    <row r="50" spans="1:12" s="39" customFormat="1" ht="13" customHeight="1" thickTop="1" x14ac:dyDescent="0.2">
      <c r="A50" s="74">
        <f>7-(COUNTIF(C50:I50,"")+COUNTIF(C50:I50,$B$144))</f>
        <v>5</v>
      </c>
      <c r="B50" s="162" t="s">
        <v>17</v>
      </c>
      <c r="C50" s="71" t="s">
        <v>137</v>
      </c>
      <c r="D50" s="71" t="s">
        <v>82</v>
      </c>
      <c r="E50" s="71" t="s">
        <v>84</v>
      </c>
      <c r="F50" s="71" t="s">
        <v>149</v>
      </c>
      <c r="G50" s="71" t="s">
        <v>81</v>
      </c>
      <c r="H50" s="71" t="s">
        <v>95</v>
      </c>
      <c r="I50" s="71" t="s">
        <v>95</v>
      </c>
      <c r="J50" s="160" t="s">
        <v>56</v>
      </c>
      <c r="K50" s="139">
        <v>5</v>
      </c>
      <c r="L50" s="91"/>
    </row>
    <row r="51" spans="1:12" ht="13" customHeight="1" thickBot="1" x14ac:dyDescent="0.25">
      <c r="A51" s="90"/>
      <c r="B51" s="163"/>
      <c r="C51" s="87" t="str">
        <f t="shared" ref="C51:I51" si="24">IF(ISBLANK(C50),"",VLOOKUP(C50,$B$110:$L$146,11,0))</f>
        <v>06H00-14H30</v>
      </c>
      <c r="D51" s="87" t="str">
        <f t="shared" si="24"/>
        <v>06H00-14H30</v>
      </c>
      <c r="E51" s="87" t="str">
        <f t="shared" si="24"/>
        <v>13H30-22H00</v>
      </c>
      <c r="F51" s="87" t="str">
        <f t="shared" si="24"/>
        <v>09H00-17H30</v>
      </c>
      <c r="G51" s="87" t="str">
        <f t="shared" si="24"/>
        <v>14H30-23H00</v>
      </c>
      <c r="H51" s="87">
        <f t="shared" si="24"/>
        <v>0</v>
      </c>
      <c r="I51" s="87">
        <f t="shared" si="24"/>
        <v>0</v>
      </c>
      <c r="J51" s="161" t="s">
        <v>57</v>
      </c>
      <c r="K51" s="139"/>
      <c r="L51" s="91"/>
    </row>
    <row r="52" spans="1:12" s="39" customFormat="1" ht="13" customHeight="1" thickTop="1" x14ac:dyDescent="0.2">
      <c r="A52" s="74">
        <f>7-(COUNTIF(C52:I52,"")+COUNTIF(C52:I52,$B$144))</f>
        <v>4</v>
      </c>
      <c r="B52" s="158" t="s">
        <v>127</v>
      </c>
      <c r="C52" s="71" t="s">
        <v>83</v>
      </c>
      <c r="D52" s="71" t="s">
        <v>95</v>
      </c>
      <c r="E52" s="71" t="s">
        <v>95</v>
      </c>
      <c r="F52" s="71" t="s">
        <v>31</v>
      </c>
      <c r="G52" s="72" t="s">
        <v>150</v>
      </c>
      <c r="H52" s="71"/>
      <c r="I52" s="71" t="s">
        <v>139</v>
      </c>
      <c r="J52" s="160" t="s">
        <v>130</v>
      </c>
      <c r="K52" s="139">
        <v>4</v>
      </c>
      <c r="L52" s="91"/>
    </row>
    <row r="53" spans="1:12" s="39" customFormat="1" ht="13" customHeight="1" thickBot="1" x14ac:dyDescent="0.25">
      <c r="A53" s="90"/>
      <c r="B53" s="159"/>
      <c r="C53" s="87" t="str">
        <f t="shared" ref="C53:I53" si="25">IF(ISBLANK(C52),"",VLOOKUP(C52,$B$110:$L$146,11,0))</f>
        <v>09H00-17H30</v>
      </c>
      <c r="D53" s="87">
        <f t="shared" si="25"/>
        <v>0</v>
      </c>
      <c r="E53" s="87">
        <f t="shared" si="25"/>
        <v>0</v>
      </c>
      <c r="F53" s="87" t="str">
        <f t="shared" si="25"/>
        <v>06H00-14H30</v>
      </c>
      <c r="G53" s="87" t="str">
        <f t="shared" si="25"/>
        <v>09H00-17H30</v>
      </c>
      <c r="H53" s="87" t="str">
        <f t="shared" si="25"/>
        <v/>
      </c>
      <c r="I53" s="87" t="str">
        <f t="shared" si="25"/>
        <v>14H00-22H30</v>
      </c>
      <c r="J53" s="161" t="s">
        <v>45</v>
      </c>
      <c r="K53" s="139"/>
      <c r="L53" s="91"/>
    </row>
    <row r="54" spans="1:12" s="39" customFormat="1" ht="13" customHeight="1" thickTop="1" x14ac:dyDescent="0.2">
      <c r="A54" s="74">
        <f>7-(COUNTIF(C54:I54,"")+COUNTIF(C54:I54,$B$144))</f>
        <v>4</v>
      </c>
      <c r="B54" s="162" t="s">
        <v>18</v>
      </c>
      <c r="C54" s="71" t="s">
        <v>41</v>
      </c>
      <c r="D54" s="71" t="s">
        <v>110</v>
      </c>
      <c r="E54" s="71"/>
      <c r="F54" s="71" t="s">
        <v>138</v>
      </c>
      <c r="G54" s="71" t="s">
        <v>95</v>
      </c>
      <c r="H54" s="71" t="s">
        <v>95</v>
      </c>
      <c r="I54" s="71" t="s">
        <v>100</v>
      </c>
      <c r="J54" s="160" t="s">
        <v>58</v>
      </c>
      <c r="K54" s="139">
        <v>4</v>
      </c>
      <c r="L54" s="91"/>
    </row>
    <row r="55" spans="1:12" s="39" customFormat="1" ht="13" customHeight="1" thickBot="1" x14ac:dyDescent="0.25">
      <c r="A55" s="90"/>
      <c r="B55" s="163"/>
      <c r="C55" s="87">
        <f t="shared" ref="C55:I55" si="26">IF(ISBLANK(C54),"",VLOOKUP(C54,$B$110:$L$146,11,0))</f>
        <v>0</v>
      </c>
      <c r="D55" s="87" t="str">
        <f t="shared" si="26"/>
        <v>21H45-06H15</v>
      </c>
      <c r="E55" s="87" t="str">
        <f t="shared" si="26"/>
        <v/>
      </c>
      <c r="F55" s="87" t="str">
        <f t="shared" si="26"/>
        <v>22H00-06H30</v>
      </c>
      <c r="G55" s="87">
        <f t="shared" si="26"/>
        <v>0</v>
      </c>
      <c r="H55" s="87">
        <f t="shared" si="26"/>
        <v>0</v>
      </c>
      <c r="I55" s="87" t="str">
        <f t="shared" si="26"/>
        <v>c.f. GDI</v>
      </c>
      <c r="J55" s="161" t="s">
        <v>59</v>
      </c>
      <c r="K55" s="139"/>
      <c r="L55" s="91"/>
    </row>
    <row r="56" spans="1:12" s="39" customFormat="1" ht="13" customHeight="1" thickTop="1" x14ac:dyDescent="0.2">
      <c r="A56" s="74">
        <f>7-(COUNTIF(C56:I56,"")+COUNTIF(C56:I56,$B$144))</f>
        <v>5</v>
      </c>
      <c r="B56" s="158" t="s">
        <v>19</v>
      </c>
      <c r="C56" s="71" t="s">
        <v>90</v>
      </c>
      <c r="D56" s="71"/>
      <c r="E56" s="71" t="s">
        <v>31</v>
      </c>
      <c r="F56" s="71" t="s">
        <v>84</v>
      </c>
      <c r="G56" s="71" t="s">
        <v>84</v>
      </c>
      <c r="H56" s="71"/>
      <c r="I56" s="72" t="s">
        <v>150</v>
      </c>
      <c r="J56" s="160" t="s">
        <v>59</v>
      </c>
      <c r="K56" s="139">
        <v>5</v>
      </c>
      <c r="L56" s="91"/>
    </row>
    <row r="57" spans="1:12" s="39" customFormat="1" ht="13" customHeight="1" thickBot="1" x14ac:dyDescent="0.25">
      <c r="A57" s="90"/>
      <c r="B57" s="159"/>
      <c r="C57" s="87" t="str">
        <f t="shared" ref="C57:I57" si="27">IF(ISBLANK(C56),"",VLOOKUP(C56,$B$110:$L$146,11,0))</f>
        <v>06H00-14H30</v>
      </c>
      <c r="D57" s="87" t="str">
        <f t="shared" si="27"/>
        <v/>
      </c>
      <c r="E57" s="87" t="str">
        <f t="shared" si="27"/>
        <v>06H00-14H30</v>
      </c>
      <c r="F57" s="87" t="str">
        <f t="shared" si="27"/>
        <v>13H30-22H00</v>
      </c>
      <c r="G57" s="87" t="str">
        <f t="shared" si="27"/>
        <v>13H30-22H00</v>
      </c>
      <c r="H57" s="87" t="str">
        <f t="shared" si="27"/>
        <v/>
      </c>
      <c r="I57" s="87" t="str">
        <f t="shared" si="27"/>
        <v>09H00-17H30</v>
      </c>
      <c r="J57" s="161" t="s">
        <v>60</v>
      </c>
      <c r="K57" s="139"/>
      <c r="L57" s="91"/>
    </row>
    <row r="58" spans="1:12" s="39" customFormat="1" ht="13" customHeight="1" thickTop="1" x14ac:dyDescent="0.2">
      <c r="A58" s="74">
        <f>7-(COUNTIF(C58:I58,"")+COUNTIF(C58:I58,$B$144))</f>
        <v>5</v>
      </c>
      <c r="B58" s="158" t="s">
        <v>20</v>
      </c>
      <c r="C58" s="71" t="s">
        <v>92</v>
      </c>
      <c r="D58" s="72" t="s">
        <v>150</v>
      </c>
      <c r="E58" s="71" t="s">
        <v>90</v>
      </c>
      <c r="F58" s="71"/>
      <c r="G58" s="71" t="s">
        <v>123</v>
      </c>
      <c r="H58" s="71"/>
      <c r="I58" s="71" t="s">
        <v>84</v>
      </c>
      <c r="J58" s="160" t="s">
        <v>60</v>
      </c>
      <c r="K58" s="139">
        <v>4</v>
      </c>
      <c r="L58" s="91"/>
    </row>
    <row r="59" spans="1:12" s="39" customFormat="1" ht="13" customHeight="1" thickBot="1" x14ac:dyDescent="0.25">
      <c r="A59" s="90"/>
      <c r="B59" s="151"/>
      <c r="C59" s="88" t="str">
        <f t="shared" ref="C59:I59" si="28">IF(ISBLANK(C58),"",VLOOKUP(C58,$B$110:$L$146,11,0))</f>
        <v>10H00-18H30</v>
      </c>
      <c r="D59" s="88" t="str">
        <f t="shared" si="28"/>
        <v>09H00-17H30</v>
      </c>
      <c r="E59" s="88" t="str">
        <f t="shared" si="28"/>
        <v>06H00-14H30</v>
      </c>
      <c r="F59" s="88" t="str">
        <f t="shared" si="28"/>
        <v/>
      </c>
      <c r="G59" s="88" t="str">
        <f t="shared" si="28"/>
        <v>14H30-23H00</v>
      </c>
      <c r="H59" s="88" t="str">
        <f t="shared" si="28"/>
        <v/>
      </c>
      <c r="I59" s="88" t="str">
        <f t="shared" si="28"/>
        <v>13H30-22H00</v>
      </c>
      <c r="J59" s="153" t="s">
        <v>61</v>
      </c>
      <c r="K59" s="139"/>
      <c r="L59" s="91"/>
    </row>
    <row r="60" spans="1:12" ht="13" customHeight="1" thickTop="1" x14ac:dyDescent="0.2">
      <c r="A60" s="74">
        <f>7-(COUNTIF(C60:I60,"")+COUNTIF(C60:I60,$B$144))</f>
        <v>6</v>
      </c>
      <c r="B60" s="164" t="s">
        <v>133</v>
      </c>
      <c r="C60" s="71" t="s">
        <v>41</v>
      </c>
      <c r="D60" s="71" t="s">
        <v>93</v>
      </c>
      <c r="E60" s="71" t="s">
        <v>84</v>
      </c>
      <c r="F60" s="71"/>
      <c r="G60" s="71" t="s">
        <v>122</v>
      </c>
      <c r="H60" s="72" t="s">
        <v>150</v>
      </c>
      <c r="I60" s="71" t="s">
        <v>84</v>
      </c>
      <c r="J60" s="160" t="s">
        <v>134</v>
      </c>
      <c r="K60" s="139">
        <v>4</v>
      </c>
      <c r="L60" s="91"/>
    </row>
    <row r="61" spans="1:12" ht="13" customHeight="1" thickBot="1" x14ac:dyDescent="0.25">
      <c r="A61" s="90"/>
      <c r="B61" s="165"/>
      <c r="C61" s="87">
        <f t="shared" ref="C61:I61" si="29">IF(ISBLANK(C60),"",VLOOKUP(C60,$B$110:$L$146,11,0))</f>
        <v>0</v>
      </c>
      <c r="D61" s="87" t="str">
        <f t="shared" si="29"/>
        <v>06H00-14H30</v>
      </c>
      <c r="E61" s="87" t="str">
        <f t="shared" si="29"/>
        <v>13H30-22H00</v>
      </c>
      <c r="F61" s="87" t="str">
        <f t="shared" si="29"/>
        <v/>
      </c>
      <c r="G61" s="87" t="str">
        <f t="shared" si="29"/>
        <v>06H00-14H30</v>
      </c>
      <c r="H61" s="87" t="str">
        <f t="shared" si="29"/>
        <v>09H00-17H30</v>
      </c>
      <c r="I61" s="87" t="str">
        <f t="shared" si="29"/>
        <v>13H30-22H00</v>
      </c>
      <c r="J61" s="161"/>
      <c r="K61" s="139"/>
      <c r="L61" s="91"/>
    </row>
    <row r="62" spans="1:12" s="39" customFormat="1" ht="13" customHeight="1" thickTop="1" x14ac:dyDescent="0.2">
      <c r="A62" s="74">
        <f>7-(COUNTIF(C62:I62,"")+COUNTIF(C62:I62,$B$144))</f>
        <v>5</v>
      </c>
      <c r="B62" s="158" t="s">
        <v>21</v>
      </c>
      <c r="C62" s="71" t="s">
        <v>139</v>
      </c>
      <c r="D62" s="71" t="s">
        <v>84</v>
      </c>
      <c r="E62" s="71"/>
      <c r="F62" s="71"/>
      <c r="G62" s="71" t="s">
        <v>82</v>
      </c>
      <c r="H62" s="71" t="s">
        <v>79</v>
      </c>
      <c r="I62" s="71" t="s">
        <v>137</v>
      </c>
      <c r="J62" s="160" t="s">
        <v>61</v>
      </c>
      <c r="K62" s="139">
        <v>5</v>
      </c>
      <c r="L62" s="91"/>
    </row>
    <row r="63" spans="1:12" s="39" customFormat="1" ht="13" customHeight="1" thickBot="1" x14ac:dyDescent="0.25">
      <c r="A63" s="90"/>
      <c r="B63" s="159"/>
      <c r="C63" s="87" t="str">
        <f t="shared" ref="C63:I63" si="30">IF(ISBLANK(C62),"",VLOOKUP(C62,$B$110:$L$146,11,0))</f>
        <v>14H00-22H30</v>
      </c>
      <c r="D63" s="87" t="str">
        <f t="shared" si="30"/>
        <v>13H30-22H00</v>
      </c>
      <c r="E63" s="87" t="str">
        <f t="shared" si="30"/>
        <v/>
      </c>
      <c r="F63" s="87" t="str">
        <f t="shared" si="30"/>
        <v/>
      </c>
      <c r="G63" s="87" t="str">
        <f t="shared" si="30"/>
        <v>06H00-14H30</v>
      </c>
      <c r="H63" s="87" t="str">
        <f t="shared" si="30"/>
        <v>09H00-17H30</v>
      </c>
      <c r="I63" s="87" t="str">
        <f t="shared" si="30"/>
        <v>06H00-14H30</v>
      </c>
      <c r="J63" s="161" t="s">
        <v>62</v>
      </c>
      <c r="K63" s="139"/>
      <c r="L63" s="91"/>
    </row>
    <row r="64" spans="1:12" s="39" customFormat="1" ht="13" customHeight="1" thickTop="1" x14ac:dyDescent="0.2">
      <c r="A64" s="74">
        <f>7-(COUNTIF(C64:I64,"")+COUNTIF(C64:I64,$B$144))</f>
        <v>5</v>
      </c>
      <c r="B64" s="164" t="s">
        <v>131</v>
      </c>
      <c r="C64" s="72" t="s">
        <v>150</v>
      </c>
      <c r="D64" s="71" t="s">
        <v>84</v>
      </c>
      <c r="E64" s="71"/>
      <c r="F64" s="71"/>
      <c r="G64" s="71" t="s">
        <v>92</v>
      </c>
      <c r="H64" s="71" t="s">
        <v>80</v>
      </c>
      <c r="I64" s="71" t="s">
        <v>123</v>
      </c>
      <c r="J64" s="160" t="s">
        <v>129</v>
      </c>
      <c r="K64" s="139">
        <v>4</v>
      </c>
      <c r="L64" s="91"/>
    </row>
    <row r="65" spans="1:12" s="39" customFormat="1" ht="13" customHeight="1" thickBot="1" x14ac:dyDescent="0.25">
      <c r="A65" s="90"/>
      <c r="B65" s="165"/>
      <c r="C65" s="87" t="str">
        <f t="shared" ref="C65:I65" si="31">IF(ISBLANK(C64),"",VLOOKUP(C64,$B$110:$L$146,11,0))</f>
        <v>09H00-17H30</v>
      </c>
      <c r="D65" s="87" t="str">
        <f t="shared" si="31"/>
        <v>13H30-22H00</v>
      </c>
      <c r="E65" s="87" t="str">
        <f t="shared" si="31"/>
        <v/>
      </c>
      <c r="F65" s="87" t="str">
        <f t="shared" si="31"/>
        <v/>
      </c>
      <c r="G65" s="87" t="str">
        <f t="shared" si="31"/>
        <v>10H00-18H30</v>
      </c>
      <c r="H65" s="87" t="str">
        <f t="shared" si="31"/>
        <v>06H00-14H30</v>
      </c>
      <c r="I65" s="87" t="str">
        <f t="shared" si="31"/>
        <v>14H30-23H00</v>
      </c>
      <c r="J65" s="161" t="s">
        <v>66</v>
      </c>
      <c r="K65" s="139"/>
      <c r="L65" s="91"/>
    </row>
    <row r="66" spans="1:12" s="39" customFormat="1" ht="13" customHeight="1" thickTop="1" x14ac:dyDescent="0.2">
      <c r="A66" s="74">
        <f>7-(COUNTIF(C66:I66,"")+COUNTIF(C66:I66,$B$144))</f>
        <v>5</v>
      </c>
      <c r="B66" s="158" t="s">
        <v>124</v>
      </c>
      <c r="C66" s="88" t="s">
        <v>122</v>
      </c>
      <c r="D66" s="71" t="s">
        <v>82</v>
      </c>
      <c r="E66" s="71"/>
      <c r="F66" s="72" t="s">
        <v>150</v>
      </c>
      <c r="G66" s="71" t="s">
        <v>93</v>
      </c>
      <c r="H66" s="71" t="s">
        <v>81</v>
      </c>
      <c r="I66" s="86" t="s">
        <v>95</v>
      </c>
      <c r="J66" s="160" t="s">
        <v>77</v>
      </c>
      <c r="K66" s="139">
        <v>4</v>
      </c>
      <c r="L66" s="91"/>
    </row>
    <row r="67" spans="1:12" s="39" customFormat="1" ht="13" customHeight="1" thickBot="1" x14ac:dyDescent="0.25">
      <c r="A67" s="90"/>
      <c r="B67" s="159"/>
      <c r="C67" s="87" t="str">
        <f t="shared" ref="C67:I67" si="32">IF(ISBLANK(C66),"",VLOOKUP(C66,$B$110:$L$146,11,0))</f>
        <v>06H00-14H30</v>
      </c>
      <c r="D67" s="87" t="str">
        <f t="shared" si="32"/>
        <v>06H00-14H30</v>
      </c>
      <c r="E67" s="87" t="str">
        <f t="shared" si="32"/>
        <v/>
      </c>
      <c r="F67" s="87" t="str">
        <f t="shared" si="32"/>
        <v>09H00-17H30</v>
      </c>
      <c r="G67" s="87" t="str">
        <f t="shared" si="32"/>
        <v>06H00-14H30</v>
      </c>
      <c r="H67" s="87" t="str">
        <f t="shared" si="32"/>
        <v>14H30-23H00</v>
      </c>
      <c r="I67" s="87">
        <f t="shared" si="32"/>
        <v>0</v>
      </c>
      <c r="J67" s="161" t="s">
        <v>78</v>
      </c>
      <c r="K67" s="139"/>
      <c r="L67" s="91"/>
    </row>
    <row r="68" spans="1:12" s="39" customFormat="1" ht="13" customHeight="1" thickTop="1" x14ac:dyDescent="0.2">
      <c r="A68" s="74">
        <f>7-(COUNTIF(C68:I68,"")+COUNTIF(C68:I68,$B$144))</f>
        <v>5</v>
      </c>
      <c r="B68" s="151" t="s">
        <v>146</v>
      </c>
      <c r="C68" s="71" t="s">
        <v>93</v>
      </c>
      <c r="D68" s="71" t="s">
        <v>92</v>
      </c>
      <c r="E68" s="71"/>
      <c r="F68" s="71" t="s">
        <v>80</v>
      </c>
      <c r="G68" s="71"/>
      <c r="H68" s="71" t="s">
        <v>137</v>
      </c>
      <c r="I68" s="71" t="s">
        <v>85</v>
      </c>
      <c r="J68" s="160" t="s">
        <v>65</v>
      </c>
      <c r="K68" s="139">
        <v>4</v>
      </c>
      <c r="L68" s="91"/>
    </row>
    <row r="69" spans="1:12" s="39" customFormat="1" ht="13" customHeight="1" thickBot="1" x14ac:dyDescent="0.25">
      <c r="A69" s="74"/>
      <c r="B69" s="167"/>
      <c r="C69" s="87" t="str">
        <f t="shared" ref="C69:I69" si="33">IF(ISBLANK(C68),"",VLOOKUP(C68,$B$110:$L$146,11,0))</f>
        <v>06H00-14H30</v>
      </c>
      <c r="D69" s="87" t="str">
        <f t="shared" si="33"/>
        <v>10H00-18H30</v>
      </c>
      <c r="E69" s="87" t="str">
        <f t="shared" si="33"/>
        <v/>
      </c>
      <c r="F69" s="87" t="str">
        <f t="shared" si="33"/>
        <v>06H00-14H30</v>
      </c>
      <c r="G69" s="87" t="str">
        <f t="shared" si="33"/>
        <v/>
      </c>
      <c r="H69" s="87" t="str">
        <f t="shared" si="33"/>
        <v>06H00-14H30</v>
      </c>
      <c r="I69" s="87" t="str">
        <f t="shared" si="33"/>
        <v>14H30-23H00</v>
      </c>
      <c r="J69" s="161" t="s">
        <v>66</v>
      </c>
      <c r="K69" s="139"/>
      <c r="L69" s="91"/>
    </row>
    <row r="70" spans="1:12" s="39" customFormat="1" ht="13" customHeight="1" thickTop="1" x14ac:dyDescent="0.2">
      <c r="A70" s="74">
        <f>7-(COUNTIF(C70:I70,"")+COUNTIF(C70:I70,$B$144))</f>
        <v>5</v>
      </c>
      <c r="B70" s="158" t="s">
        <v>104</v>
      </c>
      <c r="C70" s="71" t="s">
        <v>100</v>
      </c>
      <c r="D70" s="71" t="s">
        <v>149</v>
      </c>
      <c r="E70" s="71" t="s">
        <v>91</v>
      </c>
      <c r="F70" s="71" t="s">
        <v>82</v>
      </c>
      <c r="G70" s="71" t="s">
        <v>84</v>
      </c>
      <c r="H70" s="86" t="s">
        <v>95</v>
      </c>
      <c r="I70" s="86" t="s">
        <v>95</v>
      </c>
      <c r="J70" s="160" t="s">
        <v>66</v>
      </c>
      <c r="K70" s="139">
        <v>5</v>
      </c>
      <c r="L70" s="91"/>
    </row>
    <row r="71" spans="1:12" s="39" customFormat="1" ht="13" customHeight="1" thickBot="1" x14ac:dyDescent="0.25">
      <c r="A71" s="90"/>
      <c r="B71" s="159"/>
      <c r="C71" s="87" t="str">
        <f t="shared" ref="C71:I71" si="34">IF(ISBLANK(C70),"",VLOOKUP(C70,$B$110:$L$146,11,0))</f>
        <v>c.f. GDI</v>
      </c>
      <c r="D71" s="87" t="str">
        <f t="shared" si="34"/>
        <v>09H00-17H30</v>
      </c>
      <c r="E71" s="87" t="str">
        <f t="shared" si="34"/>
        <v>06H00-14H30</v>
      </c>
      <c r="F71" s="87" t="str">
        <f t="shared" si="34"/>
        <v>06H00-14H30</v>
      </c>
      <c r="G71" s="87" t="str">
        <f t="shared" si="34"/>
        <v>13H30-22H00</v>
      </c>
      <c r="H71" s="87">
        <f t="shared" si="34"/>
        <v>0</v>
      </c>
      <c r="I71" s="87">
        <f t="shared" si="34"/>
        <v>0</v>
      </c>
      <c r="J71" s="161" t="s">
        <v>67</v>
      </c>
      <c r="K71" s="139"/>
      <c r="L71" s="91"/>
    </row>
    <row r="72" spans="1:12" s="39" customFormat="1" ht="13" customHeight="1" thickTop="1" x14ac:dyDescent="0.2">
      <c r="A72" s="74">
        <f>7-(COUNTIF(C72:I72,"")+COUNTIF(C72:I72,$B$144))</f>
        <v>5</v>
      </c>
      <c r="B72" s="158" t="s">
        <v>22</v>
      </c>
      <c r="C72" s="71" t="s">
        <v>41</v>
      </c>
      <c r="D72" s="71" t="s">
        <v>40</v>
      </c>
      <c r="E72" s="71" t="s">
        <v>40</v>
      </c>
      <c r="F72" s="71" t="s">
        <v>99</v>
      </c>
      <c r="G72" s="71" t="s">
        <v>99</v>
      </c>
      <c r="H72" s="86" t="s">
        <v>95</v>
      </c>
      <c r="I72" s="86" t="s">
        <v>95</v>
      </c>
      <c r="J72" s="160" t="s">
        <v>67</v>
      </c>
      <c r="K72" s="139">
        <v>3</v>
      </c>
      <c r="L72" s="91"/>
    </row>
    <row r="73" spans="1:12" s="39" customFormat="1" ht="13" customHeight="1" thickBot="1" x14ac:dyDescent="0.25">
      <c r="A73" s="90"/>
      <c r="B73" s="159"/>
      <c r="C73" s="87">
        <f t="shared" ref="C73:I73" si="35">IF(ISBLANK(C72),"",VLOOKUP(C72,$B$110:$L$146,11,0))</f>
        <v>0</v>
      </c>
      <c r="D73" s="87">
        <f t="shared" si="35"/>
        <v>0</v>
      </c>
      <c r="E73" s="87">
        <f t="shared" si="35"/>
        <v>0</v>
      </c>
      <c r="F73" s="87">
        <f t="shared" si="35"/>
        <v>0</v>
      </c>
      <c r="G73" s="87">
        <f t="shared" si="35"/>
        <v>0</v>
      </c>
      <c r="H73" s="87">
        <f t="shared" si="35"/>
        <v>0</v>
      </c>
      <c r="I73" s="87">
        <f t="shared" si="35"/>
        <v>0</v>
      </c>
      <c r="J73" s="161" t="s">
        <v>68</v>
      </c>
      <c r="K73" s="139"/>
      <c r="L73" s="91"/>
    </row>
    <row r="74" spans="1:12" s="39" customFormat="1" ht="13" customHeight="1" thickTop="1" x14ac:dyDescent="0.2">
      <c r="A74" s="74">
        <f>7-(COUNTIF(C74:I74,"")+COUNTIF(C74:I74,$B$144))</f>
        <v>5</v>
      </c>
      <c r="B74" s="162" t="s">
        <v>23</v>
      </c>
      <c r="C74" s="71" t="s">
        <v>82</v>
      </c>
      <c r="D74" s="71" t="s">
        <v>80</v>
      </c>
      <c r="E74" s="137"/>
      <c r="F74" s="71" t="s">
        <v>93</v>
      </c>
      <c r="G74" s="71" t="s">
        <v>139</v>
      </c>
      <c r="H74" s="71" t="s">
        <v>149</v>
      </c>
      <c r="I74" s="71" t="s">
        <v>95</v>
      </c>
      <c r="J74" s="160" t="s">
        <v>68</v>
      </c>
      <c r="K74" s="139">
        <v>5</v>
      </c>
      <c r="L74" s="91"/>
    </row>
    <row r="75" spans="1:12" s="39" customFormat="1" ht="13" customHeight="1" thickBot="1" x14ac:dyDescent="0.25">
      <c r="A75" s="90"/>
      <c r="B75" s="163"/>
      <c r="C75" s="87" t="str">
        <f t="shared" ref="C75:I75" si="36">IF(ISBLANK(C74),"",VLOOKUP(C74,$B$110:$L$146,11,0))</f>
        <v>06H00-14H30</v>
      </c>
      <c r="D75" s="87" t="str">
        <f t="shared" si="36"/>
        <v>06H00-14H30</v>
      </c>
      <c r="E75" s="87" t="str">
        <f t="shared" si="36"/>
        <v/>
      </c>
      <c r="F75" s="87" t="str">
        <f t="shared" si="36"/>
        <v>06H00-14H30</v>
      </c>
      <c r="G75" s="87" t="str">
        <f t="shared" si="36"/>
        <v>14H00-22H30</v>
      </c>
      <c r="H75" s="87" t="str">
        <f t="shared" si="36"/>
        <v>09H00-17H30</v>
      </c>
      <c r="I75" s="87">
        <f t="shared" si="36"/>
        <v>0</v>
      </c>
      <c r="J75" s="161" t="s">
        <v>69</v>
      </c>
      <c r="K75" s="139"/>
      <c r="L75" s="91"/>
    </row>
    <row r="76" spans="1:12" s="39" customFormat="1" ht="13" customHeight="1" thickTop="1" x14ac:dyDescent="0.2">
      <c r="A76" s="74">
        <f>7-(COUNTIF(C76:I76,"")+COUNTIF(C76:I76,$B$144))</f>
        <v>4</v>
      </c>
      <c r="B76" s="164" t="s">
        <v>120</v>
      </c>
      <c r="C76" s="71" t="s">
        <v>123</v>
      </c>
      <c r="D76" s="71"/>
      <c r="E76" s="71"/>
      <c r="F76" s="71"/>
      <c r="G76" s="71" t="s">
        <v>31</v>
      </c>
      <c r="H76" s="71" t="s">
        <v>83</v>
      </c>
      <c r="I76" s="71" t="s">
        <v>91</v>
      </c>
      <c r="J76" s="160" t="s">
        <v>121</v>
      </c>
      <c r="K76" s="139">
        <v>4</v>
      </c>
      <c r="L76" s="91"/>
    </row>
    <row r="77" spans="1:12" s="39" customFormat="1" ht="13" customHeight="1" thickBot="1" x14ac:dyDescent="0.25">
      <c r="A77" s="90"/>
      <c r="B77" s="165"/>
      <c r="C77" s="87" t="str">
        <f t="shared" ref="C77:I77" si="37">IF(ISBLANK(C76),"",VLOOKUP(C76,$B$110:$L$146,11,0))</f>
        <v>14H30-23H00</v>
      </c>
      <c r="D77" s="87" t="str">
        <f t="shared" si="37"/>
        <v/>
      </c>
      <c r="E77" s="87" t="str">
        <f t="shared" si="37"/>
        <v/>
      </c>
      <c r="F77" s="87" t="str">
        <f t="shared" si="37"/>
        <v/>
      </c>
      <c r="G77" s="87" t="str">
        <f t="shared" si="37"/>
        <v>06H00-14H30</v>
      </c>
      <c r="H77" s="87" t="str">
        <f t="shared" si="37"/>
        <v>09H00-17H30</v>
      </c>
      <c r="I77" s="87" t="str">
        <f t="shared" si="37"/>
        <v>06H00-14H30</v>
      </c>
      <c r="J77" s="161" t="s">
        <v>63</v>
      </c>
      <c r="K77" s="139"/>
      <c r="L77" s="91"/>
    </row>
    <row r="78" spans="1:12" s="39" customFormat="1" ht="13" customHeight="1" thickTop="1" x14ac:dyDescent="0.2">
      <c r="A78" s="74">
        <f>7-(COUNTIF(C78:I78,"")+COUNTIF(C78:I78,$B$144))</f>
        <v>6</v>
      </c>
      <c r="B78" s="158" t="s">
        <v>113</v>
      </c>
      <c r="C78" s="71" t="s">
        <v>41</v>
      </c>
      <c r="D78" s="71" t="s">
        <v>31</v>
      </c>
      <c r="E78" s="71" t="s">
        <v>123</v>
      </c>
      <c r="F78" s="71" t="s">
        <v>83</v>
      </c>
      <c r="G78" s="71"/>
      <c r="H78" s="71" t="s">
        <v>84</v>
      </c>
      <c r="I78" s="71" t="s">
        <v>92</v>
      </c>
      <c r="J78" s="160" t="s">
        <v>45</v>
      </c>
      <c r="K78" s="139">
        <v>5</v>
      </c>
      <c r="L78" s="91"/>
    </row>
    <row r="79" spans="1:12" s="39" customFormat="1" ht="13" customHeight="1" thickBot="1" x14ac:dyDescent="0.25">
      <c r="A79" s="90"/>
      <c r="B79" s="167"/>
      <c r="C79" s="87">
        <f t="shared" ref="C79:I79" si="38">IF(ISBLANK(C78),"",VLOOKUP(C78,$B$110:$L$146,11,0))</f>
        <v>0</v>
      </c>
      <c r="D79" s="87" t="str">
        <f t="shared" si="38"/>
        <v>06H00-14H30</v>
      </c>
      <c r="E79" s="87" t="str">
        <f t="shared" si="38"/>
        <v>14H30-23H00</v>
      </c>
      <c r="F79" s="87" t="str">
        <f t="shared" si="38"/>
        <v>09H00-17H30</v>
      </c>
      <c r="G79" s="87" t="str">
        <f t="shared" si="38"/>
        <v/>
      </c>
      <c r="H79" s="87" t="str">
        <f t="shared" si="38"/>
        <v>13H30-22H00</v>
      </c>
      <c r="I79" s="87" t="str">
        <f t="shared" si="38"/>
        <v>10H00-18H30</v>
      </c>
      <c r="J79" s="161" t="s">
        <v>44</v>
      </c>
      <c r="K79" s="139"/>
      <c r="L79" s="91"/>
    </row>
    <row r="80" spans="1:12" s="39" customFormat="1" ht="13" customHeight="1" thickTop="1" x14ac:dyDescent="0.2">
      <c r="A80" s="74">
        <f>7-(COUNTIF(C80:I80,"")+COUNTIF(C80:I80,$B$144))</f>
        <v>4</v>
      </c>
      <c r="B80" s="173" t="s">
        <v>24</v>
      </c>
      <c r="C80" s="71" t="s">
        <v>41</v>
      </c>
      <c r="D80" s="71" t="s">
        <v>95</v>
      </c>
      <c r="E80" s="71" t="s">
        <v>40</v>
      </c>
      <c r="F80" s="71" t="s">
        <v>40</v>
      </c>
      <c r="G80" s="71" t="s">
        <v>40</v>
      </c>
      <c r="H80" s="86" t="s">
        <v>95</v>
      </c>
      <c r="I80" s="86" t="s">
        <v>95</v>
      </c>
      <c r="J80" s="160" t="s">
        <v>69</v>
      </c>
      <c r="K80" s="139">
        <v>3</v>
      </c>
      <c r="L80" s="91"/>
    </row>
    <row r="81" spans="1:12" s="39" customFormat="1" ht="13" customHeight="1" thickBot="1" x14ac:dyDescent="0.25">
      <c r="A81" s="90"/>
      <c r="B81" s="174"/>
      <c r="C81" s="87">
        <f t="shared" ref="C81:I81" si="39">IF(ISBLANK(C80),"",VLOOKUP(C80,$B$110:$L$146,11,0))</f>
        <v>0</v>
      </c>
      <c r="D81" s="87">
        <f t="shared" si="39"/>
        <v>0</v>
      </c>
      <c r="E81" s="87">
        <f t="shared" si="39"/>
        <v>0</v>
      </c>
      <c r="F81" s="87">
        <f t="shared" si="39"/>
        <v>0</v>
      </c>
      <c r="G81" s="87">
        <f t="shared" si="39"/>
        <v>0</v>
      </c>
      <c r="H81" s="87">
        <f t="shared" si="39"/>
        <v>0</v>
      </c>
      <c r="I81" s="87">
        <f t="shared" si="39"/>
        <v>0</v>
      </c>
      <c r="J81" s="161" t="s">
        <v>70</v>
      </c>
      <c r="K81" s="139"/>
      <c r="L81" s="91"/>
    </row>
    <row r="82" spans="1:12" s="39" customFormat="1" ht="13" customHeight="1" thickTop="1" x14ac:dyDescent="0.2">
      <c r="A82" s="74">
        <f>7-(COUNTIF(C82:I82,"")+COUNTIF(C82:I82,$B$144))</f>
        <v>6</v>
      </c>
      <c r="B82" s="175" t="s">
        <v>25</v>
      </c>
      <c r="C82" s="71" t="s">
        <v>41</v>
      </c>
      <c r="D82" s="71" t="s">
        <v>79</v>
      </c>
      <c r="E82" s="71" t="s">
        <v>154</v>
      </c>
      <c r="F82" s="71" t="s">
        <v>152</v>
      </c>
      <c r="G82" s="71" t="s">
        <v>137</v>
      </c>
      <c r="H82" s="71" t="s">
        <v>85</v>
      </c>
      <c r="I82" s="137"/>
      <c r="J82" s="160" t="s">
        <v>70</v>
      </c>
      <c r="K82" s="139">
        <v>5</v>
      </c>
      <c r="L82" s="91"/>
    </row>
    <row r="83" spans="1:12" s="39" customFormat="1" ht="13" customHeight="1" thickBot="1" x14ac:dyDescent="0.25">
      <c r="A83" s="90"/>
      <c r="B83" s="176"/>
      <c r="C83" s="88">
        <f t="shared" ref="C83:I83" si="40">IF(ISBLANK(C82),"",VLOOKUP(C82,$B$110:$L$146,11,0))</f>
        <v>0</v>
      </c>
      <c r="D83" s="88" t="str">
        <f t="shared" si="40"/>
        <v>09H00-17H30</v>
      </c>
      <c r="E83" s="88" t="str">
        <f t="shared" si="40"/>
        <v>13H00-21H30</v>
      </c>
      <c r="F83" s="88" t="str">
        <f t="shared" si="40"/>
        <v>08H30-17H00</v>
      </c>
      <c r="G83" s="88" t="str">
        <f t="shared" si="40"/>
        <v>06H00-14H30</v>
      </c>
      <c r="H83" s="88" t="str">
        <f t="shared" si="40"/>
        <v>14H30-23H00</v>
      </c>
      <c r="I83" s="88" t="str">
        <f t="shared" si="40"/>
        <v/>
      </c>
      <c r="J83" s="153" t="s">
        <v>71</v>
      </c>
      <c r="K83" s="139"/>
      <c r="L83" s="91"/>
    </row>
    <row r="84" spans="1:12" s="39" customFormat="1" ht="13" customHeight="1" thickTop="1" x14ac:dyDescent="0.2">
      <c r="A84" s="74">
        <f>7-(COUNTIF(C84:I84,"")+COUNTIF(C84:I84,$B$144))</f>
        <v>6</v>
      </c>
      <c r="B84" s="158" t="s">
        <v>105</v>
      </c>
      <c r="C84" s="71" t="s">
        <v>41</v>
      </c>
      <c r="D84" s="71" t="s">
        <v>151</v>
      </c>
      <c r="E84" s="71" t="s">
        <v>79</v>
      </c>
      <c r="F84" s="71"/>
      <c r="G84" s="71" t="s">
        <v>82</v>
      </c>
      <c r="H84" s="71" t="s">
        <v>154</v>
      </c>
      <c r="I84" s="71" t="s">
        <v>151</v>
      </c>
      <c r="J84" s="160" t="s">
        <v>71</v>
      </c>
      <c r="K84" s="139">
        <v>5</v>
      </c>
      <c r="L84" s="91"/>
    </row>
    <row r="85" spans="1:12" s="39" customFormat="1" ht="13" customHeight="1" thickBot="1" x14ac:dyDescent="0.25">
      <c r="A85" s="90"/>
      <c r="B85" s="159"/>
      <c r="C85" s="87">
        <f t="shared" ref="C85:I85" si="41">IF(ISBLANK(C84),"",VLOOKUP(C84,$B$110:$L$146,11,0))</f>
        <v>0</v>
      </c>
      <c r="D85" s="87" t="str">
        <f t="shared" si="41"/>
        <v>08H30-17H00</v>
      </c>
      <c r="E85" s="87" t="str">
        <f t="shared" si="41"/>
        <v>09H00-17H30</v>
      </c>
      <c r="F85" s="87" t="str">
        <f t="shared" si="41"/>
        <v/>
      </c>
      <c r="G85" s="87" t="str">
        <f t="shared" si="41"/>
        <v>06H00-14H30</v>
      </c>
      <c r="H85" s="87" t="str">
        <f t="shared" si="41"/>
        <v>13H00-21H30</v>
      </c>
      <c r="I85" s="87" t="str">
        <f t="shared" si="41"/>
        <v>08H30-17H00</v>
      </c>
      <c r="J85" s="161" t="s">
        <v>72</v>
      </c>
      <c r="K85" s="139"/>
      <c r="L85" s="91"/>
    </row>
    <row r="86" spans="1:12" s="39" customFormat="1" ht="13" customHeight="1" thickTop="1" x14ac:dyDescent="0.2">
      <c r="A86" s="74">
        <f>7-(COUNTIF(C86:I86,"")+COUNTIF(C86:I86,$B$144))</f>
        <v>6</v>
      </c>
      <c r="B86" s="158" t="s">
        <v>143</v>
      </c>
      <c r="C86" s="71" t="s">
        <v>41</v>
      </c>
      <c r="D86" s="71" t="s">
        <v>91</v>
      </c>
      <c r="E86" s="71" t="s">
        <v>93</v>
      </c>
      <c r="F86" s="71" t="s">
        <v>139</v>
      </c>
      <c r="G86" s="71"/>
      <c r="H86" s="71" t="s">
        <v>84</v>
      </c>
      <c r="I86" s="71" t="s">
        <v>83</v>
      </c>
      <c r="J86" s="160" t="s">
        <v>142</v>
      </c>
      <c r="K86" s="139">
        <v>4</v>
      </c>
      <c r="L86" s="91"/>
    </row>
    <row r="87" spans="1:12" ht="13" customHeight="1" thickBot="1" x14ac:dyDescent="0.25">
      <c r="A87" s="94"/>
      <c r="B87" s="159"/>
      <c r="C87" s="87">
        <f t="shared" ref="C87:I87" si="42">IF(ISBLANK(C86),"",VLOOKUP(C86,$B$110:$L$146,11,0))</f>
        <v>0</v>
      </c>
      <c r="D87" s="87" t="str">
        <f t="shared" si="42"/>
        <v>06H00-14H30</v>
      </c>
      <c r="E87" s="87" t="str">
        <f t="shared" si="42"/>
        <v>06H00-14H30</v>
      </c>
      <c r="F87" s="87" t="str">
        <f t="shared" si="42"/>
        <v>14H00-22H30</v>
      </c>
      <c r="G87" s="87" t="str">
        <f t="shared" si="42"/>
        <v/>
      </c>
      <c r="H87" s="87" t="str">
        <f t="shared" si="42"/>
        <v>13H30-22H00</v>
      </c>
      <c r="I87" s="87" t="str">
        <f t="shared" si="42"/>
        <v>09H00-17H30</v>
      </c>
      <c r="J87" s="161" t="s">
        <v>57</v>
      </c>
      <c r="K87" s="139"/>
      <c r="L87" s="91"/>
    </row>
    <row r="88" spans="1:12" s="39" customFormat="1" ht="13" customHeight="1" thickTop="1" x14ac:dyDescent="0.2">
      <c r="A88" s="74">
        <f>7-(COUNTIF(C88:I88,"")+COUNTIF(C88:I88,$B$144))</f>
        <v>6</v>
      </c>
      <c r="B88" s="162" t="s">
        <v>26</v>
      </c>
      <c r="C88" s="71" t="s">
        <v>41</v>
      </c>
      <c r="D88" s="71" t="s">
        <v>138</v>
      </c>
      <c r="E88" s="71" t="s">
        <v>138</v>
      </c>
      <c r="F88" s="71"/>
      <c r="G88" s="71" t="s">
        <v>79</v>
      </c>
      <c r="H88" s="71" t="s">
        <v>151</v>
      </c>
      <c r="I88" s="71" t="s">
        <v>110</v>
      </c>
      <c r="J88" s="160" t="s">
        <v>72</v>
      </c>
      <c r="K88" s="139">
        <v>5</v>
      </c>
      <c r="L88" s="91"/>
    </row>
    <row r="89" spans="1:12" s="39" customFormat="1" ht="13" customHeight="1" thickBot="1" x14ac:dyDescent="0.25">
      <c r="A89" s="90"/>
      <c r="B89" s="163"/>
      <c r="C89" s="87">
        <f t="shared" ref="C89:I89" si="43">IF(ISBLANK(C88),"",VLOOKUP(C88,$B$110:$L$146,11,0))</f>
        <v>0</v>
      </c>
      <c r="D89" s="87" t="str">
        <f t="shared" si="43"/>
        <v>22H00-06H30</v>
      </c>
      <c r="E89" s="87" t="str">
        <f t="shared" si="43"/>
        <v>22H00-06H30</v>
      </c>
      <c r="F89" s="87" t="str">
        <f t="shared" si="43"/>
        <v/>
      </c>
      <c r="G89" s="87" t="str">
        <f t="shared" si="43"/>
        <v>09H00-17H30</v>
      </c>
      <c r="H89" s="87" t="str">
        <f t="shared" si="43"/>
        <v>08H30-17H00</v>
      </c>
      <c r="I89" s="87" t="str">
        <f t="shared" si="43"/>
        <v>21H45-06H15</v>
      </c>
      <c r="J89" s="161" t="s">
        <v>73</v>
      </c>
      <c r="K89" s="139"/>
      <c r="L89" s="91"/>
    </row>
    <row r="90" spans="1:12" s="39" customFormat="1" ht="13" customHeight="1" thickTop="1" x14ac:dyDescent="0.2">
      <c r="A90" s="74">
        <f>7-(COUNTIF(C90:I90,"")+COUNTIF(C90:I90,$B$144))</f>
        <v>6</v>
      </c>
      <c r="B90" s="162" t="s">
        <v>27</v>
      </c>
      <c r="C90" s="71" t="s">
        <v>41</v>
      </c>
      <c r="D90" s="71" t="s">
        <v>40</v>
      </c>
      <c r="E90" s="71" t="s">
        <v>137</v>
      </c>
      <c r="F90" s="71"/>
      <c r="G90" s="71" t="s">
        <v>91</v>
      </c>
      <c r="H90" s="71" t="s">
        <v>123</v>
      </c>
      <c r="I90" s="86" t="s">
        <v>149</v>
      </c>
      <c r="J90" s="160" t="s">
        <v>74</v>
      </c>
      <c r="K90" s="139">
        <v>5</v>
      </c>
      <c r="L90" s="91"/>
    </row>
    <row r="91" spans="1:12" s="39" customFormat="1" ht="13" customHeight="1" thickBot="1" x14ac:dyDescent="0.25">
      <c r="A91" s="90"/>
      <c r="B91" s="163"/>
      <c r="C91" s="87">
        <f t="shared" ref="C91:I91" si="44">IF(ISBLANK(C90),"",VLOOKUP(C90,$B$110:$L$146,11,0))</f>
        <v>0</v>
      </c>
      <c r="D91" s="87">
        <f t="shared" si="44"/>
        <v>0</v>
      </c>
      <c r="E91" s="87" t="str">
        <f t="shared" si="44"/>
        <v>06H00-14H30</v>
      </c>
      <c r="F91" s="87" t="str">
        <f t="shared" si="44"/>
        <v/>
      </c>
      <c r="G91" s="87" t="str">
        <f t="shared" si="44"/>
        <v>06H00-14H30</v>
      </c>
      <c r="H91" s="87" t="str">
        <f t="shared" si="44"/>
        <v>14H30-23H00</v>
      </c>
      <c r="I91" s="87" t="str">
        <f t="shared" si="44"/>
        <v>09H00-17H30</v>
      </c>
      <c r="J91" s="161" t="s">
        <v>75</v>
      </c>
      <c r="K91" s="139"/>
      <c r="L91" s="91"/>
    </row>
    <row r="92" spans="1:12" s="39" customFormat="1" ht="13" customHeight="1" thickTop="1" x14ac:dyDescent="0.2">
      <c r="A92" s="74">
        <f>7-(COUNTIF(C92:I92,"")+COUNTIF(C92:I92,$B$144))</f>
        <v>6</v>
      </c>
      <c r="B92" s="164" t="s">
        <v>115</v>
      </c>
      <c r="C92" s="71" t="s">
        <v>41</v>
      </c>
      <c r="D92" s="71" t="s">
        <v>122</v>
      </c>
      <c r="E92" s="71" t="s">
        <v>82</v>
      </c>
      <c r="F92" s="88" t="s">
        <v>85</v>
      </c>
      <c r="G92" s="88"/>
      <c r="H92" s="71" t="s">
        <v>93</v>
      </c>
      <c r="I92" s="88" t="s">
        <v>80</v>
      </c>
      <c r="J92" s="153" t="s">
        <v>63</v>
      </c>
      <c r="K92" s="139">
        <v>5</v>
      </c>
      <c r="L92" s="91"/>
    </row>
    <row r="93" spans="1:12" s="39" customFormat="1" ht="13" customHeight="1" thickBot="1" x14ac:dyDescent="0.25">
      <c r="A93" s="90"/>
      <c r="B93" s="177"/>
      <c r="C93" s="93">
        <f t="shared" ref="C93:I93" si="45">IF(ISBLANK(C92),"",VLOOKUP(C92,$B$110:$L$146,11,0))</f>
        <v>0</v>
      </c>
      <c r="D93" s="93" t="str">
        <f t="shared" si="45"/>
        <v>06H00-14H30</v>
      </c>
      <c r="E93" s="93" t="str">
        <f t="shared" si="45"/>
        <v>06H00-14H30</v>
      </c>
      <c r="F93" s="93" t="str">
        <f t="shared" si="45"/>
        <v>14H30-23H00</v>
      </c>
      <c r="G93" s="93" t="str">
        <f t="shared" si="45"/>
        <v/>
      </c>
      <c r="H93" s="93" t="str">
        <f t="shared" si="45"/>
        <v>06H00-14H30</v>
      </c>
      <c r="I93" s="93" t="str">
        <f t="shared" si="45"/>
        <v>06H00-14H30</v>
      </c>
      <c r="J93" s="168"/>
      <c r="K93" s="139"/>
      <c r="L93" s="91"/>
    </row>
    <row r="94" spans="1:12" s="39" customFormat="1" ht="13" customHeight="1" thickTop="1" x14ac:dyDescent="0.2">
      <c r="A94" s="74">
        <f>7-(COUNTIF(C94:I94,"")+COUNTIF(C94:I94,$B$144))</f>
        <v>4</v>
      </c>
      <c r="B94" s="158" t="s">
        <v>148</v>
      </c>
      <c r="C94" s="71" t="s">
        <v>100</v>
      </c>
      <c r="D94" s="71"/>
      <c r="E94" s="71" t="s">
        <v>84</v>
      </c>
      <c r="F94" s="71" t="s">
        <v>110</v>
      </c>
      <c r="G94" s="71"/>
      <c r="H94" s="71" t="s">
        <v>138</v>
      </c>
      <c r="I94" s="71"/>
      <c r="J94" s="160" t="s">
        <v>144</v>
      </c>
      <c r="K94" s="139">
        <v>4</v>
      </c>
      <c r="L94" s="91"/>
    </row>
    <row r="95" spans="1:12" ht="13" customHeight="1" thickBot="1" x14ac:dyDescent="0.25">
      <c r="A95" s="94"/>
      <c r="B95" s="159"/>
      <c r="C95" s="87" t="str">
        <f t="shared" ref="C95:I95" si="46">IF(ISBLANK(C94),"",VLOOKUP(C94,$B$110:$L$146,11,0))</f>
        <v>c.f. GDI</v>
      </c>
      <c r="D95" s="87" t="str">
        <f t="shared" si="46"/>
        <v/>
      </c>
      <c r="E95" s="87" t="str">
        <f t="shared" si="46"/>
        <v>13H30-22H00</v>
      </c>
      <c r="F95" s="87" t="str">
        <f t="shared" si="46"/>
        <v>21H45-06H15</v>
      </c>
      <c r="G95" s="87" t="str">
        <f t="shared" si="46"/>
        <v/>
      </c>
      <c r="H95" s="87" t="str">
        <f t="shared" si="46"/>
        <v>22H00-06H30</v>
      </c>
      <c r="I95" s="87" t="str">
        <f t="shared" si="46"/>
        <v/>
      </c>
      <c r="J95" s="161" t="s">
        <v>57</v>
      </c>
      <c r="K95" s="139"/>
      <c r="L95" s="91"/>
    </row>
    <row r="96" spans="1:12" s="39" customFormat="1" ht="13" customHeight="1" thickTop="1" x14ac:dyDescent="0.2">
      <c r="A96" s="74">
        <f>7-(COUNTIF(C96:I96,"")+COUNTIF(C96:I96,$B$144))</f>
        <v>5</v>
      </c>
      <c r="B96" s="158" t="s">
        <v>147</v>
      </c>
      <c r="C96" s="71" t="s">
        <v>31</v>
      </c>
      <c r="D96" s="71" t="s">
        <v>123</v>
      </c>
      <c r="E96" s="71" t="s">
        <v>92</v>
      </c>
      <c r="F96" s="71" t="s">
        <v>82</v>
      </c>
      <c r="G96" s="71" t="s">
        <v>84</v>
      </c>
      <c r="H96" s="86" t="s">
        <v>95</v>
      </c>
      <c r="I96" s="86" t="s">
        <v>95</v>
      </c>
      <c r="J96" s="160" t="s">
        <v>145</v>
      </c>
      <c r="K96" s="139">
        <v>4</v>
      </c>
      <c r="L96" s="91"/>
    </row>
    <row r="97" spans="1:12" ht="13" customHeight="1" thickBot="1" x14ac:dyDescent="0.25">
      <c r="A97" s="94"/>
      <c r="B97" s="159"/>
      <c r="C97" s="87" t="str">
        <f t="shared" ref="C97:I97" si="47">IF(ISBLANK(C96),"",VLOOKUP(C96,$B$110:$L$146,11,0))</f>
        <v>06H00-14H30</v>
      </c>
      <c r="D97" s="87" t="str">
        <f t="shared" si="47"/>
        <v>14H30-23H00</v>
      </c>
      <c r="E97" s="87" t="str">
        <f t="shared" si="47"/>
        <v>10H00-18H30</v>
      </c>
      <c r="F97" s="87" t="str">
        <f t="shared" si="47"/>
        <v>06H00-14H30</v>
      </c>
      <c r="G97" s="87" t="str">
        <f t="shared" si="47"/>
        <v>13H30-22H00</v>
      </c>
      <c r="H97" s="87">
        <f t="shared" si="47"/>
        <v>0</v>
      </c>
      <c r="I97" s="87">
        <f t="shared" si="47"/>
        <v>0</v>
      </c>
      <c r="J97" s="161" t="s">
        <v>57</v>
      </c>
      <c r="K97" s="139"/>
      <c r="L97" s="91"/>
    </row>
    <row r="98" spans="1:12" s="39" customFormat="1" ht="13" customHeight="1" thickTop="1" x14ac:dyDescent="0.2">
      <c r="A98" s="74">
        <f>7-(COUNTIF(C98:I98,"")+COUNTIF(C98:I98,$B$144))</f>
        <v>5</v>
      </c>
      <c r="B98" s="162" t="s">
        <v>106</v>
      </c>
      <c r="C98" s="71" t="s">
        <v>41</v>
      </c>
      <c r="D98" s="71" t="s">
        <v>40</v>
      </c>
      <c r="E98" s="71" t="s">
        <v>40</v>
      </c>
      <c r="F98" s="71" t="s">
        <v>40</v>
      </c>
      <c r="G98" s="71" t="s">
        <v>40</v>
      </c>
      <c r="H98" s="86" t="s">
        <v>95</v>
      </c>
      <c r="I98" s="86" t="s">
        <v>95</v>
      </c>
      <c r="J98" s="160" t="s">
        <v>75</v>
      </c>
      <c r="K98" s="139">
        <v>5</v>
      </c>
      <c r="L98" s="91"/>
    </row>
    <row r="99" spans="1:12" s="39" customFormat="1" ht="13" customHeight="1" thickBot="1" x14ac:dyDescent="0.25">
      <c r="A99" s="90"/>
      <c r="B99" s="163"/>
      <c r="C99" s="87">
        <f t="shared" ref="C99:I99" si="48">IF(ISBLANK(C98),"",VLOOKUP(C98,$B$110:$L$146,11,0))</f>
        <v>0</v>
      </c>
      <c r="D99" s="87">
        <f t="shared" si="48"/>
        <v>0</v>
      </c>
      <c r="E99" s="87">
        <f t="shared" si="48"/>
        <v>0</v>
      </c>
      <c r="F99" s="87">
        <f t="shared" si="48"/>
        <v>0</v>
      </c>
      <c r="G99" s="87">
        <f t="shared" si="48"/>
        <v>0</v>
      </c>
      <c r="H99" s="87">
        <f t="shared" si="48"/>
        <v>0</v>
      </c>
      <c r="I99" s="87">
        <f t="shared" si="48"/>
        <v>0</v>
      </c>
      <c r="J99" s="161" t="s">
        <v>76</v>
      </c>
      <c r="K99" s="139"/>
      <c r="L99" s="91"/>
    </row>
    <row r="100" spans="1:12" s="39" customFormat="1" ht="13" customHeight="1" thickTop="1" x14ac:dyDescent="0.2">
      <c r="A100" s="74">
        <f>7-(COUNTIF(C100:I100,"")+COUNTIF(C100:I100,$B$144))</f>
        <v>5</v>
      </c>
      <c r="B100" s="158" t="s">
        <v>28</v>
      </c>
      <c r="C100" s="88" t="s">
        <v>85</v>
      </c>
      <c r="D100" s="137"/>
      <c r="E100" s="88" t="s">
        <v>80</v>
      </c>
      <c r="F100" s="71" t="s">
        <v>84</v>
      </c>
      <c r="G100" s="71" t="s">
        <v>149</v>
      </c>
      <c r="H100" s="71" t="s">
        <v>92</v>
      </c>
      <c r="I100" s="71"/>
      <c r="J100" s="160" t="s">
        <v>76</v>
      </c>
      <c r="K100" s="139">
        <v>5</v>
      </c>
      <c r="L100" s="91"/>
    </row>
    <row r="101" spans="1:12" s="39" customFormat="1" ht="13" customHeight="1" thickBot="1" x14ac:dyDescent="0.25">
      <c r="A101" s="90"/>
      <c r="B101" s="159"/>
      <c r="C101" s="87" t="str">
        <f t="shared" ref="C101:I101" si="49">IF(ISBLANK(C100),"",VLOOKUP(C100,$B$110:$L$146,11,0))</f>
        <v>14H30-23H00</v>
      </c>
      <c r="D101" s="87" t="str">
        <f t="shared" si="49"/>
        <v/>
      </c>
      <c r="E101" s="87" t="str">
        <f t="shared" si="49"/>
        <v>06H00-14H30</v>
      </c>
      <c r="F101" s="87" t="str">
        <f t="shared" si="49"/>
        <v>13H30-22H00</v>
      </c>
      <c r="G101" s="87" t="str">
        <f t="shared" si="49"/>
        <v>09H00-17H30</v>
      </c>
      <c r="H101" s="87" t="str">
        <f t="shared" si="49"/>
        <v>10H00-18H30</v>
      </c>
      <c r="I101" s="87" t="str">
        <f t="shared" si="49"/>
        <v/>
      </c>
      <c r="J101" s="161" t="s">
        <v>77</v>
      </c>
      <c r="K101" s="139"/>
      <c r="L101" s="91"/>
    </row>
    <row r="102" spans="1:12" s="39" customFormat="1" ht="13" customHeight="1" thickTop="1" x14ac:dyDescent="0.2">
      <c r="A102" s="74"/>
      <c r="B102" s="158" t="s">
        <v>136</v>
      </c>
      <c r="C102" s="71" t="s">
        <v>41</v>
      </c>
      <c r="D102" s="86" t="s">
        <v>95</v>
      </c>
      <c r="E102" s="71"/>
      <c r="F102" s="86" t="s">
        <v>95</v>
      </c>
      <c r="G102" s="86" t="s">
        <v>95</v>
      </c>
      <c r="H102" s="86" t="s">
        <v>95</v>
      </c>
      <c r="I102" s="86" t="s">
        <v>95</v>
      </c>
      <c r="J102" s="160"/>
      <c r="K102" s="139">
        <v>2</v>
      </c>
      <c r="L102" s="91"/>
    </row>
    <row r="103" spans="1:12" ht="13" customHeight="1" thickBot="1" x14ac:dyDescent="0.25">
      <c r="A103" s="94"/>
      <c r="B103" s="159"/>
      <c r="C103" s="87">
        <f t="shared" ref="C103:I103" si="50">IF(ISBLANK(C102),"",VLOOKUP(C102,$B$110:$L$146,11,0))</f>
        <v>0</v>
      </c>
      <c r="D103" s="87">
        <f t="shared" si="50"/>
        <v>0</v>
      </c>
      <c r="E103" s="87" t="str">
        <f t="shared" si="50"/>
        <v/>
      </c>
      <c r="F103" s="87">
        <f t="shared" si="50"/>
        <v>0</v>
      </c>
      <c r="G103" s="87">
        <f t="shared" si="50"/>
        <v>0</v>
      </c>
      <c r="H103" s="87">
        <f t="shared" si="50"/>
        <v>0</v>
      </c>
      <c r="I103" s="87">
        <f t="shared" si="50"/>
        <v>0</v>
      </c>
      <c r="J103" s="161" t="s">
        <v>57</v>
      </c>
      <c r="K103" s="139"/>
      <c r="L103" s="91"/>
    </row>
    <row r="104" spans="1:12" s="39" customFormat="1" ht="13" customHeight="1" thickTop="1" x14ac:dyDescent="0.2">
      <c r="A104" s="74"/>
      <c r="B104" s="158" t="s">
        <v>135</v>
      </c>
      <c r="C104" s="71" t="s">
        <v>41</v>
      </c>
      <c r="D104" s="86"/>
      <c r="E104" s="71" t="s">
        <v>95</v>
      </c>
      <c r="F104" s="86"/>
      <c r="G104" s="71"/>
      <c r="H104" s="86" t="s">
        <v>95</v>
      </c>
      <c r="I104" s="86" t="s">
        <v>95</v>
      </c>
      <c r="J104" s="160"/>
      <c r="K104" s="139">
        <v>4</v>
      </c>
      <c r="L104" s="91"/>
    </row>
    <row r="105" spans="1:12" ht="13" customHeight="1" thickBot="1" x14ac:dyDescent="0.25">
      <c r="A105" s="94"/>
      <c r="B105" s="159"/>
      <c r="C105" s="87">
        <f t="shared" ref="C105:I105" si="51">IF(ISBLANK(C104),"",VLOOKUP(C104,$B$110:$L$146,11,0))</f>
        <v>0</v>
      </c>
      <c r="D105" s="87" t="str">
        <f t="shared" si="51"/>
        <v/>
      </c>
      <c r="E105" s="87">
        <f t="shared" si="51"/>
        <v>0</v>
      </c>
      <c r="F105" s="87" t="str">
        <f t="shared" si="51"/>
        <v/>
      </c>
      <c r="G105" s="87" t="str">
        <f t="shared" si="51"/>
        <v/>
      </c>
      <c r="H105" s="87">
        <f t="shared" si="51"/>
        <v>0</v>
      </c>
      <c r="I105" s="87">
        <f t="shared" si="51"/>
        <v>0</v>
      </c>
      <c r="J105" s="161" t="s">
        <v>57</v>
      </c>
      <c r="K105" s="139"/>
      <c r="L105" s="91"/>
    </row>
    <row r="106" spans="1:12" s="39" customFormat="1" ht="13" customHeight="1" thickTop="1" x14ac:dyDescent="0.2">
      <c r="A106" s="74">
        <f>7-(COUNTIF(C106:I106,"")+COUNTIF(C106:I106,$B$144))</f>
        <v>5</v>
      </c>
      <c r="B106" s="158" t="s">
        <v>29</v>
      </c>
      <c r="C106" s="71" t="s">
        <v>41</v>
      </c>
      <c r="D106" s="71" t="s">
        <v>40</v>
      </c>
      <c r="E106" s="71" t="s">
        <v>40</v>
      </c>
      <c r="F106" s="71" t="s">
        <v>40</v>
      </c>
      <c r="G106" s="71" t="s">
        <v>40</v>
      </c>
      <c r="H106" s="86" t="s">
        <v>95</v>
      </c>
      <c r="I106" s="86" t="s">
        <v>95</v>
      </c>
      <c r="J106" s="160"/>
      <c r="K106" s="139">
        <v>5</v>
      </c>
      <c r="L106" s="91"/>
    </row>
    <row r="107" spans="1:12" s="39" customFormat="1" ht="13" customHeight="1" thickBot="1" x14ac:dyDescent="0.25">
      <c r="A107" s="90"/>
      <c r="B107" s="167"/>
      <c r="C107" s="93">
        <f t="shared" ref="C107:I107" si="52">IF(ISBLANK(C106),"",VLOOKUP(C106,$B$110:$L$146,11,0))</f>
        <v>0</v>
      </c>
      <c r="D107" s="93">
        <f t="shared" si="52"/>
        <v>0</v>
      </c>
      <c r="E107" s="93">
        <f t="shared" si="52"/>
        <v>0</v>
      </c>
      <c r="F107" s="93">
        <f t="shared" si="52"/>
        <v>0</v>
      </c>
      <c r="G107" s="93">
        <f t="shared" si="52"/>
        <v>0</v>
      </c>
      <c r="H107" s="93">
        <f t="shared" si="52"/>
        <v>0</v>
      </c>
      <c r="I107" s="93">
        <f t="shared" si="52"/>
        <v>0</v>
      </c>
      <c r="J107" s="168"/>
      <c r="K107" s="139"/>
      <c r="L107" s="91"/>
    </row>
    <row r="108" spans="1:12" s="39" customFormat="1" ht="13" customHeight="1" thickTop="1" x14ac:dyDescent="0.2">
      <c r="A108" s="90"/>
      <c r="B108" s="90"/>
      <c r="C108" s="95">
        <f>C5</f>
        <v>43101</v>
      </c>
      <c r="D108" s="95">
        <f t="shared" ref="D108:I108" si="53">C108+1</f>
        <v>43102</v>
      </c>
      <c r="E108" s="95">
        <f t="shared" si="53"/>
        <v>43103</v>
      </c>
      <c r="F108" s="95">
        <f t="shared" si="53"/>
        <v>43104</v>
      </c>
      <c r="G108" s="95">
        <f t="shared" si="53"/>
        <v>43105</v>
      </c>
      <c r="H108" s="95">
        <f t="shared" si="53"/>
        <v>43106</v>
      </c>
      <c r="I108" s="95">
        <f t="shared" si="53"/>
        <v>43107</v>
      </c>
      <c r="J108" s="90"/>
      <c r="K108" s="141"/>
      <c r="L108" s="91"/>
    </row>
    <row r="109" spans="1:12" ht="13" customHeight="1" x14ac:dyDescent="0.2">
      <c r="A109" s="94"/>
      <c r="B109" s="96" t="s">
        <v>39</v>
      </c>
      <c r="C109" s="97"/>
      <c r="D109" s="97"/>
      <c r="E109" s="97"/>
      <c r="F109" s="97"/>
      <c r="G109" s="90"/>
      <c r="H109" s="90"/>
      <c r="I109" s="90"/>
      <c r="J109" s="98" t="s">
        <v>98</v>
      </c>
      <c r="K109" s="141" t="s">
        <v>107</v>
      </c>
      <c r="L109" s="100" t="s">
        <v>97</v>
      </c>
    </row>
    <row r="110" spans="1:12" ht="13" customHeight="1" x14ac:dyDescent="0.2">
      <c r="A110" s="94"/>
      <c r="B110" s="101" t="s">
        <v>117</v>
      </c>
      <c r="C110" s="102">
        <f t="shared" ref="C110:I119" si="54">COUNTIF(C$6:C$107,$B110)</f>
        <v>0</v>
      </c>
      <c r="D110" s="102">
        <f t="shared" si="54"/>
        <v>0</v>
      </c>
      <c r="E110" s="102">
        <f t="shared" si="54"/>
        <v>0</v>
      </c>
      <c r="F110" s="102">
        <f t="shared" si="54"/>
        <v>0</v>
      </c>
      <c r="G110" s="102">
        <f t="shared" si="54"/>
        <v>0</v>
      </c>
      <c r="H110" s="102">
        <f t="shared" si="54"/>
        <v>0</v>
      </c>
      <c r="I110" s="102">
        <f t="shared" si="54"/>
        <v>0</v>
      </c>
      <c r="J110" s="103">
        <f t="shared" ref="J110:J146" si="55">SUM(C110:I110)</f>
        <v>0</v>
      </c>
      <c r="K110" s="141"/>
      <c r="L110" s="104" t="s">
        <v>118</v>
      </c>
    </row>
    <row r="111" spans="1:12" ht="13" customHeight="1" x14ac:dyDescent="0.2">
      <c r="A111" s="94"/>
      <c r="B111" s="54" t="s">
        <v>160</v>
      </c>
      <c r="C111" s="102">
        <f t="shared" si="54"/>
        <v>0</v>
      </c>
      <c r="D111" s="102">
        <f t="shared" si="54"/>
        <v>0</v>
      </c>
      <c r="E111" s="102">
        <f t="shared" si="54"/>
        <v>0</v>
      </c>
      <c r="F111" s="102">
        <f t="shared" si="54"/>
        <v>0</v>
      </c>
      <c r="G111" s="102">
        <f t="shared" si="54"/>
        <v>0</v>
      </c>
      <c r="H111" s="102">
        <f t="shared" si="54"/>
        <v>0</v>
      </c>
      <c r="I111" s="102">
        <f t="shared" si="54"/>
        <v>0</v>
      </c>
      <c r="J111" s="103"/>
      <c r="K111" s="141"/>
      <c r="L111" s="104" t="s">
        <v>116</v>
      </c>
    </row>
    <row r="112" spans="1:12" ht="13" customHeight="1" x14ac:dyDescent="0.2">
      <c r="A112" s="94"/>
      <c r="B112" s="105" t="s">
        <v>79</v>
      </c>
      <c r="C112" s="102">
        <f t="shared" si="54"/>
        <v>0</v>
      </c>
      <c r="D112" s="102">
        <f t="shared" si="54"/>
        <v>1</v>
      </c>
      <c r="E112" s="102">
        <f t="shared" si="54"/>
        <v>1</v>
      </c>
      <c r="F112" s="102">
        <f t="shared" si="54"/>
        <v>1</v>
      </c>
      <c r="G112" s="102">
        <f t="shared" si="54"/>
        <v>1</v>
      </c>
      <c r="H112" s="102">
        <f t="shared" si="54"/>
        <v>1</v>
      </c>
      <c r="I112" s="102">
        <f t="shared" si="54"/>
        <v>1</v>
      </c>
      <c r="J112" s="103">
        <f t="shared" si="55"/>
        <v>6</v>
      </c>
      <c r="K112" s="141">
        <v>7</v>
      </c>
      <c r="L112" s="104" t="s">
        <v>34</v>
      </c>
    </row>
    <row r="113" spans="1:12" ht="13" customHeight="1" x14ac:dyDescent="0.2">
      <c r="A113" s="94"/>
      <c r="B113" s="70" t="s">
        <v>150</v>
      </c>
      <c r="C113" s="102">
        <f t="shared" si="54"/>
        <v>1</v>
      </c>
      <c r="D113" s="102">
        <f t="shared" si="54"/>
        <v>1</v>
      </c>
      <c r="E113" s="102">
        <f t="shared" si="54"/>
        <v>1</v>
      </c>
      <c r="F113" s="102">
        <f t="shared" si="54"/>
        <v>1</v>
      </c>
      <c r="G113" s="102">
        <f t="shared" si="54"/>
        <v>1</v>
      </c>
      <c r="H113" s="102">
        <f t="shared" si="54"/>
        <v>1</v>
      </c>
      <c r="I113" s="102">
        <f t="shared" si="54"/>
        <v>1</v>
      </c>
      <c r="J113" s="103">
        <f t="shared" si="55"/>
        <v>7</v>
      </c>
      <c r="K113" s="141">
        <v>7</v>
      </c>
      <c r="L113" s="104" t="s">
        <v>34</v>
      </c>
    </row>
    <row r="114" spans="1:12" ht="13" customHeight="1" x14ac:dyDescent="0.2">
      <c r="A114" s="94"/>
      <c r="B114" s="106" t="s">
        <v>80</v>
      </c>
      <c r="C114" s="102">
        <f t="shared" si="54"/>
        <v>1</v>
      </c>
      <c r="D114" s="102">
        <f t="shared" si="54"/>
        <v>1</v>
      </c>
      <c r="E114" s="102">
        <f t="shared" si="54"/>
        <v>1</v>
      </c>
      <c r="F114" s="102">
        <f t="shared" si="54"/>
        <v>1</v>
      </c>
      <c r="G114" s="102">
        <f t="shared" si="54"/>
        <v>1</v>
      </c>
      <c r="H114" s="102">
        <f t="shared" si="54"/>
        <v>1</v>
      </c>
      <c r="I114" s="102">
        <f t="shared" si="54"/>
        <v>1</v>
      </c>
      <c r="J114" s="103">
        <f t="shared" si="55"/>
        <v>7</v>
      </c>
      <c r="K114" s="141">
        <v>7</v>
      </c>
      <c r="L114" s="104" t="s">
        <v>32</v>
      </c>
    </row>
    <row r="115" spans="1:12" ht="13" customHeight="1" x14ac:dyDescent="0.2">
      <c r="A115" s="94"/>
      <c r="B115" s="107" t="s">
        <v>81</v>
      </c>
      <c r="C115" s="102">
        <f t="shared" si="54"/>
        <v>0</v>
      </c>
      <c r="D115" s="102">
        <f t="shared" si="54"/>
        <v>1</v>
      </c>
      <c r="E115" s="102">
        <f t="shared" si="54"/>
        <v>1</v>
      </c>
      <c r="F115" s="102">
        <f t="shared" si="54"/>
        <v>1</v>
      </c>
      <c r="G115" s="102">
        <f t="shared" si="54"/>
        <v>1</v>
      </c>
      <c r="H115" s="102">
        <f t="shared" si="54"/>
        <v>1</v>
      </c>
      <c r="I115" s="102">
        <f t="shared" si="54"/>
        <v>1</v>
      </c>
      <c r="J115" s="103">
        <f t="shared" si="55"/>
        <v>6</v>
      </c>
      <c r="K115" s="141">
        <v>7</v>
      </c>
      <c r="L115" s="104" t="s">
        <v>36</v>
      </c>
    </row>
    <row r="116" spans="1:12" ht="13" customHeight="1" x14ac:dyDescent="0.2">
      <c r="A116" s="90"/>
      <c r="B116" s="73" t="s">
        <v>154</v>
      </c>
      <c r="C116" s="102">
        <f t="shared" si="54"/>
        <v>0</v>
      </c>
      <c r="D116" s="102">
        <f t="shared" si="54"/>
        <v>0</v>
      </c>
      <c r="E116" s="102">
        <f t="shared" si="54"/>
        <v>1</v>
      </c>
      <c r="F116" s="102">
        <f t="shared" si="54"/>
        <v>1</v>
      </c>
      <c r="G116" s="102">
        <f t="shared" si="54"/>
        <v>0</v>
      </c>
      <c r="H116" s="102">
        <f t="shared" si="54"/>
        <v>1</v>
      </c>
      <c r="I116" s="102">
        <f t="shared" si="54"/>
        <v>1</v>
      </c>
      <c r="J116" s="103">
        <f t="shared" si="55"/>
        <v>4</v>
      </c>
      <c r="K116" s="141">
        <v>7</v>
      </c>
      <c r="L116" s="104" t="s">
        <v>125</v>
      </c>
    </row>
    <row r="117" spans="1:12" ht="13" customHeight="1" x14ac:dyDescent="0.2">
      <c r="A117" s="94"/>
      <c r="B117" s="108" t="s">
        <v>103</v>
      </c>
      <c r="C117" s="102">
        <f t="shared" si="54"/>
        <v>0</v>
      </c>
      <c r="D117" s="102">
        <f t="shared" si="54"/>
        <v>0</v>
      </c>
      <c r="E117" s="102">
        <f t="shared" si="54"/>
        <v>0</v>
      </c>
      <c r="F117" s="102">
        <f t="shared" si="54"/>
        <v>0</v>
      </c>
      <c r="G117" s="102">
        <f t="shared" si="54"/>
        <v>0</v>
      </c>
      <c r="H117" s="102">
        <f t="shared" si="54"/>
        <v>0</v>
      </c>
      <c r="I117" s="102">
        <f t="shared" si="54"/>
        <v>0</v>
      </c>
      <c r="J117" s="103">
        <f t="shared" si="55"/>
        <v>0</v>
      </c>
      <c r="K117" s="141">
        <v>0</v>
      </c>
      <c r="L117" s="104" t="s">
        <v>38</v>
      </c>
    </row>
    <row r="118" spans="1:12" ht="13" customHeight="1" x14ac:dyDescent="0.2">
      <c r="A118" s="94"/>
      <c r="B118" s="109" t="s">
        <v>149</v>
      </c>
      <c r="C118" s="102">
        <f t="shared" si="54"/>
        <v>1</v>
      </c>
      <c r="D118" s="102">
        <f t="shared" si="54"/>
        <v>1</v>
      </c>
      <c r="E118" s="102">
        <f t="shared" si="54"/>
        <v>1</v>
      </c>
      <c r="F118" s="102">
        <f t="shared" si="54"/>
        <v>1</v>
      </c>
      <c r="G118" s="102">
        <f t="shared" si="54"/>
        <v>1</v>
      </c>
      <c r="H118" s="102">
        <f t="shared" si="54"/>
        <v>1</v>
      </c>
      <c r="I118" s="102">
        <f t="shared" si="54"/>
        <v>1</v>
      </c>
      <c r="J118" s="103">
        <f t="shared" si="55"/>
        <v>7</v>
      </c>
      <c r="K118" s="141">
        <v>7</v>
      </c>
      <c r="L118" s="104" t="s">
        <v>34</v>
      </c>
    </row>
    <row r="119" spans="1:12" ht="13" customHeight="1" x14ac:dyDescent="0.2">
      <c r="A119" s="94"/>
      <c r="B119" s="110" t="s">
        <v>122</v>
      </c>
      <c r="C119" s="102">
        <f t="shared" si="54"/>
        <v>1</v>
      </c>
      <c r="D119" s="102">
        <f t="shared" si="54"/>
        <v>1</v>
      </c>
      <c r="E119" s="102">
        <f t="shared" si="54"/>
        <v>1</v>
      </c>
      <c r="F119" s="102">
        <f t="shared" si="54"/>
        <v>1</v>
      </c>
      <c r="G119" s="102">
        <f t="shared" si="54"/>
        <v>1</v>
      </c>
      <c r="H119" s="102">
        <f t="shared" si="54"/>
        <v>1</v>
      </c>
      <c r="I119" s="102">
        <f t="shared" si="54"/>
        <v>1</v>
      </c>
      <c r="J119" s="103">
        <f>SUM(C119:I119)</f>
        <v>7</v>
      </c>
      <c r="K119" s="141">
        <v>7</v>
      </c>
      <c r="L119" s="104" t="s">
        <v>32</v>
      </c>
    </row>
    <row r="120" spans="1:12" ht="13" customHeight="1" x14ac:dyDescent="0.2">
      <c r="A120" s="94"/>
      <c r="B120" s="111" t="s">
        <v>82</v>
      </c>
      <c r="C120" s="102">
        <f t="shared" ref="C120:I129" si="56">COUNTIF(C$6:C$107,$B120)</f>
        <v>2</v>
      </c>
      <c r="D120" s="102">
        <f t="shared" si="56"/>
        <v>2</v>
      </c>
      <c r="E120" s="102">
        <f t="shared" si="56"/>
        <v>2</v>
      </c>
      <c r="F120" s="102">
        <f t="shared" si="56"/>
        <v>2</v>
      </c>
      <c r="G120" s="102">
        <f t="shared" si="56"/>
        <v>2</v>
      </c>
      <c r="H120" s="102">
        <f t="shared" si="56"/>
        <v>2</v>
      </c>
      <c r="I120" s="102">
        <f t="shared" si="56"/>
        <v>2</v>
      </c>
      <c r="J120" s="103">
        <f t="shared" si="55"/>
        <v>14</v>
      </c>
      <c r="K120" s="141">
        <v>14</v>
      </c>
      <c r="L120" s="104" t="s">
        <v>32</v>
      </c>
    </row>
    <row r="121" spans="1:12" ht="13" customHeight="1" x14ac:dyDescent="0.2">
      <c r="A121" s="94"/>
      <c r="B121" s="111" t="s">
        <v>83</v>
      </c>
      <c r="C121" s="102">
        <f t="shared" si="56"/>
        <v>1</v>
      </c>
      <c r="D121" s="102">
        <f t="shared" si="56"/>
        <v>1</v>
      </c>
      <c r="E121" s="102">
        <f t="shared" si="56"/>
        <v>1</v>
      </c>
      <c r="F121" s="102">
        <f t="shared" si="56"/>
        <v>1</v>
      </c>
      <c r="G121" s="102">
        <f t="shared" si="56"/>
        <v>1</v>
      </c>
      <c r="H121" s="102">
        <f t="shared" si="56"/>
        <v>1</v>
      </c>
      <c r="I121" s="102">
        <f t="shared" si="56"/>
        <v>1</v>
      </c>
      <c r="J121" s="103">
        <f t="shared" si="55"/>
        <v>7</v>
      </c>
      <c r="K121" s="141">
        <v>7</v>
      </c>
      <c r="L121" s="104" t="s">
        <v>34</v>
      </c>
    </row>
    <row r="122" spans="1:12" ht="13" customHeight="1" x14ac:dyDescent="0.2">
      <c r="A122" s="94"/>
      <c r="B122" s="111" t="s">
        <v>109</v>
      </c>
      <c r="C122" s="102">
        <f t="shared" si="56"/>
        <v>0</v>
      </c>
      <c r="D122" s="102">
        <f t="shared" si="56"/>
        <v>0</v>
      </c>
      <c r="E122" s="102">
        <f t="shared" si="56"/>
        <v>0</v>
      </c>
      <c r="F122" s="102">
        <f t="shared" si="56"/>
        <v>0</v>
      </c>
      <c r="G122" s="102">
        <f t="shared" si="56"/>
        <v>0</v>
      </c>
      <c r="H122" s="102">
        <f t="shared" si="56"/>
        <v>0</v>
      </c>
      <c r="I122" s="102">
        <f t="shared" si="56"/>
        <v>0</v>
      </c>
      <c r="J122" s="103">
        <f t="shared" si="55"/>
        <v>0</v>
      </c>
      <c r="K122" s="141"/>
      <c r="L122" s="104" t="s">
        <v>126</v>
      </c>
    </row>
    <row r="123" spans="1:12" ht="13" customHeight="1" x14ac:dyDescent="0.2">
      <c r="A123" s="94"/>
      <c r="B123" s="112" t="s">
        <v>84</v>
      </c>
      <c r="C123" s="102">
        <f t="shared" si="56"/>
        <v>3</v>
      </c>
      <c r="D123" s="102">
        <f t="shared" si="56"/>
        <v>3</v>
      </c>
      <c r="E123" s="102">
        <f t="shared" si="56"/>
        <v>3</v>
      </c>
      <c r="F123" s="102">
        <f t="shared" si="56"/>
        <v>3</v>
      </c>
      <c r="G123" s="102">
        <f t="shared" si="56"/>
        <v>3</v>
      </c>
      <c r="H123" s="102">
        <f t="shared" si="56"/>
        <v>3</v>
      </c>
      <c r="I123" s="102">
        <f t="shared" si="56"/>
        <v>2</v>
      </c>
      <c r="J123" s="103">
        <f t="shared" si="55"/>
        <v>20</v>
      </c>
      <c r="K123" s="141">
        <v>21</v>
      </c>
      <c r="L123" s="104" t="s">
        <v>35</v>
      </c>
    </row>
    <row r="124" spans="1:12" ht="13" customHeight="1" x14ac:dyDescent="0.2">
      <c r="A124" s="94"/>
      <c r="B124" s="113" t="s">
        <v>123</v>
      </c>
      <c r="C124" s="102">
        <f t="shared" si="56"/>
        <v>1</v>
      </c>
      <c r="D124" s="102">
        <f t="shared" si="56"/>
        <v>1</v>
      </c>
      <c r="E124" s="102">
        <f t="shared" si="56"/>
        <v>1</v>
      </c>
      <c r="F124" s="102">
        <f t="shared" si="56"/>
        <v>1</v>
      </c>
      <c r="G124" s="102">
        <f t="shared" si="56"/>
        <v>1</v>
      </c>
      <c r="H124" s="102">
        <f t="shared" si="56"/>
        <v>1</v>
      </c>
      <c r="I124" s="102">
        <f t="shared" si="56"/>
        <v>1</v>
      </c>
      <c r="J124" s="103">
        <f>SUM(C124:I124)</f>
        <v>7</v>
      </c>
      <c r="K124" s="141">
        <v>7</v>
      </c>
      <c r="L124" s="104" t="s">
        <v>36</v>
      </c>
    </row>
    <row r="125" spans="1:12" ht="13" customHeight="1" x14ac:dyDescent="0.2">
      <c r="A125" s="94"/>
      <c r="B125" s="112" t="s">
        <v>85</v>
      </c>
      <c r="C125" s="102">
        <f t="shared" si="56"/>
        <v>1</v>
      </c>
      <c r="D125" s="102">
        <f t="shared" si="56"/>
        <v>1</v>
      </c>
      <c r="E125" s="102">
        <f t="shared" si="56"/>
        <v>1</v>
      </c>
      <c r="F125" s="102">
        <f t="shared" si="56"/>
        <v>1</v>
      </c>
      <c r="G125" s="102">
        <f t="shared" si="56"/>
        <v>1</v>
      </c>
      <c r="H125" s="102">
        <f t="shared" si="56"/>
        <v>1</v>
      </c>
      <c r="I125" s="102">
        <f t="shared" si="56"/>
        <v>1</v>
      </c>
      <c r="J125" s="103">
        <f t="shared" si="55"/>
        <v>7</v>
      </c>
      <c r="K125" s="141">
        <v>7</v>
      </c>
      <c r="L125" s="104" t="s">
        <v>36</v>
      </c>
    </row>
    <row r="126" spans="1:12" ht="13" customHeight="1" x14ac:dyDescent="0.2">
      <c r="A126" s="94"/>
      <c r="B126" s="114" t="s">
        <v>110</v>
      </c>
      <c r="C126" s="102">
        <f t="shared" si="56"/>
        <v>0</v>
      </c>
      <c r="D126" s="102">
        <f t="shared" si="56"/>
        <v>1</v>
      </c>
      <c r="E126" s="102">
        <f t="shared" si="56"/>
        <v>1</v>
      </c>
      <c r="F126" s="102">
        <f t="shared" si="56"/>
        <v>1</v>
      </c>
      <c r="G126" s="102">
        <f t="shared" si="56"/>
        <v>1</v>
      </c>
      <c r="H126" s="102">
        <f t="shared" si="56"/>
        <v>1</v>
      </c>
      <c r="I126" s="102">
        <f t="shared" si="56"/>
        <v>1</v>
      </c>
      <c r="J126" s="103">
        <f t="shared" si="55"/>
        <v>6</v>
      </c>
      <c r="K126" s="141">
        <v>7</v>
      </c>
      <c r="L126" s="104" t="s">
        <v>38</v>
      </c>
    </row>
    <row r="127" spans="1:12" ht="13" customHeight="1" x14ac:dyDescent="0.2">
      <c r="A127" s="94"/>
      <c r="B127" s="115" t="s">
        <v>86</v>
      </c>
      <c r="C127" s="102">
        <f t="shared" si="56"/>
        <v>0</v>
      </c>
      <c r="D127" s="102">
        <f t="shared" si="56"/>
        <v>0</v>
      </c>
      <c r="E127" s="102">
        <f t="shared" si="56"/>
        <v>0</v>
      </c>
      <c r="F127" s="102">
        <f t="shared" si="56"/>
        <v>0</v>
      </c>
      <c r="G127" s="102">
        <f t="shared" si="56"/>
        <v>0</v>
      </c>
      <c r="H127" s="102">
        <f t="shared" si="56"/>
        <v>0</v>
      </c>
      <c r="I127" s="102">
        <f t="shared" si="56"/>
        <v>0</v>
      </c>
      <c r="J127" s="103">
        <f t="shared" si="55"/>
        <v>0</v>
      </c>
      <c r="K127" s="141">
        <v>19</v>
      </c>
      <c r="L127" s="104" t="s">
        <v>32</v>
      </c>
    </row>
    <row r="128" spans="1:12" ht="13" customHeight="1" x14ac:dyDescent="0.2">
      <c r="A128" s="94"/>
      <c r="B128" s="115" t="s">
        <v>87</v>
      </c>
      <c r="C128" s="102">
        <f t="shared" si="56"/>
        <v>0</v>
      </c>
      <c r="D128" s="102">
        <f t="shared" si="56"/>
        <v>4</v>
      </c>
      <c r="E128" s="102">
        <f t="shared" si="56"/>
        <v>4</v>
      </c>
      <c r="F128" s="102">
        <f t="shared" si="56"/>
        <v>5</v>
      </c>
      <c r="G128" s="102">
        <f t="shared" si="56"/>
        <v>5</v>
      </c>
      <c r="H128" s="102">
        <f t="shared" si="56"/>
        <v>0</v>
      </c>
      <c r="I128" s="102">
        <f t="shared" si="56"/>
        <v>0</v>
      </c>
      <c r="J128" s="103">
        <f t="shared" si="55"/>
        <v>18</v>
      </c>
      <c r="K128" s="141">
        <v>20</v>
      </c>
      <c r="L128" s="104" t="s">
        <v>116</v>
      </c>
    </row>
    <row r="129" spans="1:12" ht="13" customHeight="1" x14ac:dyDescent="0.2">
      <c r="A129" s="94"/>
      <c r="B129" s="116" t="s">
        <v>88</v>
      </c>
      <c r="C129" s="102">
        <f t="shared" si="56"/>
        <v>0</v>
      </c>
      <c r="D129" s="102">
        <f t="shared" si="56"/>
        <v>0</v>
      </c>
      <c r="E129" s="102">
        <f t="shared" si="56"/>
        <v>0</v>
      </c>
      <c r="F129" s="102">
        <f t="shared" si="56"/>
        <v>0</v>
      </c>
      <c r="G129" s="102">
        <f t="shared" si="56"/>
        <v>0</v>
      </c>
      <c r="H129" s="102">
        <f t="shared" si="56"/>
        <v>0</v>
      </c>
      <c r="I129" s="102">
        <f t="shared" si="56"/>
        <v>0</v>
      </c>
      <c r="J129" s="103">
        <f t="shared" si="55"/>
        <v>0</v>
      </c>
      <c r="K129" s="141">
        <v>6</v>
      </c>
      <c r="L129" s="104" t="s">
        <v>36</v>
      </c>
    </row>
    <row r="130" spans="1:12" ht="13" customHeight="1" x14ac:dyDescent="0.2">
      <c r="A130" s="94"/>
      <c r="B130" s="117" t="s">
        <v>89</v>
      </c>
      <c r="C130" s="102">
        <f t="shared" ref="C130:I135" si="57">COUNTIF(C$6:C$107,$B130)</f>
        <v>0</v>
      </c>
      <c r="D130" s="102">
        <f t="shared" si="57"/>
        <v>1</v>
      </c>
      <c r="E130" s="102">
        <f t="shared" si="57"/>
        <v>0</v>
      </c>
      <c r="F130" s="102">
        <f t="shared" si="57"/>
        <v>1</v>
      </c>
      <c r="G130" s="102">
        <f t="shared" si="57"/>
        <v>1</v>
      </c>
      <c r="H130" s="102">
        <f t="shared" si="57"/>
        <v>0</v>
      </c>
      <c r="I130" s="102">
        <f t="shared" si="57"/>
        <v>0</v>
      </c>
      <c r="J130" s="103">
        <f t="shared" si="55"/>
        <v>3</v>
      </c>
      <c r="K130" s="141">
        <v>5</v>
      </c>
      <c r="L130" s="104" t="s">
        <v>37</v>
      </c>
    </row>
    <row r="131" spans="1:12" ht="13" customHeight="1" x14ac:dyDescent="0.2">
      <c r="A131" s="94"/>
      <c r="B131" s="118" t="s">
        <v>90</v>
      </c>
      <c r="C131" s="102">
        <f t="shared" si="57"/>
        <v>1</v>
      </c>
      <c r="D131" s="102">
        <f t="shared" si="57"/>
        <v>0</v>
      </c>
      <c r="E131" s="102">
        <f t="shared" si="57"/>
        <v>1</v>
      </c>
      <c r="F131" s="102">
        <f t="shared" si="57"/>
        <v>1</v>
      </c>
      <c r="G131" s="102">
        <f t="shared" si="57"/>
        <v>1</v>
      </c>
      <c r="H131" s="102">
        <f t="shared" si="57"/>
        <v>1</v>
      </c>
      <c r="I131" s="102">
        <f t="shared" si="57"/>
        <v>1</v>
      </c>
      <c r="J131" s="103">
        <f t="shared" si="55"/>
        <v>6</v>
      </c>
      <c r="K131" s="141">
        <v>7</v>
      </c>
      <c r="L131" s="104" t="s">
        <v>32</v>
      </c>
    </row>
    <row r="132" spans="1:12" ht="13" customHeight="1" x14ac:dyDescent="0.2">
      <c r="A132" s="94"/>
      <c r="B132" s="118" t="s">
        <v>91</v>
      </c>
      <c r="C132" s="102">
        <f t="shared" si="57"/>
        <v>1</v>
      </c>
      <c r="D132" s="102">
        <f t="shared" si="57"/>
        <v>1</v>
      </c>
      <c r="E132" s="102">
        <f t="shared" si="57"/>
        <v>1</v>
      </c>
      <c r="F132" s="102">
        <f t="shared" si="57"/>
        <v>1</v>
      </c>
      <c r="G132" s="102">
        <f t="shared" si="57"/>
        <v>1</v>
      </c>
      <c r="H132" s="102">
        <f t="shared" si="57"/>
        <v>1</v>
      </c>
      <c r="I132" s="102">
        <f t="shared" si="57"/>
        <v>1</v>
      </c>
      <c r="J132" s="103">
        <f t="shared" si="55"/>
        <v>7</v>
      </c>
      <c r="K132" s="141">
        <v>7</v>
      </c>
      <c r="L132" s="104" t="s">
        <v>32</v>
      </c>
    </row>
    <row r="133" spans="1:12" ht="13" customHeight="1" x14ac:dyDescent="0.2">
      <c r="A133" s="94"/>
      <c r="B133" s="118" t="s">
        <v>92</v>
      </c>
      <c r="C133" s="102">
        <f t="shared" si="57"/>
        <v>1</v>
      </c>
      <c r="D133" s="102">
        <f t="shared" si="57"/>
        <v>1</v>
      </c>
      <c r="E133" s="102">
        <f t="shared" si="57"/>
        <v>1</v>
      </c>
      <c r="F133" s="102">
        <f t="shared" si="57"/>
        <v>1</v>
      </c>
      <c r="G133" s="102">
        <f t="shared" si="57"/>
        <v>1</v>
      </c>
      <c r="H133" s="102">
        <f t="shared" si="57"/>
        <v>1</v>
      </c>
      <c r="I133" s="102">
        <f t="shared" si="57"/>
        <v>1</v>
      </c>
      <c r="J133" s="103">
        <f t="shared" si="55"/>
        <v>7</v>
      </c>
      <c r="K133" s="141">
        <v>7</v>
      </c>
      <c r="L133" s="104" t="s">
        <v>96</v>
      </c>
    </row>
    <row r="134" spans="1:12" ht="13" customHeight="1" x14ac:dyDescent="0.2">
      <c r="A134" s="94"/>
      <c r="B134" s="119" t="s">
        <v>31</v>
      </c>
      <c r="C134" s="102">
        <f t="shared" si="57"/>
        <v>1</v>
      </c>
      <c r="D134" s="102">
        <f t="shared" si="57"/>
        <v>1</v>
      </c>
      <c r="E134" s="102">
        <f t="shared" si="57"/>
        <v>1</v>
      </c>
      <c r="F134" s="102">
        <f t="shared" si="57"/>
        <v>1</v>
      </c>
      <c r="G134" s="102">
        <f t="shared" si="57"/>
        <v>1</v>
      </c>
      <c r="H134" s="102">
        <f t="shared" si="57"/>
        <v>1</v>
      </c>
      <c r="I134" s="102">
        <f t="shared" si="57"/>
        <v>1</v>
      </c>
      <c r="J134" s="103">
        <f t="shared" si="55"/>
        <v>7</v>
      </c>
      <c r="K134" s="141">
        <v>7</v>
      </c>
      <c r="L134" s="104" t="s">
        <v>32</v>
      </c>
    </row>
    <row r="135" spans="1:12" ht="13" customHeight="1" x14ac:dyDescent="0.2">
      <c r="A135" s="94"/>
      <c r="B135" s="120" t="s">
        <v>93</v>
      </c>
      <c r="C135" s="102">
        <f t="shared" si="57"/>
        <v>1</v>
      </c>
      <c r="D135" s="102">
        <f t="shared" si="57"/>
        <v>1</v>
      </c>
      <c r="E135" s="102">
        <f t="shared" si="57"/>
        <v>1</v>
      </c>
      <c r="F135" s="102">
        <f t="shared" si="57"/>
        <v>1</v>
      </c>
      <c r="G135" s="102">
        <f t="shared" si="57"/>
        <v>1</v>
      </c>
      <c r="H135" s="102">
        <f t="shared" si="57"/>
        <v>1</v>
      </c>
      <c r="I135" s="102">
        <f t="shared" si="57"/>
        <v>1</v>
      </c>
      <c r="J135" s="103">
        <f t="shared" si="55"/>
        <v>7</v>
      </c>
      <c r="K135" s="141">
        <v>7</v>
      </c>
      <c r="L135" s="104" t="s">
        <v>32</v>
      </c>
    </row>
    <row r="136" spans="1:12" ht="13" customHeight="1" x14ac:dyDescent="0.2">
      <c r="A136" s="90"/>
      <c r="B136" s="121" t="s">
        <v>137</v>
      </c>
      <c r="C136" s="102">
        <f t="shared" ref="C136:I138" si="58">COUNTIF(C$6:C$115,Actions)</f>
        <v>1</v>
      </c>
      <c r="D136" s="102">
        <f t="shared" si="58"/>
        <v>1</v>
      </c>
      <c r="E136" s="102">
        <f t="shared" si="58"/>
        <v>1</v>
      </c>
      <c r="F136" s="102">
        <f t="shared" si="58"/>
        <v>1</v>
      </c>
      <c r="G136" s="102">
        <f t="shared" si="58"/>
        <v>1</v>
      </c>
      <c r="H136" s="102">
        <f t="shared" si="58"/>
        <v>1</v>
      </c>
      <c r="I136" s="102">
        <f t="shared" si="58"/>
        <v>1</v>
      </c>
      <c r="J136" s="103">
        <f t="shared" si="55"/>
        <v>7</v>
      </c>
      <c r="K136" s="142">
        <v>7</v>
      </c>
      <c r="L136" s="123" t="s">
        <v>32</v>
      </c>
    </row>
    <row r="137" spans="1:12" ht="13" customHeight="1" x14ac:dyDescent="0.2">
      <c r="A137" s="90"/>
      <c r="B137" s="124" t="s">
        <v>139</v>
      </c>
      <c r="C137" s="102">
        <f t="shared" si="58"/>
        <v>1</v>
      </c>
      <c r="D137" s="102">
        <f t="shared" si="58"/>
        <v>1</v>
      </c>
      <c r="E137" s="102">
        <f t="shared" si="58"/>
        <v>1</v>
      </c>
      <c r="F137" s="102">
        <f t="shared" si="58"/>
        <v>1</v>
      </c>
      <c r="G137" s="102">
        <f t="shared" si="58"/>
        <v>1</v>
      </c>
      <c r="H137" s="102">
        <f t="shared" si="58"/>
        <v>1</v>
      </c>
      <c r="I137" s="102">
        <f t="shared" si="58"/>
        <v>1</v>
      </c>
      <c r="J137" s="103">
        <f t="shared" si="55"/>
        <v>7</v>
      </c>
      <c r="K137" s="143">
        <v>7</v>
      </c>
      <c r="L137" s="123" t="s">
        <v>140</v>
      </c>
    </row>
    <row r="138" spans="1:12" ht="13" customHeight="1" x14ac:dyDescent="0.2">
      <c r="A138" s="90"/>
      <c r="B138" s="126" t="s">
        <v>138</v>
      </c>
      <c r="C138" s="102">
        <f t="shared" si="58"/>
        <v>1</v>
      </c>
      <c r="D138" s="102">
        <f t="shared" si="58"/>
        <v>1</v>
      </c>
      <c r="E138" s="102">
        <f t="shared" si="58"/>
        <v>1</v>
      </c>
      <c r="F138" s="102">
        <f t="shared" si="58"/>
        <v>1</v>
      </c>
      <c r="G138" s="102">
        <f t="shared" si="58"/>
        <v>1</v>
      </c>
      <c r="H138" s="102">
        <f t="shared" si="58"/>
        <v>1</v>
      </c>
      <c r="I138" s="102">
        <f t="shared" si="58"/>
        <v>1</v>
      </c>
      <c r="J138" s="103">
        <f t="shared" si="55"/>
        <v>7</v>
      </c>
      <c r="K138" s="144">
        <v>7</v>
      </c>
      <c r="L138" s="123" t="s">
        <v>141</v>
      </c>
    </row>
    <row r="139" spans="1:12" ht="13" customHeight="1" x14ac:dyDescent="0.2">
      <c r="A139" s="94"/>
      <c r="B139" s="128" t="s">
        <v>151</v>
      </c>
      <c r="C139" s="102">
        <f t="shared" ref="C139:I146" si="59">COUNTIF(C$6:C$107,$B139)</f>
        <v>0</v>
      </c>
      <c r="D139" s="102">
        <f t="shared" si="59"/>
        <v>1</v>
      </c>
      <c r="E139" s="102">
        <f t="shared" si="59"/>
        <v>0</v>
      </c>
      <c r="F139" s="102">
        <f t="shared" si="59"/>
        <v>0</v>
      </c>
      <c r="G139" s="102">
        <f t="shared" si="59"/>
        <v>0</v>
      </c>
      <c r="H139" s="102">
        <f t="shared" si="59"/>
        <v>1</v>
      </c>
      <c r="I139" s="102">
        <f t="shared" si="59"/>
        <v>1</v>
      </c>
      <c r="J139" s="103">
        <f t="shared" si="55"/>
        <v>3</v>
      </c>
      <c r="K139" s="142">
        <v>2</v>
      </c>
      <c r="L139" s="123" t="s">
        <v>33</v>
      </c>
    </row>
    <row r="140" spans="1:12" ht="13" customHeight="1" x14ac:dyDescent="0.2">
      <c r="A140" s="94"/>
      <c r="B140" s="128" t="s">
        <v>94</v>
      </c>
      <c r="C140" s="102">
        <f t="shared" si="59"/>
        <v>1</v>
      </c>
      <c r="D140" s="102">
        <f t="shared" si="59"/>
        <v>0</v>
      </c>
      <c r="E140" s="102">
        <f t="shared" si="59"/>
        <v>0</v>
      </c>
      <c r="F140" s="102">
        <f t="shared" si="59"/>
        <v>0</v>
      </c>
      <c r="G140" s="102">
        <f t="shared" si="59"/>
        <v>0</v>
      </c>
      <c r="H140" s="102">
        <f t="shared" si="59"/>
        <v>0</v>
      </c>
      <c r="I140" s="102">
        <f t="shared" si="59"/>
        <v>0</v>
      </c>
      <c r="J140" s="103">
        <f t="shared" si="55"/>
        <v>1</v>
      </c>
      <c r="K140" s="143">
        <v>1</v>
      </c>
      <c r="L140" s="123" t="s">
        <v>33</v>
      </c>
    </row>
    <row r="141" spans="1:12" ht="13" customHeight="1" x14ac:dyDescent="0.2">
      <c r="A141" s="94"/>
      <c r="B141" s="129" t="s">
        <v>152</v>
      </c>
      <c r="C141" s="102">
        <f t="shared" si="59"/>
        <v>0</v>
      </c>
      <c r="D141" s="102">
        <f t="shared" si="59"/>
        <v>0</v>
      </c>
      <c r="E141" s="102">
        <f t="shared" si="59"/>
        <v>1</v>
      </c>
      <c r="F141" s="102">
        <f t="shared" si="59"/>
        <v>1</v>
      </c>
      <c r="G141" s="102">
        <f t="shared" si="59"/>
        <v>1</v>
      </c>
      <c r="H141" s="102">
        <f t="shared" si="59"/>
        <v>0</v>
      </c>
      <c r="I141" s="102">
        <f t="shared" si="59"/>
        <v>0</v>
      </c>
      <c r="J141" s="103">
        <f t="shared" si="55"/>
        <v>3</v>
      </c>
      <c r="K141" s="144">
        <v>5</v>
      </c>
      <c r="L141" s="123" t="s">
        <v>33</v>
      </c>
    </row>
    <row r="142" spans="1:12" ht="13" customHeight="1" x14ac:dyDescent="0.2">
      <c r="A142" s="94"/>
      <c r="B142" s="130" t="s">
        <v>40</v>
      </c>
      <c r="C142" s="102">
        <f t="shared" si="59"/>
        <v>0</v>
      </c>
      <c r="D142" s="102">
        <f t="shared" si="59"/>
        <v>7</v>
      </c>
      <c r="E142" s="102">
        <f t="shared" si="59"/>
        <v>7</v>
      </c>
      <c r="F142" s="102">
        <f t="shared" si="59"/>
        <v>5</v>
      </c>
      <c r="G142" s="102">
        <f t="shared" si="59"/>
        <v>5</v>
      </c>
      <c r="H142" s="102">
        <f t="shared" si="59"/>
        <v>0</v>
      </c>
      <c r="I142" s="102">
        <f t="shared" si="59"/>
        <v>0</v>
      </c>
      <c r="J142" s="103">
        <f t="shared" si="55"/>
        <v>24</v>
      </c>
      <c r="K142" s="144">
        <v>7</v>
      </c>
      <c r="L142" s="132"/>
    </row>
    <row r="143" spans="1:12" ht="13" customHeight="1" x14ac:dyDescent="0.2">
      <c r="A143" s="94"/>
      <c r="B143" s="130" t="s">
        <v>41</v>
      </c>
      <c r="C143" s="102">
        <f t="shared" si="59"/>
        <v>27</v>
      </c>
      <c r="D143" s="102">
        <f t="shared" si="59"/>
        <v>0</v>
      </c>
      <c r="E143" s="102">
        <f t="shared" si="59"/>
        <v>0</v>
      </c>
      <c r="F143" s="102">
        <f t="shared" si="59"/>
        <v>0</v>
      </c>
      <c r="G143" s="102">
        <f t="shared" si="59"/>
        <v>0</v>
      </c>
      <c r="H143" s="102">
        <f t="shared" si="59"/>
        <v>0</v>
      </c>
      <c r="I143" s="102">
        <f t="shared" si="59"/>
        <v>0</v>
      </c>
      <c r="J143" s="103">
        <f t="shared" si="55"/>
        <v>27</v>
      </c>
      <c r="K143" s="144">
        <v>0</v>
      </c>
      <c r="L143" s="132"/>
    </row>
    <row r="144" spans="1:12" ht="13" customHeight="1" x14ac:dyDescent="0.2">
      <c r="A144" s="94"/>
      <c r="B144" s="133" t="s">
        <v>95</v>
      </c>
      <c r="C144" s="102">
        <f t="shared" si="59"/>
        <v>0</v>
      </c>
      <c r="D144" s="102">
        <f t="shared" si="59"/>
        <v>3</v>
      </c>
      <c r="E144" s="102">
        <f t="shared" si="59"/>
        <v>2</v>
      </c>
      <c r="F144" s="102">
        <f t="shared" si="59"/>
        <v>1</v>
      </c>
      <c r="G144" s="102">
        <f t="shared" si="59"/>
        <v>2</v>
      </c>
      <c r="H144" s="102">
        <f t="shared" si="59"/>
        <v>19</v>
      </c>
      <c r="I144" s="102">
        <f t="shared" si="59"/>
        <v>22</v>
      </c>
      <c r="J144" s="103">
        <f t="shared" si="55"/>
        <v>49</v>
      </c>
      <c r="K144" s="144">
        <v>25</v>
      </c>
      <c r="L144" s="132"/>
    </row>
    <row r="145" spans="1:12" ht="13" customHeight="1" x14ac:dyDescent="0.2">
      <c r="A145" s="94"/>
      <c r="B145" s="134" t="s">
        <v>99</v>
      </c>
      <c r="C145" s="102">
        <f t="shared" si="59"/>
        <v>1</v>
      </c>
      <c r="D145" s="102">
        <f t="shared" si="59"/>
        <v>2</v>
      </c>
      <c r="E145" s="102">
        <f t="shared" si="59"/>
        <v>2</v>
      </c>
      <c r="F145" s="102">
        <f t="shared" si="59"/>
        <v>2</v>
      </c>
      <c r="G145" s="102">
        <f t="shared" si="59"/>
        <v>2</v>
      </c>
      <c r="H145" s="102">
        <f t="shared" si="59"/>
        <v>0</v>
      </c>
      <c r="I145" s="102">
        <f t="shared" si="59"/>
        <v>0</v>
      </c>
      <c r="J145" s="103">
        <f t="shared" si="55"/>
        <v>9</v>
      </c>
      <c r="K145" s="144">
        <v>0</v>
      </c>
      <c r="L145" s="132"/>
    </row>
    <row r="146" spans="1:12" ht="13" customHeight="1" x14ac:dyDescent="0.2">
      <c r="A146" s="94"/>
      <c r="B146" s="134" t="s">
        <v>100</v>
      </c>
      <c r="C146" s="102">
        <f t="shared" si="59"/>
        <v>2</v>
      </c>
      <c r="D146" s="102">
        <f t="shared" si="59"/>
        <v>0</v>
      </c>
      <c r="E146" s="102">
        <f t="shared" si="59"/>
        <v>0</v>
      </c>
      <c r="F146" s="102">
        <f t="shared" si="59"/>
        <v>0</v>
      </c>
      <c r="G146" s="102">
        <f t="shared" si="59"/>
        <v>0</v>
      </c>
      <c r="H146" s="102">
        <f t="shared" si="59"/>
        <v>0</v>
      </c>
      <c r="I146" s="102">
        <f t="shared" si="59"/>
        <v>1</v>
      </c>
      <c r="J146" s="103">
        <f t="shared" si="55"/>
        <v>3</v>
      </c>
      <c r="K146" s="144">
        <v>0</v>
      </c>
      <c r="L146" s="132" t="s">
        <v>101</v>
      </c>
    </row>
    <row r="147" spans="1:12" ht="13" customHeight="1" x14ac:dyDescent="0.2">
      <c r="A147" s="94"/>
      <c r="B147" s="135"/>
      <c r="C147" s="136">
        <f t="shared" ref="C147:I147" si="60">SUM(C110:C141)-SUM(C127:C130)-C110</f>
        <v>21</v>
      </c>
      <c r="D147" s="136">
        <f t="shared" si="60"/>
        <v>23</v>
      </c>
      <c r="E147" s="136">
        <f t="shared" si="60"/>
        <v>25</v>
      </c>
      <c r="F147" s="136">
        <f t="shared" si="60"/>
        <v>25</v>
      </c>
      <c r="G147" s="136">
        <f t="shared" si="60"/>
        <v>24</v>
      </c>
      <c r="H147" s="136">
        <f t="shared" si="60"/>
        <v>25</v>
      </c>
      <c r="I147" s="136">
        <f t="shared" si="60"/>
        <v>24</v>
      </c>
      <c r="J147" s="136">
        <f>SUM(J110:J141)</f>
        <v>188</v>
      </c>
      <c r="K147" s="141"/>
      <c r="L147" s="91"/>
    </row>
  </sheetData>
  <mergeCells count="104">
    <mergeCell ref="B106:B107"/>
    <mergeCell ref="J106:J107"/>
    <mergeCell ref="B102:B103"/>
    <mergeCell ref="J102:J103"/>
    <mergeCell ref="B104:B105"/>
    <mergeCell ref="J104:J105"/>
    <mergeCell ref="B96:B97"/>
    <mergeCell ref="J96:J97"/>
    <mergeCell ref="B98:B99"/>
    <mergeCell ref="J98:J99"/>
    <mergeCell ref="B100:B101"/>
    <mergeCell ref="J100:J101"/>
    <mergeCell ref="B90:B91"/>
    <mergeCell ref="J90:J91"/>
    <mergeCell ref="B92:B93"/>
    <mergeCell ref="J92:J93"/>
    <mergeCell ref="B94:B95"/>
    <mergeCell ref="J94:J95"/>
    <mergeCell ref="B84:B85"/>
    <mergeCell ref="J84:J85"/>
    <mergeCell ref="B86:B87"/>
    <mergeCell ref="J86:J87"/>
    <mergeCell ref="B88:B89"/>
    <mergeCell ref="J88:J89"/>
    <mergeCell ref="B78:B79"/>
    <mergeCell ref="J78:J79"/>
    <mergeCell ref="B80:B81"/>
    <mergeCell ref="J80:J81"/>
    <mergeCell ref="B82:B83"/>
    <mergeCell ref="J82:J83"/>
    <mergeCell ref="B72:B73"/>
    <mergeCell ref="J72:J73"/>
    <mergeCell ref="B74:B75"/>
    <mergeCell ref="J74:J75"/>
    <mergeCell ref="B76:B77"/>
    <mergeCell ref="J76:J77"/>
    <mergeCell ref="B68:B69"/>
    <mergeCell ref="J68:J69"/>
    <mergeCell ref="B70:B71"/>
    <mergeCell ref="J70:J71"/>
    <mergeCell ref="B64:B65"/>
    <mergeCell ref="J64:J65"/>
    <mergeCell ref="B66:B67"/>
    <mergeCell ref="J66:J67"/>
    <mergeCell ref="B58:B59"/>
    <mergeCell ref="J58:J59"/>
    <mergeCell ref="B60:B61"/>
    <mergeCell ref="J60:J61"/>
    <mergeCell ref="B62:B63"/>
    <mergeCell ref="J62:J63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</mergeCells>
  <conditionalFormatting sqref="C147:I147">
    <cfRule type="cellIs" dxfId="8740" priority="3211" operator="lessThan">
      <formula>22</formula>
    </cfRule>
  </conditionalFormatting>
  <conditionalFormatting sqref="C93:I93">
    <cfRule type="expression" dxfId="8739" priority="3206">
      <formula>C93=$B$116</formula>
    </cfRule>
  </conditionalFormatting>
  <conditionalFormatting sqref="C77:I77">
    <cfRule type="expression" dxfId="8738" priority="3203">
      <formula>C77=$B$116</formula>
    </cfRule>
  </conditionalFormatting>
  <conditionalFormatting sqref="C77:I77">
    <cfRule type="expression" dxfId="8737" priority="3204">
      <formula>C77=$B$111</formula>
    </cfRule>
  </conditionalFormatting>
  <conditionalFormatting sqref="H50">
    <cfRule type="expression" dxfId="8736" priority="3199">
      <formula>H50=$B$116</formula>
    </cfRule>
  </conditionalFormatting>
  <conditionalFormatting sqref="H50">
    <cfRule type="expression" dxfId="8735" priority="3200">
      <formula>H50=$B$111</formula>
    </cfRule>
  </conditionalFormatting>
  <conditionalFormatting sqref="C36">
    <cfRule type="expression" dxfId="8734" priority="3197">
      <formula>C36=$B$116</formula>
    </cfRule>
  </conditionalFormatting>
  <conditionalFormatting sqref="C36">
    <cfRule type="expression" dxfId="8733" priority="3198">
      <formula>C36=$B$111</formula>
    </cfRule>
  </conditionalFormatting>
  <conditionalFormatting sqref="C107:I107 C76 C89:I89 C91:I91 E38:I38 C94:D94 C50:I51 C59:I59 C99:I99 C38 E76:I76 C77:I77 E90:H90 D88 F88:H88 C85:I85 C84 E84:I84 C75:I75 C74:D74 C101:I101 C100 E100 C79:I79 C78 E78:I78 C83:I83 C82:H82 C71:I71 C70:F70 C81:I81 C73:I73 I60 C54 G54 C53:I53 D52:I52 E60:G60 C47:I47 D46:I46 C37:I37 C36:G36 C6:I9 C39:I45 C93:I93 D92:I92 D72:G72 E16:I16 C11:I15 C55:I55 D58:E58 C17:I35 C66:H66 C67:I69 C80:D80 C61:I63 I54 C57:I57 C56:F56 H56:I56">
    <cfRule type="expression" dxfId="8732" priority="3213">
      <formula>C6=$B$130</formula>
    </cfRule>
    <cfRule type="expression" dxfId="8731" priority="3214">
      <formula>C6=$B$128</formula>
    </cfRule>
    <cfRule type="expression" dxfId="8730" priority="3215">
      <formula>C6=$B$124</formula>
    </cfRule>
    <cfRule type="expression" dxfId="8729" priority="3216">
      <formula>C6=$B$119</formula>
    </cfRule>
    <cfRule type="expression" dxfId="8728" priority="3217">
      <formula>C6=$B$116</formula>
    </cfRule>
    <cfRule type="expression" dxfId="8727" priority="3218">
      <formula>C6=$B$113</formula>
    </cfRule>
    <cfRule type="expression" dxfId="8726" priority="3219">
      <formula>C6=$B$116</formula>
    </cfRule>
    <cfRule type="expression" dxfId="8725" priority="3220">
      <formula>C6=$B$146</formula>
    </cfRule>
    <cfRule type="expression" dxfId="8724" priority="3221">
      <formula>C6=$B$118</formula>
    </cfRule>
    <cfRule type="expression" dxfId="8723" priority="3222">
      <formula>C6=$B$146</formula>
    </cfRule>
    <cfRule type="expression" dxfId="8722" priority="3223">
      <formula>C6=$B$145</formula>
    </cfRule>
    <cfRule type="expression" dxfId="8721" priority="3224">
      <formula>C6=$B$144</formula>
    </cfRule>
    <cfRule type="expression" dxfId="8720" priority="3225">
      <formula>C6=$B$143</formula>
    </cfRule>
    <cfRule type="expression" dxfId="8719" priority="3226">
      <formula>C6=$B$142</formula>
    </cfRule>
    <cfRule type="expression" dxfId="8718" priority="3227">
      <formula>C6=$B$141</formula>
    </cfRule>
    <cfRule type="expression" dxfId="8717" priority="3228">
      <formula>C6=$B$140</formula>
    </cfRule>
    <cfRule type="expression" dxfId="8716" priority="3229">
      <formula>C6=$B$139</formula>
    </cfRule>
    <cfRule type="expression" dxfId="8715" priority="3230">
      <formula>C6=$B$135</formula>
    </cfRule>
    <cfRule type="expression" dxfId="8714" priority="3231">
      <formula>C6=$B$134</formula>
    </cfRule>
    <cfRule type="expression" dxfId="8713" priority="3232">
      <formula>C6=$B$133</formula>
    </cfRule>
    <cfRule type="expression" dxfId="8712" priority="3233">
      <formula>C6=$B$132</formula>
    </cfRule>
    <cfRule type="expression" dxfId="8711" priority="3234">
      <formula>C6=$B$131</formula>
    </cfRule>
    <cfRule type="expression" dxfId="8710" priority="3235" stopIfTrue="1">
      <formula>C6=$B$130</formula>
    </cfRule>
    <cfRule type="expression" dxfId="8709" priority="3236">
      <formula>C6=$B$129</formula>
    </cfRule>
    <cfRule type="expression" dxfId="8708" priority="3237" stopIfTrue="1">
      <formula>C6=$B$128</formula>
    </cfRule>
    <cfRule type="expression" dxfId="8707" priority="3238">
      <formula>C6=$B$127</formula>
    </cfRule>
    <cfRule type="expression" dxfId="8706" priority="3239">
      <formula>C6=$B$126</formula>
    </cfRule>
    <cfRule type="expression" dxfId="8705" priority="3240">
      <formula>C6=$B$125</formula>
    </cfRule>
    <cfRule type="expression" dxfId="8704" priority="3241" stopIfTrue="1">
      <formula>C6=$B$123</formula>
    </cfRule>
    <cfRule type="expression" dxfId="8703" priority="3242" stopIfTrue="1">
      <formula>C6=$B$122</formula>
    </cfRule>
    <cfRule type="expression" dxfId="8702" priority="3243" stopIfTrue="1">
      <formula>C6=$B$121</formula>
    </cfRule>
    <cfRule type="expression" dxfId="8701" priority="3244">
      <formula>C6=$B$120</formula>
    </cfRule>
    <cfRule type="expression" dxfId="8700" priority="3245">
      <formula>C6=$B$117</formula>
    </cfRule>
    <cfRule type="expression" dxfId="8699" priority="3246" stopIfTrue="1">
      <formula>C6=$B$115</formula>
    </cfRule>
    <cfRule type="expression" dxfId="8698" priority="3247">
      <formula>C6=$B$114</formula>
    </cfRule>
    <cfRule type="expression" dxfId="8697" priority="3248">
      <formula>C6=$B$113</formula>
    </cfRule>
    <cfRule type="expression" dxfId="8696" priority="3249">
      <formula>C6=$B$112</formula>
    </cfRule>
    <cfRule type="expression" dxfId="8695" priority="3250">
      <formula>C6=$B$110</formula>
    </cfRule>
    <cfRule type="expression" dxfId="8694" priority="3251" stopIfTrue="1">
      <formula>C6=$B$111</formula>
    </cfRule>
    <cfRule type="expression" dxfId="8693" priority="3252" stopIfTrue="1">
      <formula>C$5=TODAY()</formula>
    </cfRule>
  </conditionalFormatting>
  <conditionalFormatting sqref="C102:I105 H22:I22 C65:I65 C87:I87 C95:I95 H90:I90 H30:I30 H42:I42 C38:D38 G58:I58 C86 E86:H86 C97:I97 D96:G96 C48:I49 D64:I64">
    <cfRule type="expression" dxfId="8692" priority="3155">
      <formula>C22=$B$145</formula>
    </cfRule>
    <cfRule type="expression" dxfId="8691" priority="3156">
      <formula>C22=$B$130</formula>
    </cfRule>
    <cfRule type="expression" dxfId="8690" priority="3157">
      <formula>C22=$B$128</formula>
    </cfRule>
    <cfRule type="expression" dxfId="8689" priority="3158">
      <formula>C22=$B$124</formula>
    </cfRule>
    <cfRule type="expression" dxfId="8688" priority="3159">
      <formula>C22=$B$119</formula>
    </cfRule>
    <cfRule type="expression" dxfId="8687" priority="3160">
      <formula>C22=$B$116</formula>
    </cfRule>
    <cfRule type="expression" dxfId="8686" priority="3161">
      <formula>C22=$B$113</formula>
    </cfRule>
    <cfRule type="expression" dxfId="8685" priority="3162">
      <formula>C22=$B$116</formula>
    </cfRule>
    <cfRule type="expression" dxfId="8684" priority="3163">
      <formula>C22=$B$146</formula>
    </cfRule>
    <cfRule type="expression" dxfId="8683" priority="3164">
      <formula>C22=$B$118</formula>
    </cfRule>
    <cfRule type="expression" dxfId="8682" priority="3165">
      <formula>C22=$B$146</formula>
    </cfRule>
    <cfRule type="expression" dxfId="8681" priority="3166">
      <formula>C22=$B$145</formula>
    </cfRule>
    <cfRule type="expression" dxfId="8680" priority="3167">
      <formula>C22=$B$144</formula>
    </cfRule>
    <cfRule type="expression" dxfId="8679" priority="3168">
      <formula>C22=$B$143</formula>
    </cfRule>
    <cfRule type="expression" dxfId="8678" priority="3169">
      <formula>C22=$B$142</formula>
    </cfRule>
    <cfRule type="expression" dxfId="8677" priority="3170">
      <formula>C22=$B$141</formula>
    </cfRule>
    <cfRule type="expression" dxfId="8676" priority="3171">
      <formula>C22=$B$140</formula>
    </cfRule>
    <cfRule type="expression" dxfId="8675" priority="3172">
      <formula>C22=$B$139</formula>
    </cfRule>
    <cfRule type="expression" dxfId="8674" priority="3173">
      <formula>C22=$B$135</formula>
    </cfRule>
    <cfRule type="expression" dxfId="8673" priority="3174">
      <formula>C22=$B$134</formula>
    </cfRule>
    <cfRule type="expression" dxfId="8672" priority="3175">
      <formula>C22=$B$133</formula>
    </cfRule>
    <cfRule type="expression" dxfId="8671" priority="3176">
      <formula>C22=$B$132</formula>
    </cfRule>
    <cfRule type="expression" dxfId="8670" priority="3177">
      <formula>C22=$B$131</formula>
    </cfRule>
    <cfRule type="expression" dxfId="8669" priority="3178" stopIfTrue="1">
      <formula>C22=$B$130</formula>
    </cfRule>
    <cfRule type="expression" dxfId="8668" priority="3179">
      <formula>C22=$B$129</formula>
    </cfRule>
    <cfRule type="expression" dxfId="8667" priority="3180" stopIfTrue="1">
      <formula>C22=$B$128</formula>
    </cfRule>
    <cfRule type="expression" dxfId="8666" priority="3181">
      <formula>C22=$B$127</formula>
    </cfRule>
    <cfRule type="expression" dxfId="8665" priority="3182">
      <formula>C22=$B$126</formula>
    </cfRule>
    <cfRule type="expression" dxfId="8664" priority="3183">
      <formula>C22=$B$125</formula>
    </cfRule>
    <cfRule type="expression" dxfId="8663" priority="3184" stopIfTrue="1">
      <formula>C22=$B$123</formula>
    </cfRule>
    <cfRule type="expression" dxfId="8662" priority="3185" stopIfTrue="1">
      <formula>C22=$B$122</formula>
    </cfRule>
    <cfRule type="expression" dxfId="8661" priority="3186" stopIfTrue="1">
      <formula>C22=$B$121</formula>
    </cfRule>
    <cfRule type="expression" dxfId="8660" priority="3187">
      <formula>C22=$B$120</formula>
    </cfRule>
    <cfRule type="expression" dxfId="8659" priority="3188">
      <formula>C22=$B$117</formula>
    </cfRule>
    <cfRule type="expression" dxfId="8658" priority="3189" stopIfTrue="1">
      <formula>C22=$B$115</formula>
    </cfRule>
    <cfRule type="expression" dxfId="8657" priority="3190">
      <formula>C22=$B$114</formula>
    </cfRule>
    <cfRule type="expression" dxfId="8656" priority="3191">
      <formula>C22=$B$113</formula>
    </cfRule>
    <cfRule type="expression" dxfId="8655" priority="3192">
      <formula>C22=$B$112</formula>
    </cfRule>
    <cfRule type="expression" dxfId="8654" priority="3193">
      <formula>C22=$B$110</formula>
    </cfRule>
    <cfRule type="expression" dxfId="8653" priority="3194" stopIfTrue="1">
      <formula>C22=$B$111</formula>
    </cfRule>
    <cfRule type="expression" dxfId="8652" priority="3195" stopIfTrue="1">
      <formula>C$5=TODAY()</formula>
    </cfRule>
  </conditionalFormatting>
  <conditionalFormatting sqref="H48">
    <cfRule type="expression" dxfId="8651" priority="3153">
      <formula>H48=$B$116</formula>
    </cfRule>
  </conditionalFormatting>
  <conditionalFormatting sqref="H48">
    <cfRule type="expression" dxfId="8650" priority="3154">
      <formula>H48=$B$111</formula>
    </cfRule>
  </conditionalFormatting>
  <conditionalFormatting sqref="H86">
    <cfRule type="expression" dxfId="8649" priority="3151">
      <formula>H86=$B$116</formula>
    </cfRule>
  </conditionalFormatting>
  <conditionalFormatting sqref="H86">
    <cfRule type="expression" dxfId="8648" priority="3152">
      <formula>H86=$B$111</formula>
    </cfRule>
  </conditionalFormatting>
  <conditionalFormatting sqref="C76 C107:I107 C91:I91 C50:I51 C38 C99:I99 C89:I89 C59:I59 E76:I76 C77:I77 E90:H90 D88 F88:H88 C85:I85 C84 E84:I84 C75:I75 C74:D74 C101:I101 C100 E100 C79:I79 C78 E78:I78 C83:I83 C82:H82 C71:I71 C70:F70 C81:I81 C73:I73 I60 C54 G54 C53:I53 D52:I52 E60:G60 C37:I37 C36:G36 C6:I9 C93:I93 D92:I92 D72:G72 E16:I16 C11:I15 C55:I55 C17:I35 C66:H66 C67:I69 C80:D80 C61:I63 I54 C57:I57 C56:F56 H56:I56">
    <cfRule type="expression" dxfId="8647" priority="3212">
      <formula>C6=$B$145</formula>
    </cfRule>
  </conditionalFormatting>
  <conditionalFormatting sqref="C97:I97 C59:I59 C89:I89 D88 C87:I87 C86 D96:G96 C99:I99 F88:H88 C85:I85 C84 E84:I84 C75:I77 C74:D74 C101:I105 C100 E100 C79:I79 C78 E78:I78 C83:I83 C82:H82 C71:I71 C70:F70 C81:I81 C73:I73 I60 C54 G54 C53:I53 D52:I52 E60:G60 D46:I46 C36:G36 C6:I9 C37:I45 C93:I93 D92:I92 D72:G72 E16:I16 C11:I15 C91:I91 E90:I90 C55:I55 C65:I65 D64:I64 C17:I35 C66:H66 C47:I51 E86:H86 C67:I69 C80:D80 C61:I63 I54 C57:I57 C56:F56 H56:I56">
    <cfRule type="expression" dxfId="8646" priority="3146">
      <formula>C6=$B$137</formula>
    </cfRule>
    <cfRule type="expression" dxfId="8645" priority="3147">
      <formula>C6=$B$138</formula>
    </cfRule>
    <cfRule type="expression" dxfId="8644" priority="3148">
      <formula>C6=$B$136</formula>
    </cfRule>
  </conditionalFormatting>
  <conditionalFormatting sqref="C95:I95">
    <cfRule type="expression" dxfId="8643" priority="3141">
      <formula>C95=$B$137</formula>
    </cfRule>
    <cfRule type="expression" dxfId="8642" priority="3142">
      <formula>C95=$B$138</formula>
    </cfRule>
    <cfRule type="expression" dxfId="8641" priority="3143">
      <formula>C95=$B$136</formula>
    </cfRule>
  </conditionalFormatting>
  <conditionalFormatting sqref="C94:D94">
    <cfRule type="expression" dxfId="8640" priority="3140">
      <formula>C94=$B$145</formula>
    </cfRule>
  </conditionalFormatting>
  <conditionalFormatting sqref="C94:D94">
    <cfRule type="expression" dxfId="8639" priority="3137">
      <formula>C94=$B$137</formula>
    </cfRule>
    <cfRule type="expression" dxfId="8638" priority="3138">
      <formula>C94=$B$138</formula>
    </cfRule>
    <cfRule type="expression" dxfId="8637" priority="3139">
      <formula>C94=$B$136</formula>
    </cfRule>
  </conditionalFormatting>
  <conditionalFormatting sqref="G58:I58">
    <cfRule type="expression" dxfId="8636" priority="3133">
      <formula>G58=$B$137</formula>
    </cfRule>
    <cfRule type="expression" dxfId="8635" priority="3134">
      <formula>G58=$B$138</formula>
    </cfRule>
    <cfRule type="expression" dxfId="8634" priority="3135">
      <formula>G58=$B$136</formula>
    </cfRule>
  </conditionalFormatting>
  <conditionalFormatting sqref="H58">
    <cfRule type="expression" dxfId="8633" priority="3131">
      <formula>H58=$B$116</formula>
    </cfRule>
  </conditionalFormatting>
  <conditionalFormatting sqref="H58">
    <cfRule type="expression" dxfId="8632" priority="3132">
      <formula>H58=$B$111</formula>
    </cfRule>
  </conditionalFormatting>
  <conditionalFormatting sqref="D58:E58">
    <cfRule type="expression" dxfId="8631" priority="3130">
      <formula>D58=$B$145</formula>
    </cfRule>
  </conditionalFormatting>
  <conditionalFormatting sqref="D58:E58">
    <cfRule type="expression" dxfId="8630" priority="3127">
      <formula>D58=$B$137</formula>
    </cfRule>
    <cfRule type="expression" dxfId="8629" priority="3128">
      <formula>D58=$B$138</formula>
    </cfRule>
    <cfRule type="expression" dxfId="8628" priority="3129">
      <formula>D58=$B$136</formula>
    </cfRule>
  </conditionalFormatting>
  <conditionalFormatting sqref="A6:A106">
    <cfRule type="cellIs" dxfId="8627" priority="3124" operator="lessThan">
      <formula>5</formula>
    </cfRule>
    <cfRule type="cellIs" dxfId="8626" priority="3125" operator="greaterThanOrEqual">
      <formula>5</formula>
    </cfRule>
  </conditionalFormatting>
  <conditionalFormatting sqref="H42:I42">
    <cfRule type="expression" dxfId="8625" priority="3122">
      <formula>H42=$B$145</formula>
    </cfRule>
  </conditionalFormatting>
  <conditionalFormatting sqref="I46">
    <cfRule type="expression" dxfId="8624" priority="3121">
      <formula>I46=$B$145</formula>
    </cfRule>
  </conditionalFormatting>
  <conditionalFormatting sqref="C74">
    <cfRule type="expression" dxfId="8623" priority="3112">
      <formula>C74=$B$145</formula>
    </cfRule>
  </conditionalFormatting>
  <conditionalFormatting sqref="C74">
    <cfRule type="expression" dxfId="8622" priority="3109">
      <formula>C74=$B$137</formula>
    </cfRule>
    <cfRule type="expression" dxfId="8621" priority="3110">
      <formula>C74=$B$138</formula>
    </cfRule>
    <cfRule type="expression" dxfId="8620" priority="3111">
      <formula>C74=$B$136</formula>
    </cfRule>
  </conditionalFormatting>
  <conditionalFormatting sqref="D76">
    <cfRule type="expression" dxfId="8619" priority="2982">
      <formula>D76=$B$130</formula>
    </cfRule>
    <cfRule type="expression" dxfId="8618" priority="2983">
      <formula>D76=$B$128</formula>
    </cfRule>
    <cfRule type="expression" dxfId="8617" priority="2984">
      <formula>D76=$B$124</formula>
    </cfRule>
    <cfRule type="expression" dxfId="8616" priority="2985">
      <formula>D76=$B$119</formula>
    </cfRule>
    <cfRule type="expression" dxfId="8615" priority="2986">
      <formula>D76=$B$116</formula>
    </cfRule>
    <cfRule type="expression" dxfId="8614" priority="2987">
      <formula>D76=$B$113</formula>
    </cfRule>
    <cfRule type="expression" dxfId="8613" priority="2988">
      <formula>D76=$B$116</formula>
    </cfRule>
    <cfRule type="expression" dxfId="8612" priority="2989">
      <formula>D76=$B$146</formula>
    </cfRule>
    <cfRule type="expression" dxfId="8611" priority="2990">
      <formula>D76=$B$118</formula>
    </cfRule>
    <cfRule type="expression" dxfId="8610" priority="2991">
      <formula>D76=$B$146</formula>
    </cfRule>
    <cfRule type="expression" dxfId="8609" priority="2992">
      <formula>D76=$B$145</formula>
    </cfRule>
    <cfRule type="expression" dxfId="8608" priority="2993">
      <formula>D76=$B$144</formula>
    </cfRule>
    <cfRule type="expression" dxfId="8607" priority="2994">
      <formula>D76=$B$143</formula>
    </cfRule>
    <cfRule type="expression" dxfId="8606" priority="2995">
      <formula>D76=$B$142</formula>
    </cfRule>
    <cfRule type="expression" dxfId="8605" priority="2996">
      <formula>D76=$B$141</formula>
    </cfRule>
    <cfRule type="expression" dxfId="8604" priority="2997">
      <formula>D76=$B$140</formula>
    </cfRule>
    <cfRule type="expression" dxfId="8603" priority="2998">
      <formula>D76=$B$139</formula>
    </cfRule>
    <cfRule type="expression" dxfId="8602" priority="2999">
      <formula>D76=$B$135</formula>
    </cfRule>
    <cfRule type="expression" dxfId="8601" priority="3000">
      <formula>D76=$B$134</formula>
    </cfRule>
    <cfRule type="expression" dxfId="8600" priority="3001">
      <formula>D76=$B$133</formula>
    </cfRule>
    <cfRule type="expression" dxfId="8599" priority="3002">
      <formula>D76=$B$132</formula>
    </cfRule>
    <cfRule type="expression" dxfId="8598" priority="3003">
      <formula>D76=$B$131</formula>
    </cfRule>
    <cfRule type="expression" dxfId="8597" priority="3004" stopIfTrue="1">
      <formula>D76=$B$130</formula>
    </cfRule>
    <cfRule type="expression" dxfId="8596" priority="3005">
      <formula>D76=$B$129</formula>
    </cfRule>
    <cfRule type="expression" dxfId="8595" priority="3006" stopIfTrue="1">
      <formula>D76=$B$128</formula>
    </cfRule>
    <cfRule type="expression" dxfId="8594" priority="3007">
      <formula>D76=$B$127</formula>
    </cfRule>
    <cfRule type="expression" dxfId="8593" priority="3008">
      <formula>D76=$B$126</formula>
    </cfRule>
    <cfRule type="expression" dxfId="8592" priority="3009">
      <formula>D76=$B$125</formula>
    </cfRule>
    <cfRule type="expression" dxfId="8591" priority="3010" stopIfTrue="1">
      <formula>D76=$B$123</formula>
    </cfRule>
    <cfRule type="expression" dxfId="8590" priority="3011" stopIfTrue="1">
      <formula>D76=$B$122</formula>
    </cfRule>
    <cfRule type="expression" dxfId="8589" priority="3012" stopIfTrue="1">
      <formula>D76=$B$121</formula>
    </cfRule>
    <cfRule type="expression" dxfId="8588" priority="3013">
      <formula>D76=$B$120</formula>
    </cfRule>
    <cfRule type="expression" dxfId="8587" priority="3014">
      <formula>D76=$B$117</formula>
    </cfRule>
    <cfRule type="expression" dxfId="8586" priority="3015" stopIfTrue="1">
      <formula>D76=$B$115</formula>
    </cfRule>
    <cfRule type="expression" dxfId="8585" priority="3016">
      <formula>D76=$B$114</formula>
    </cfRule>
    <cfRule type="expression" dxfId="8584" priority="3017">
      <formula>D76=$B$113</formula>
    </cfRule>
    <cfRule type="expression" dxfId="8583" priority="3018">
      <formula>D76=$B$112</formula>
    </cfRule>
    <cfRule type="expression" dxfId="8582" priority="3019">
      <formula>D76=$B$110</formula>
    </cfRule>
    <cfRule type="expression" dxfId="8581" priority="3020" stopIfTrue="1">
      <formula>D76=$B$111</formula>
    </cfRule>
    <cfRule type="expression" dxfId="8580" priority="3021" stopIfTrue="1">
      <formula>D$5=TODAY()</formula>
    </cfRule>
  </conditionalFormatting>
  <conditionalFormatting sqref="D76">
    <cfRule type="expression" dxfId="8579" priority="2981">
      <formula>D76=$B$145</formula>
    </cfRule>
  </conditionalFormatting>
  <conditionalFormatting sqref="C40 F40 I38 H40:I40 F46 C46">
    <cfRule type="expression" dxfId="8578" priority="2940">
      <formula>C38=$B$145</formula>
    </cfRule>
    <cfRule type="expression" dxfId="8577" priority="2941">
      <formula>C38=$B$130</formula>
    </cfRule>
    <cfRule type="expression" dxfId="8576" priority="2942">
      <formula>C38=$B$128</formula>
    </cfRule>
    <cfRule type="expression" dxfId="8575" priority="2943">
      <formula>C38=$B$124</formula>
    </cfRule>
    <cfRule type="expression" dxfId="8574" priority="2944">
      <formula>C38=$B$119</formula>
    </cfRule>
    <cfRule type="expression" dxfId="8573" priority="2945">
      <formula>C38=$B$116</formula>
    </cfRule>
    <cfRule type="expression" dxfId="8572" priority="2946">
      <formula>C38=$B$113</formula>
    </cfRule>
    <cfRule type="expression" dxfId="8571" priority="2947">
      <formula>C38=$B$116</formula>
    </cfRule>
    <cfRule type="expression" dxfId="8570" priority="2948">
      <formula>C38=$B$146</formula>
    </cfRule>
    <cfRule type="expression" dxfId="8569" priority="2949">
      <formula>C38=$B$118</formula>
    </cfRule>
    <cfRule type="expression" dxfId="8568" priority="2950">
      <formula>C38=$B$146</formula>
    </cfRule>
    <cfRule type="expression" dxfId="8567" priority="2951">
      <formula>C38=$B$145</formula>
    </cfRule>
    <cfRule type="expression" dxfId="8566" priority="2952">
      <formula>C38=$B$144</formula>
    </cfRule>
    <cfRule type="expression" dxfId="8565" priority="2953">
      <formula>C38=$B$143</formula>
    </cfRule>
    <cfRule type="expression" dxfId="8564" priority="2954">
      <formula>C38=$B$142</formula>
    </cfRule>
    <cfRule type="expression" dxfId="8563" priority="2955">
      <formula>C38=$B$141</formula>
    </cfRule>
    <cfRule type="expression" dxfId="8562" priority="2956">
      <formula>C38=$B$140</formula>
    </cfRule>
    <cfRule type="expression" dxfId="8561" priority="2957">
      <formula>C38=$B$139</formula>
    </cfRule>
    <cfRule type="expression" dxfId="8560" priority="2958">
      <formula>C38=$B$135</formula>
    </cfRule>
    <cfRule type="expression" dxfId="8559" priority="2959">
      <formula>C38=$B$134</formula>
    </cfRule>
    <cfRule type="expression" dxfId="8558" priority="2960">
      <formula>C38=$B$133</formula>
    </cfRule>
    <cfRule type="expression" dxfId="8557" priority="2961">
      <formula>C38=$B$132</formula>
    </cfRule>
    <cfRule type="expression" dxfId="8556" priority="2962">
      <formula>C38=$B$131</formula>
    </cfRule>
    <cfRule type="expression" dxfId="8555" priority="2963" stopIfTrue="1">
      <formula>C38=$B$130</formula>
    </cfRule>
    <cfRule type="expression" dxfId="8554" priority="2964">
      <formula>C38=$B$129</formula>
    </cfRule>
    <cfRule type="expression" dxfId="8553" priority="2965" stopIfTrue="1">
      <formula>C38=$B$128</formula>
    </cfRule>
    <cfRule type="expression" dxfId="8552" priority="2966">
      <formula>C38=$B$127</formula>
    </cfRule>
    <cfRule type="expression" dxfId="8551" priority="2967">
      <formula>C38=$B$126</formula>
    </cfRule>
    <cfRule type="expression" dxfId="8550" priority="2968">
      <formula>C38=$B$125</formula>
    </cfRule>
    <cfRule type="expression" dxfId="8549" priority="2969" stopIfTrue="1">
      <formula>C38=$B$123</formula>
    </cfRule>
    <cfRule type="expression" dxfId="8548" priority="2970" stopIfTrue="1">
      <formula>C38=$B$122</formula>
    </cfRule>
    <cfRule type="expression" dxfId="8547" priority="2971" stopIfTrue="1">
      <formula>C38=$B$121</formula>
    </cfRule>
    <cfRule type="expression" dxfId="8546" priority="2972">
      <formula>C38=$B$120</formula>
    </cfRule>
    <cfRule type="expression" dxfId="8545" priority="2973">
      <formula>C38=$B$117</formula>
    </cfRule>
    <cfRule type="expression" dxfId="8544" priority="2974" stopIfTrue="1">
      <formula>C38=$B$115</formula>
    </cfRule>
    <cfRule type="expression" dxfId="8543" priority="2975">
      <formula>C38=$B$114</formula>
    </cfRule>
    <cfRule type="expression" dxfId="8542" priority="2976">
      <formula>C38=$B$113</formula>
    </cfRule>
    <cfRule type="expression" dxfId="8541" priority="2977">
      <formula>C38=$B$112</formula>
    </cfRule>
    <cfRule type="expression" dxfId="8540" priority="2978">
      <formula>C38=$B$110</formula>
    </cfRule>
    <cfRule type="expression" dxfId="8539" priority="2979" stopIfTrue="1">
      <formula>C38=$B$111</formula>
    </cfRule>
    <cfRule type="expression" dxfId="8538" priority="2980" stopIfTrue="1">
      <formula>C$5=TODAY()</formula>
    </cfRule>
  </conditionalFormatting>
  <conditionalFormatting sqref="C46">
    <cfRule type="expression" dxfId="8537" priority="2937">
      <formula>C46=$B$137</formula>
    </cfRule>
    <cfRule type="expression" dxfId="8536" priority="2938">
      <formula>C46=$B$138</formula>
    </cfRule>
    <cfRule type="expression" dxfId="8535" priority="2939">
      <formula>C46=$B$136</formula>
    </cfRule>
  </conditionalFormatting>
  <conditionalFormatting sqref="F42 G44">
    <cfRule type="expression" dxfId="8534" priority="2936">
      <formula>F42=$B$145</formula>
    </cfRule>
  </conditionalFormatting>
  <conditionalFormatting sqref="H96:I96">
    <cfRule type="expression" dxfId="8533" priority="2895">
      <formula>H96=$B$145</formula>
    </cfRule>
    <cfRule type="expression" dxfId="8532" priority="2896">
      <formula>H96=$B$130</formula>
    </cfRule>
    <cfRule type="expression" dxfId="8531" priority="2897">
      <formula>H96=$B$128</formula>
    </cfRule>
    <cfRule type="expression" dxfId="8530" priority="2898">
      <formula>H96=$B$124</formula>
    </cfRule>
    <cfRule type="expression" dxfId="8529" priority="2899">
      <formula>H96=$B$119</formula>
    </cfRule>
    <cfRule type="expression" dxfId="8528" priority="2900">
      <formula>H96=$B$116</formula>
    </cfRule>
    <cfRule type="expression" dxfId="8527" priority="2901">
      <formula>H96=$B$113</formula>
    </cfRule>
    <cfRule type="expression" dxfId="8526" priority="2902">
      <formula>H96=$B$116</formula>
    </cfRule>
    <cfRule type="expression" dxfId="8525" priority="2903">
      <formula>H96=$B$146</formula>
    </cfRule>
    <cfRule type="expression" dxfId="8524" priority="2904">
      <formula>H96=$B$118</formula>
    </cfRule>
    <cfRule type="expression" dxfId="8523" priority="2905">
      <formula>H96=$B$146</formula>
    </cfRule>
    <cfRule type="expression" dxfId="8522" priority="2906">
      <formula>H96=$B$145</formula>
    </cfRule>
    <cfRule type="expression" dxfId="8521" priority="2907">
      <formula>H96=$B$144</formula>
    </cfRule>
    <cfRule type="expression" dxfId="8520" priority="2908">
      <formula>H96=$B$143</formula>
    </cfRule>
    <cfRule type="expression" dxfId="8519" priority="2909">
      <formula>H96=$B$142</formula>
    </cfRule>
    <cfRule type="expression" dxfId="8518" priority="2910">
      <formula>H96=$B$141</formula>
    </cfRule>
    <cfRule type="expression" dxfId="8517" priority="2911">
      <formula>H96=$B$140</formula>
    </cfRule>
    <cfRule type="expression" dxfId="8516" priority="2912">
      <formula>H96=$B$139</formula>
    </cfRule>
    <cfRule type="expression" dxfId="8515" priority="2913">
      <formula>H96=$B$135</formula>
    </cfRule>
    <cfRule type="expression" dxfId="8514" priority="2914">
      <formula>H96=$B$134</formula>
    </cfRule>
    <cfRule type="expression" dxfId="8513" priority="2915">
      <formula>H96=$B$133</formula>
    </cfRule>
    <cfRule type="expression" dxfId="8512" priority="2916">
      <formula>H96=$B$132</formula>
    </cfRule>
    <cfRule type="expression" dxfId="8511" priority="2917">
      <formula>H96=$B$131</formula>
    </cfRule>
    <cfRule type="expression" dxfId="8510" priority="2918" stopIfTrue="1">
      <formula>H96=$B$130</formula>
    </cfRule>
    <cfRule type="expression" dxfId="8509" priority="2919">
      <formula>H96=$B$129</formula>
    </cfRule>
    <cfRule type="expression" dxfId="8508" priority="2920" stopIfTrue="1">
      <formula>H96=$B$128</formula>
    </cfRule>
    <cfRule type="expression" dxfId="8507" priority="2921">
      <formula>H96=$B$127</formula>
    </cfRule>
    <cfRule type="expression" dxfId="8506" priority="2922">
      <formula>H96=$B$126</formula>
    </cfRule>
    <cfRule type="expression" dxfId="8505" priority="2923">
      <formula>H96=$B$125</formula>
    </cfRule>
    <cfRule type="expression" dxfId="8504" priority="2924" stopIfTrue="1">
      <formula>H96=$B$123</formula>
    </cfRule>
    <cfRule type="expression" dxfId="8503" priority="2925" stopIfTrue="1">
      <formula>H96=$B$122</formula>
    </cfRule>
    <cfRule type="expression" dxfId="8502" priority="2926" stopIfTrue="1">
      <formula>H96=$B$121</formula>
    </cfRule>
    <cfRule type="expression" dxfId="8501" priority="2927">
      <formula>H96=$B$120</formula>
    </cfRule>
    <cfRule type="expression" dxfId="8500" priority="2928">
      <formula>H96=$B$117</formula>
    </cfRule>
    <cfRule type="expression" dxfId="8499" priority="2929" stopIfTrue="1">
      <formula>H96=$B$115</formula>
    </cfRule>
    <cfRule type="expression" dxfId="8498" priority="2930">
      <formula>H96=$B$114</formula>
    </cfRule>
    <cfRule type="expression" dxfId="8497" priority="2931">
      <formula>H96=$B$113</formula>
    </cfRule>
    <cfRule type="expression" dxfId="8496" priority="2932">
      <formula>H96=$B$112</formula>
    </cfRule>
    <cfRule type="expression" dxfId="8495" priority="2933">
      <formula>H96=$B$110</formula>
    </cfRule>
    <cfRule type="expression" dxfId="8494" priority="2934" stopIfTrue="1">
      <formula>H96=$B$111</formula>
    </cfRule>
    <cfRule type="expression" dxfId="8493" priority="2935" stopIfTrue="1">
      <formula>H$5=TODAY()</formula>
    </cfRule>
  </conditionalFormatting>
  <conditionalFormatting sqref="H96:I96">
    <cfRule type="expression" dxfId="8492" priority="2892">
      <formula>H96=$B$137</formula>
    </cfRule>
    <cfRule type="expression" dxfId="8491" priority="2893">
      <formula>H96=$B$138</formula>
    </cfRule>
    <cfRule type="expression" dxfId="8490" priority="2894">
      <formula>H96=$B$136</formula>
    </cfRule>
  </conditionalFormatting>
  <conditionalFormatting sqref="H70:I70">
    <cfRule type="expression" dxfId="8489" priority="2851">
      <formula>H70=$B$145</formula>
    </cfRule>
    <cfRule type="expression" dxfId="8488" priority="2852">
      <formula>H70=$B$130</formula>
    </cfRule>
    <cfRule type="expression" dxfId="8487" priority="2853">
      <formula>H70=$B$128</formula>
    </cfRule>
    <cfRule type="expression" dxfId="8486" priority="2854">
      <formula>H70=$B$124</formula>
    </cfRule>
    <cfRule type="expression" dxfId="8485" priority="2855">
      <formula>H70=$B$119</formula>
    </cfRule>
    <cfRule type="expression" dxfId="8484" priority="2856">
      <formula>H70=$B$116</formula>
    </cfRule>
    <cfRule type="expression" dxfId="8483" priority="2857">
      <formula>H70=$B$113</formula>
    </cfRule>
    <cfRule type="expression" dxfId="8482" priority="2858">
      <formula>H70=$B$116</formula>
    </cfRule>
    <cfRule type="expression" dxfId="8481" priority="2859">
      <formula>H70=$B$146</formula>
    </cfRule>
    <cfRule type="expression" dxfId="8480" priority="2860">
      <formula>H70=$B$118</formula>
    </cfRule>
    <cfRule type="expression" dxfId="8479" priority="2861">
      <formula>H70=$B$146</formula>
    </cfRule>
    <cfRule type="expression" dxfId="8478" priority="2862">
      <formula>H70=$B$145</formula>
    </cfRule>
    <cfRule type="expression" dxfId="8477" priority="2863">
      <formula>H70=$B$144</formula>
    </cfRule>
    <cfRule type="expression" dxfId="8476" priority="2864">
      <formula>H70=$B$143</formula>
    </cfRule>
    <cfRule type="expression" dxfId="8475" priority="2865">
      <formula>H70=$B$142</formula>
    </cfRule>
    <cfRule type="expression" dxfId="8474" priority="2866">
      <formula>H70=$B$141</formula>
    </cfRule>
    <cfRule type="expression" dxfId="8473" priority="2867">
      <formula>H70=$B$140</formula>
    </cfRule>
    <cfRule type="expression" dxfId="8472" priority="2868">
      <formula>H70=$B$139</formula>
    </cfRule>
    <cfRule type="expression" dxfId="8471" priority="2869">
      <formula>H70=$B$135</formula>
    </cfRule>
    <cfRule type="expression" dxfId="8470" priority="2870">
      <formula>H70=$B$134</formula>
    </cfRule>
    <cfRule type="expression" dxfId="8469" priority="2871">
      <formula>H70=$B$133</formula>
    </cfRule>
    <cfRule type="expression" dxfId="8468" priority="2872">
      <formula>H70=$B$132</formula>
    </cfRule>
    <cfRule type="expression" dxfId="8467" priority="2873">
      <formula>H70=$B$131</formula>
    </cfRule>
    <cfRule type="expression" dxfId="8466" priority="2874" stopIfTrue="1">
      <formula>H70=$B$130</formula>
    </cfRule>
    <cfRule type="expression" dxfId="8465" priority="2875">
      <formula>H70=$B$129</formula>
    </cfRule>
    <cfRule type="expression" dxfId="8464" priority="2876" stopIfTrue="1">
      <formula>H70=$B$128</formula>
    </cfRule>
    <cfRule type="expression" dxfId="8463" priority="2877">
      <formula>H70=$B$127</formula>
    </cfRule>
    <cfRule type="expression" dxfId="8462" priority="2878">
      <formula>H70=$B$126</formula>
    </cfRule>
    <cfRule type="expression" dxfId="8461" priority="2879">
      <formula>H70=$B$125</formula>
    </cfRule>
    <cfRule type="expression" dxfId="8460" priority="2880" stopIfTrue="1">
      <formula>H70=$B$123</formula>
    </cfRule>
    <cfRule type="expression" dxfId="8459" priority="2881" stopIfTrue="1">
      <formula>H70=$B$122</formula>
    </cfRule>
    <cfRule type="expression" dxfId="8458" priority="2882" stopIfTrue="1">
      <formula>H70=$B$121</formula>
    </cfRule>
    <cfRule type="expression" dxfId="8457" priority="2883">
      <formula>H70=$B$120</formula>
    </cfRule>
    <cfRule type="expression" dxfId="8456" priority="2884">
      <formula>H70=$B$117</formula>
    </cfRule>
    <cfRule type="expression" dxfId="8455" priority="2885" stopIfTrue="1">
      <formula>H70=$B$115</formula>
    </cfRule>
    <cfRule type="expression" dxfId="8454" priority="2886">
      <formula>H70=$B$114</formula>
    </cfRule>
    <cfRule type="expression" dxfId="8453" priority="2887">
      <formula>H70=$B$113</formula>
    </cfRule>
    <cfRule type="expression" dxfId="8452" priority="2888">
      <formula>H70=$B$112</formula>
    </cfRule>
    <cfRule type="expression" dxfId="8451" priority="2889">
      <formula>H70=$B$110</formula>
    </cfRule>
    <cfRule type="expression" dxfId="8450" priority="2890" stopIfTrue="1">
      <formula>H70=$B$111</formula>
    </cfRule>
    <cfRule type="expression" dxfId="8449" priority="2891" stopIfTrue="1">
      <formula>H$5=TODAY()</formula>
    </cfRule>
  </conditionalFormatting>
  <conditionalFormatting sqref="H70:I70">
    <cfRule type="expression" dxfId="8448" priority="2848">
      <formula>H70=$B$137</formula>
    </cfRule>
    <cfRule type="expression" dxfId="8447" priority="2849">
      <formula>H70=$B$138</formula>
    </cfRule>
    <cfRule type="expression" dxfId="8446" priority="2850">
      <formula>H70=$B$136</formula>
    </cfRule>
  </conditionalFormatting>
  <conditionalFormatting sqref="C72">
    <cfRule type="expression" dxfId="8445" priority="2807">
      <formula>C72=$B$145</formula>
    </cfRule>
    <cfRule type="expression" dxfId="8444" priority="2808">
      <formula>C72=$B$130</formula>
    </cfRule>
    <cfRule type="expression" dxfId="8443" priority="2809">
      <formula>C72=$B$128</formula>
    </cfRule>
    <cfRule type="expression" dxfId="8442" priority="2810">
      <formula>C72=$B$124</formula>
    </cfRule>
    <cfRule type="expression" dxfId="8441" priority="2811">
      <formula>C72=$B$119</formula>
    </cfRule>
    <cfRule type="expression" dxfId="8440" priority="2812">
      <formula>C72=$B$116</formula>
    </cfRule>
    <cfRule type="expression" dxfId="8439" priority="2813">
      <formula>C72=$B$113</formula>
    </cfRule>
    <cfRule type="expression" dxfId="8438" priority="2814">
      <formula>C72=$B$116</formula>
    </cfRule>
    <cfRule type="expression" dxfId="8437" priority="2815">
      <formula>C72=$B$146</formula>
    </cfRule>
    <cfRule type="expression" dxfId="8436" priority="2816">
      <formula>C72=$B$118</formula>
    </cfRule>
    <cfRule type="expression" dxfId="8435" priority="2817">
      <formula>C72=$B$146</formula>
    </cfRule>
    <cfRule type="expression" dxfId="8434" priority="2818">
      <formula>C72=$B$145</formula>
    </cfRule>
    <cfRule type="expression" dxfId="8433" priority="2819">
      <formula>C72=$B$144</formula>
    </cfRule>
    <cfRule type="expression" dxfId="8432" priority="2820">
      <formula>C72=$B$143</formula>
    </cfRule>
    <cfRule type="expression" dxfId="8431" priority="2821">
      <formula>C72=$B$142</formula>
    </cfRule>
    <cfRule type="expression" dxfId="8430" priority="2822">
      <formula>C72=$B$141</formula>
    </cfRule>
    <cfRule type="expression" dxfId="8429" priority="2823">
      <formula>C72=$B$140</formula>
    </cfRule>
    <cfRule type="expression" dxfId="8428" priority="2824">
      <formula>C72=$B$139</formula>
    </cfRule>
    <cfRule type="expression" dxfId="8427" priority="2825">
      <formula>C72=$B$135</formula>
    </cfRule>
    <cfRule type="expression" dxfId="8426" priority="2826">
      <formula>C72=$B$134</formula>
    </cfRule>
    <cfRule type="expression" dxfId="8425" priority="2827">
      <formula>C72=$B$133</formula>
    </cfRule>
    <cfRule type="expression" dxfId="8424" priority="2828">
      <formula>C72=$B$132</formula>
    </cfRule>
    <cfRule type="expression" dxfId="8423" priority="2829">
      <formula>C72=$B$131</formula>
    </cfRule>
    <cfRule type="expression" dxfId="8422" priority="2830" stopIfTrue="1">
      <formula>C72=$B$130</formula>
    </cfRule>
    <cfRule type="expression" dxfId="8421" priority="2831">
      <formula>C72=$B$129</formula>
    </cfRule>
    <cfRule type="expression" dxfId="8420" priority="2832" stopIfTrue="1">
      <formula>C72=$B$128</formula>
    </cfRule>
    <cfRule type="expression" dxfId="8419" priority="2833">
      <formula>C72=$B$127</formula>
    </cfRule>
    <cfRule type="expression" dxfId="8418" priority="2834">
      <formula>C72=$B$126</formula>
    </cfRule>
    <cfRule type="expression" dxfId="8417" priority="2835">
      <formula>C72=$B$125</formula>
    </cfRule>
    <cfRule type="expression" dxfId="8416" priority="2836" stopIfTrue="1">
      <formula>C72=$B$123</formula>
    </cfRule>
    <cfRule type="expression" dxfId="8415" priority="2837" stopIfTrue="1">
      <formula>C72=$B$122</formula>
    </cfRule>
    <cfRule type="expression" dxfId="8414" priority="2838" stopIfTrue="1">
      <formula>C72=$B$121</formula>
    </cfRule>
    <cfRule type="expression" dxfId="8413" priority="2839">
      <formula>C72=$B$120</formula>
    </cfRule>
    <cfRule type="expression" dxfId="8412" priority="2840">
      <formula>C72=$B$117</formula>
    </cfRule>
    <cfRule type="expression" dxfId="8411" priority="2841" stopIfTrue="1">
      <formula>C72=$B$115</formula>
    </cfRule>
    <cfRule type="expression" dxfId="8410" priority="2842">
      <formula>C72=$B$114</formula>
    </cfRule>
    <cfRule type="expression" dxfId="8409" priority="2843">
      <formula>C72=$B$113</formula>
    </cfRule>
    <cfRule type="expression" dxfId="8408" priority="2844">
      <formula>C72=$B$112</formula>
    </cfRule>
    <cfRule type="expression" dxfId="8407" priority="2845">
      <formula>C72=$B$110</formula>
    </cfRule>
    <cfRule type="expression" dxfId="8406" priority="2846" stopIfTrue="1">
      <formula>C72=$B$111</formula>
    </cfRule>
    <cfRule type="expression" dxfId="8405" priority="2847" stopIfTrue="1">
      <formula>C$5=TODAY()</formula>
    </cfRule>
  </conditionalFormatting>
  <conditionalFormatting sqref="C72">
    <cfRule type="expression" dxfId="8404" priority="2804">
      <formula>C72=$B$137</formula>
    </cfRule>
    <cfRule type="expression" dxfId="8403" priority="2805">
      <formula>C72=$B$138</formula>
    </cfRule>
    <cfRule type="expression" dxfId="8402" priority="2806">
      <formula>C72=$B$136</formula>
    </cfRule>
  </conditionalFormatting>
  <conditionalFormatting sqref="H72:I72">
    <cfRule type="expression" dxfId="8401" priority="2763">
      <formula>H72=$B$145</formula>
    </cfRule>
    <cfRule type="expression" dxfId="8400" priority="2764">
      <formula>H72=$B$130</formula>
    </cfRule>
    <cfRule type="expression" dxfId="8399" priority="2765">
      <formula>H72=$B$128</formula>
    </cfRule>
    <cfRule type="expression" dxfId="8398" priority="2766">
      <formula>H72=$B$124</formula>
    </cfRule>
    <cfRule type="expression" dxfId="8397" priority="2767">
      <formula>H72=$B$119</formula>
    </cfRule>
    <cfRule type="expression" dxfId="8396" priority="2768">
      <formula>H72=$B$116</formula>
    </cfRule>
    <cfRule type="expression" dxfId="8395" priority="2769">
      <formula>H72=$B$113</formula>
    </cfRule>
    <cfRule type="expression" dxfId="8394" priority="2770">
      <formula>H72=$B$116</formula>
    </cfRule>
    <cfRule type="expression" dxfId="8393" priority="2771">
      <formula>H72=$B$146</formula>
    </cfRule>
    <cfRule type="expression" dxfId="8392" priority="2772">
      <formula>H72=$B$118</formula>
    </cfRule>
    <cfRule type="expression" dxfId="8391" priority="2773">
      <formula>H72=$B$146</formula>
    </cfRule>
    <cfRule type="expression" dxfId="8390" priority="2774">
      <formula>H72=$B$145</formula>
    </cfRule>
    <cfRule type="expression" dxfId="8389" priority="2775">
      <formula>H72=$B$144</formula>
    </cfRule>
    <cfRule type="expression" dxfId="8388" priority="2776">
      <formula>H72=$B$143</formula>
    </cfRule>
    <cfRule type="expression" dxfId="8387" priority="2777">
      <formula>H72=$B$142</formula>
    </cfRule>
    <cfRule type="expression" dxfId="8386" priority="2778">
      <formula>H72=$B$141</formula>
    </cfRule>
    <cfRule type="expression" dxfId="8385" priority="2779">
      <formula>H72=$B$140</formula>
    </cfRule>
    <cfRule type="expression" dxfId="8384" priority="2780">
      <formula>H72=$B$139</formula>
    </cfRule>
    <cfRule type="expression" dxfId="8383" priority="2781">
      <formula>H72=$B$135</formula>
    </cfRule>
    <cfRule type="expression" dxfId="8382" priority="2782">
      <formula>H72=$B$134</formula>
    </cfRule>
    <cfRule type="expression" dxfId="8381" priority="2783">
      <formula>H72=$B$133</formula>
    </cfRule>
    <cfRule type="expression" dxfId="8380" priority="2784">
      <formula>H72=$B$132</formula>
    </cfRule>
    <cfRule type="expression" dxfId="8379" priority="2785">
      <formula>H72=$B$131</formula>
    </cfRule>
    <cfRule type="expression" dxfId="8378" priority="2786" stopIfTrue="1">
      <formula>H72=$B$130</formula>
    </cfRule>
    <cfRule type="expression" dxfId="8377" priority="2787">
      <formula>H72=$B$129</formula>
    </cfRule>
    <cfRule type="expression" dxfId="8376" priority="2788" stopIfTrue="1">
      <formula>H72=$B$128</formula>
    </cfRule>
    <cfRule type="expression" dxfId="8375" priority="2789">
      <formula>H72=$B$127</formula>
    </cfRule>
    <cfRule type="expression" dxfId="8374" priority="2790">
      <formula>H72=$B$126</formula>
    </cfRule>
    <cfRule type="expression" dxfId="8373" priority="2791">
      <formula>H72=$B$125</formula>
    </cfRule>
    <cfRule type="expression" dxfId="8372" priority="2792" stopIfTrue="1">
      <formula>H72=$B$123</formula>
    </cfRule>
    <cfRule type="expression" dxfId="8371" priority="2793" stopIfTrue="1">
      <formula>H72=$B$122</formula>
    </cfRule>
    <cfRule type="expression" dxfId="8370" priority="2794" stopIfTrue="1">
      <formula>H72=$B$121</formula>
    </cfRule>
    <cfRule type="expression" dxfId="8369" priority="2795">
      <formula>H72=$B$120</formula>
    </cfRule>
    <cfRule type="expression" dxfId="8368" priority="2796">
      <formula>H72=$B$117</formula>
    </cfRule>
    <cfRule type="expression" dxfId="8367" priority="2797" stopIfTrue="1">
      <formula>H72=$B$115</formula>
    </cfRule>
    <cfRule type="expression" dxfId="8366" priority="2798">
      <formula>H72=$B$114</formula>
    </cfRule>
    <cfRule type="expression" dxfId="8365" priority="2799">
      <formula>H72=$B$113</formula>
    </cfRule>
    <cfRule type="expression" dxfId="8364" priority="2800">
      <formula>H72=$B$112</formula>
    </cfRule>
    <cfRule type="expression" dxfId="8363" priority="2801">
      <formula>H72=$B$110</formula>
    </cfRule>
    <cfRule type="expression" dxfId="8362" priority="2802" stopIfTrue="1">
      <formula>H72=$B$111</formula>
    </cfRule>
    <cfRule type="expression" dxfId="8361" priority="2803" stopIfTrue="1">
      <formula>H$5=TODAY()</formula>
    </cfRule>
  </conditionalFormatting>
  <conditionalFormatting sqref="H72:I72">
    <cfRule type="expression" dxfId="8360" priority="2760">
      <formula>H72=$B$137</formula>
    </cfRule>
    <cfRule type="expression" dxfId="8359" priority="2761">
      <formula>H72=$B$138</formula>
    </cfRule>
    <cfRule type="expression" dxfId="8358" priority="2762">
      <formula>H72=$B$136</formula>
    </cfRule>
  </conditionalFormatting>
  <conditionalFormatting sqref="D16">
    <cfRule type="expression" dxfId="8357" priority="2720">
      <formula>D16=$B$130</formula>
    </cfRule>
    <cfRule type="expression" dxfId="8356" priority="2721">
      <formula>D16=$B$128</formula>
    </cfRule>
    <cfRule type="expression" dxfId="8355" priority="2722">
      <formula>D16=$B$124</formula>
    </cfRule>
    <cfRule type="expression" dxfId="8354" priority="2723">
      <formula>D16=$B$119</formula>
    </cfRule>
    <cfRule type="expression" dxfId="8353" priority="2724">
      <formula>D16=$B$116</formula>
    </cfRule>
    <cfRule type="expression" dxfId="8352" priority="2725">
      <formula>D16=$B$113</formula>
    </cfRule>
    <cfRule type="expression" dxfId="8351" priority="2726">
      <formula>D16=$B$116</formula>
    </cfRule>
    <cfRule type="expression" dxfId="8350" priority="2727">
      <formula>D16=$B$146</formula>
    </cfRule>
    <cfRule type="expression" dxfId="8349" priority="2728">
      <formula>D16=$B$118</formula>
    </cfRule>
    <cfRule type="expression" dxfId="8348" priority="2729">
      <formula>D16=$B$146</formula>
    </cfRule>
    <cfRule type="expression" dxfId="8347" priority="2730">
      <formula>D16=$B$145</formula>
    </cfRule>
    <cfRule type="expression" dxfId="8346" priority="2731">
      <formula>D16=$B$144</formula>
    </cfRule>
    <cfRule type="expression" dxfId="8345" priority="2732">
      <formula>D16=$B$143</formula>
    </cfRule>
    <cfRule type="expression" dxfId="8344" priority="2733">
      <formula>D16=$B$142</formula>
    </cfRule>
    <cfRule type="expression" dxfId="8343" priority="2734">
      <formula>D16=$B$141</formula>
    </cfRule>
    <cfRule type="expression" dxfId="8342" priority="2735">
      <formula>D16=$B$140</formula>
    </cfRule>
    <cfRule type="expression" dxfId="8341" priority="2736">
      <formula>D16=$B$139</formula>
    </cfRule>
    <cfRule type="expression" dxfId="8340" priority="2737">
      <formula>D16=$B$135</formula>
    </cfRule>
    <cfRule type="expression" dxfId="8339" priority="2738">
      <formula>D16=$B$134</formula>
    </cfRule>
    <cfRule type="expression" dxfId="8338" priority="2739">
      <formula>D16=$B$133</formula>
    </cfRule>
    <cfRule type="expression" dxfId="8337" priority="2740">
      <formula>D16=$B$132</formula>
    </cfRule>
    <cfRule type="expression" dxfId="8336" priority="2741">
      <formula>D16=$B$131</formula>
    </cfRule>
    <cfRule type="expression" dxfId="8335" priority="2742" stopIfTrue="1">
      <formula>D16=$B$130</formula>
    </cfRule>
    <cfRule type="expression" dxfId="8334" priority="2743">
      <formula>D16=$B$129</formula>
    </cfRule>
    <cfRule type="expression" dxfId="8333" priority="2744" stopIfTrue="1">
      <formula>D16=$B$128</formula>
    </cfRule>
    <cfRule type="expression" dxfId="8332" priority="2745">
      <formula>D16=$B$127</formula>
    </cfRule>
    <cfRule type="expression" dxfId="8331" priority="2746">
      <formula>D16=$B$126</formula>
    </cfRule>
    <cfRule type="expression" dxfId="8330" priority="2747">
      <formula>D16=$B$125</formula>
    </cfRule>
    <cfRule type="expression" dxfId="8329" priority="2748" stopIfTrue="1">
      <formula>D16=$B$123</formula>
    </cfRule>
    <cfRule type="expression" dxfId="8328" priority="2749" stopIfTrue="1">
      <formula>D16=$B$122</formula>
    </cfRule>
    <cfRule type="expression" dxfId="8327" priority="2750" stopIfTrue="1">
      <formula>D16=$B$121</formula>
    </cfRule>
    <cfRule type="expression" dxfId="8326" priority="2751">
      <formula>D16=$B$120</formula>
    </cfRule>
    <cfRule type="expression" dxfId="8325" priority="2752">
      <formula>D16=$B$117</formula>
    </cfRule>
    <cfRule type="expression" dxfId="8324" priority="2753" stopIfTrue="1">
      <formula>D16=$B$115</formula>
    </cfRule>
    <cfRule type="expression" dxfId="8323" priority="2754">
      <formula>D16=$B$114</formula>
    </cfRule>
    <cfRule type="expression" dxfId="8322" priority="2755">
      <formula>D16=$B$113</formula>
    </cfRule>
    <cfRule type="expression" dxfId="8321" priority="2756">
      <formula>D16=$B$112</formula>
    </cfRule>
    <cfRule type="expression" dxfId="8320" priority="2757">
      <formula>D16=$B$110</formula>
    </cfRule>
    <cfRule type="expression" dxfId="8319" priority="2758" stopIfTrue="1">
      <formula>D16=$B$111</formula>
    </cfRule>
    <cfRule type="expression" dxfId="8318" priority="2759" stopIfTrue="1">
      <formula>D$5=TODAY()</formula>
    </cfRule>
  </conditionalFormatting>
  <conditionalFormatting sqref="D16">
    <cfRule type="expression" dxfId="8317" priority="2719">
      <formula>D16=$B$145</formula>
    </cfRule>
  </conditionalFormatting>
  <conditionalFormatting sqref="D16">
    <cfRule type="expression" dxfId="8316" priority="2716">
      <formula>D16=$B$137</formula>
    </cfRule>
    <cfRule type="expression" dxfId="8315" priority="2717">
      <formula>D16=$B$138</formula>
    </cfRule>
    <cfRule type="expression" dxfId="8314" priority="2718">
      <formula>D16=$B$136</formula>
    </cfRule>
  </conditionalFormatting>
  <conditionalFormatting sqref="C16">
    <cfRule type="expression" dxfId="8313" priority="2675">
      <formula>C16=$B$145</formula>
    </cfRule>
    <cfRule type="expression" dxfId="8312" priority="2676">
      <formula>C16=$B$130</formula>
    </cfRule>
    <cfRule type="expression" dxfId="8311" priority="2677">
      <formula>C16=$B$128</formula>
    </cfRule>
    <cfRule type="expression" dxfId="8310" priority="2678">
      <formula>C16=$B$124</formula>
    </cfRule>
    <cfRule type="expression" dxfId="8309" priority="2679">
      <formula>C16=$B$119</formula>
    </cfRule>
    <cfRule type="expression" dxfId="8308" priority="2680">
      <formula>C16=$B$116</formula>
    </cfRule>
    <cfRule type="expression" dxfId="8307" priority="2681">
      <formula>C16=$B$113</formula>
    </cfRule>
    <cfRule type="expression" dxfId="8306" priority="2682">
      <formula>C16=$B$116</formula>
    </cfRule>
    <cfRule type="expression" dxfId="8305" priority="2683">
      <formula>C16=$B$146</formula>
    </cfRule>
    <cfRule type="expression" dxfId="8304" priority="2684">
      <formula>C16=$B$118</formula>
    </cfRule>
    <cfRule type="expression" dxfId="8303" priority="2685">
      <formula>C16=$B$146</formula>
    </cfRule>
    <cfRule type="expression" dxfId="8302" priority="2686">
      <formula>C16=$B$145</formula>
    </cfRule>
    <cfRule type="expression" dxfId="8301" priority="2687">
      <formula>C16=$B$144</formula>
    </cfRule>
    <cfRule type="expression" dxfId="8300" priority="2688">
      <formula>C16=$B$143</formula>
    </cfRule>
    <cfRule type="expression" dxfId="8299" priority="2689">
      <formula>C16=$B$142</formula>
    </cfRule>
    <cfRule type="expression" dxfId="8298" priority="2690">
      <formula>C16=$B$141</formula>
    </cfRule>
    <cfRule type="expression" dxfId="8297" priority="2691">
      <formula>C16=$B$140</formula>
    </cfRule>
    <cfRule type="expression" dxfId="8296" priority="2692">
      <formula>C16=$B$139</formula>
    </cfRule>
    <cfRule type="expression" dxfId="8295" priority="2693">
      <formula>C16=$B$135</formula>
    </cfRule>
    <cfRule type="expression" dxfId="8294" priority="2694">
      <formula>C16=$B$134</formula>
    </cfRule>
    <cfRule type="expression" dxfId="8293" priority="2695">
      <formula>C16=$B$133</formula>
    </cfRule>
    <cfRule type="expression" dxfId="8292" priority="2696">
      <formula>C16=$B$132</formula>
    </cfRule>
    <cfRule type="expression" dxfId="8291" priority="2697">
      <formula>C16=$B$131</formula>
    </cfRule>
    <cfRule type="expression" dxfId="8290" priority="2698" stopIfTrue="1">
      <formula>C16=$B$130</formula>
    </cfRule>
    <cfRule type="expression" dxfId="8289" priority="2699">
      <formula>C16=$B$129</formula>
    </cfRule>
    <cfRule type="expression" dxfId="8288" priority="2700" stopIfTrue="1">
      <formula>C16=$B$128</formula>
    </cfRule>
    <cfRule type="expression" dxfId="8287" priority="2701">
      <formula>C16=$B$127</formula>
    </cfRule>
    <cfRule type="expression" dxfId="8286" priority="2702">
      <formula>C16=$B$126</formula>
    </cfRule>
    <cfRule type="expression" dxfId="8285" priority="2703">
      <formula>C16=$B$125</formula>
    </cfRule>
    <cfRule type="expression" dxfId="8284" priority="2704" stopIfTrue="1">
      <formula>C16=$B$123</formula>
    </cfRule>
    <cfRule type="expression" dxfId="8283" priority="2705" stopIfTrue="1">
      <formula>C16=$B$122</formula>
    </cfRule>
    <cfRule type="expression" dxfId="8282" priority="2706" stopIfTrue="1">
      <formula>C16=$B$121</formula>
    </cfRule>
    <cfRule type="expression" dxfId="8281" priority="2707">
      <formula>C16=$B$120</formula>
    </cfRule>
    <cfRule type="expression" dxfId="8280" priority="2708">
      <formula>C16=$B$117</formula>
    </cfRule>
    <cfRule type="expression" dxfId="8279" priority="2709" stopIfTrue="1">
      <formula>C16=$B$115</formula>
    </cfRule>
    <cfRule type="expression" dxfId="8278" priority="2710">
      <formula>C16=$B$114</formula>
    </cfRule>
    <cfRule type="expression" dxfId="8277" priority="2711">
      <formula>C16=$B$113</formula>
    </cfRule>
    <cfRule type="expression" dxfId="8276" priority="2712">
      <formula>C16=$B$112</formula>
    </cfRule>
    <cfRule type="expression" dxfId="8275" priority="2713">
      <formula>C16=$B$110</formula>
    </cfRule>
    <cfRule type="expression" dxfId="8274" priority="2714" stopIfTrue="1">
      <formula>C16=$B$111</formula>
    </cfRule>
    <cfRule type="expression" dxfId="8273" priority="2715" stopIfTrue="1">
      <formula>C$5=TODAY()</formula>
    </cfRule>
  </conditionalFormatting>
  <conditionalFormatting sqref="C16">
    <cfRule type="expression" dxfId="8272" priority="2672">
      <formula>C16=$B$137</formula>
    </cfRule>
    <cfRule type="expression" dxfId="8271" priority="2673">
      <formula>C16=$B$138</formula>
    </cfRule>
    <cfRule type="expression" dxfId="8270" priority="2674">
      <formula>C16=$B$136</formula>
    </cfRule>
  </conditionalFormatting>
  <conditionalFormatting sqref="D98">
    <cfRule type="expression" dxfId="8269" priority="2632">
      <formula>D98=$B$130</formula>
    </cfRule>
    <cfRule type="expression" dxfId="8268" priority="2633">
      <formula>D98=$B$128</formula>
    </cfRule>
    <cfRule type="expression" dxfId="8267" priority="2634">
      <formula>D98=$B$124</formula>
    </cfRule>
    <cfRule type="expression" dxfId="8266" priority="2635">
      <formula>D98=$B$119</formula>
    </cfRule>
    <cfRule type="expression" dxfId="8265" priority="2636">
      <formula>D98=$B$116</formula>
    </cfRule>
    <cfRule type="expression" dxfId="8264" priority="2637">
      <formula>D98=$B$113</formula>
    </cfRule>
    <cfRule type="expression" dxfId="8263" priority="2638">
      <formula>D98=$B$116</formula>
    </cfRule>
    <cfRule type="expression" dxfId="8262" priority="2639">
      <formula>D98=$B$146</formula>
    </cfRule>
    <cfRule type="expression" dxfId="8261" priority="2640">
      <formula>D98=$B$118</formula>
    </cfRule>
    <cfRule type="expression" dxfId="8260" priority="2641">
      <formula>D98=$B$146</formula>
    </cfRule>
    <cfRule type="expression" dxfId="8259" priority="2642">
      <formula>D98=$B$145</formula>
    </cfRule>
    <cfRule type="expression" dxfId="8258" priority="2643">
      <formula>D98=$B$144</formula>
    </cfRule>
    <cfRule type="expression" dxfId="8257" priority="2644">
      <formula>D98=$B$143</formula>
    </cfRule>
    <cfRule type="expression" dxfId="8256" priority="2645">
      <formula>D98=$B$142</formula>
    </cfRule>
    <cfRule type="expression" dxfId="8255" priority="2646">
      <formula>D98=$B$141</formula>
    </cfRule>
    <cfRule type="expression" dxfId="8254" priority="2647">
      <formula>D98=$B$140</formula>
    </cfRule>
    <cfRule type="expression" dxfId="8253" priority="2648">
      <formula>D98=$B$139</formula>
    </cfRule>
    <cfRule type="expression" dxfId="8252" priority="2649">
      <formula>D98=$B$135</formula>
    </cfRule>
    <cfRule type="expression" dxfId="8251" priority="2650">
      <formula>D98=$B$134</formula>
    </cfRule>
    <cfRule type="expression" dxfId="8250" priority="2651">
      <formula>D98=$B$133</formula>
    </cfRule>
    <cfRule type="expression" dxfId="8249" priority="2652">
      <formula>D98=$B$132</formula>
    </cfRule>
    <cfRule type="expression" dxfId="8248" priority="2653">
      <formula>D98=$B$131</formula>
    </cfRule>
    <cfRule type="expression" dxfId="8247" priority="2654" stopIfTrue="1">
      <formula>D98=$B$130</formula>
    </cfRule>
    <cfRule type="expression" dxfId="8246" priority="2655">
      <formula>D98=$B$129</formula>
    </cfRule>
    <cfRule type="expression" dxfId="8245" priority="2656" stopIfTrue="1">
      <formula>D98=$B$128</formula>
    </cfRule>
    <cfRule type="expression" dxfId="8244" priority="2657">
      <formula>D98=$B$127</formula>
    </cfRule>
    <cfRule type="expression" dxfId="8243" priority="2658">
      <formula>D98=$B$126</formula>
    </cfRule>
    <cfRule type="expression" dxfId="8242" priority="2659">
      <formula>D98=$B$125</formula>
    </cfRule>
    <cfRule type="expression" dxfId="8241" priority="2660" stopIfTrue="1">
      <formula>D98=$B$123</formula>
    </cfRule>
    <cfRule type="expression" dxfId="8240" priority="2661" stopIfTrue="1">
      <formula>D98=$B$122</formula>
    </cfRule>
    <cfRule type="expression" dxfId="8239" priority="2662" stopIfTrue="1">
      <formula>D98=$B$121</formula>
    </cfRule>
    <cfRule type="expression" dxfId="8238" priority="2663">
      <formula>D98=$B$120</formula>
    </cfRule>
    <cfRule type="expression" dxfId="8237" priority="2664">
      <formula>D98=$B$117</formula>
    </cfRule>
    <cfRule type="expression" dxfId="8236" priority="2665" stopIfTrue="1">
      <formula>D98=$B$115</formula>
    </cfRule>
    <cfRule type="expression" dxfId="8235" priority="2666">
      <formula>D98=$B$114</formula>
    </cfRule>
    <cfRule type="expression" dxfId="8234" priority="2667">
      <formula>D98=$B$113</formula>
    </cfRule>
    <cfRule type="expression" dxfId="8233" priority="2668">
      <formula>D98=$B$112</formula>
    </cfRule>
    <cfRule type="expression" dxfId="8232" priority="2669">
      <formula>D98=$B$110</formula>
    </cfRule>
    <cfRule type="expression" dxfId="8231" priority="2670" stopIfTrue="1">
      <formula>D98=$B$111</formula>
    </cfRule>
    <cfRule type="expression" dxfId="8230" priority="2671" stopIfTrue="1">
      <formula>D$5=TODAY()</formula>
    </cfRule>
  </conditionalFormatting>
  <conditionalFormatting sqref="D98">
    <cfRule type="expression" dxfId="8229" priority="2631">
      <formula>D98=$B$145</formula>
    </cfRule>
  </conditionalFormatting>
  <conditionalFormatting sqref="D98">
    <cfRule type="expression" dxfId="8228" priority="2628">
      <formula>D98=$B$137</formula>
    </cfRule>
    <cfRule type="expression" dxfId="8227" priority="2629">
      <formula>D98=$B$138</formula>
    </cfRule>
    <cfRule type="expression" dxfId="8226" priority="2630">
      <formula>D98=$B$136</formula>
    </cfRule>
  </conditionalFormatting>
  <conditionalFormatting sqref="C98">
    <cfRule type="expression" dxfId="8225" priority="2587">
      <formula>C98=$B$145</formula>
    </cfRule>
    <cfRule type="expression" dxfId="8224" priority="2588">
      <formula>C98=$B$130</formula>
    </cfRule>
    <cfRule type="expression" dxfId="8223" priority="2589">
      <formula>C98=$B$128</formula>
    </cfRule>
    <cfRule type="expression" dxfId="8222" priority="2590">
      <formula>C98=$B$124</formula>
    </cfRule>
    <cfRule type="expression" dxfId="8221" priority="2591">
      <formula>C98=$B$119</formula>
    </cfRule>
    <cfRule type="expression" dxfId="8220" priority="2592">
      <formula>C98=$B$116</formula>
    </cfRule>
    <cfRule type="expression" dxfId="8219" priority="2593">
      <formula>C98=$B$113</formula>
    </cfRule>
    <cfRule type="expression" dxfId="8218" priority="2594">
      <formula>C98=$B$116</formula>
    </cfRule>
    <cfRule type="expression" dxfId="8217" priority="2595">
      <formula>C98=$B$146</formula>
    </cfRule>
    <cfRule type="expression" dxfId="8216" priority="2596">
      <formula>C98=$B$118</formula>
    </cfRule>
    <cfRule type="expression" dxfId="8215" priority="2597">
      <formula>C98=$B$146</formula>
    </cfRule>
    <cfRule type="expression" dxfId="8214" priority="2598">
      <formula>C98=$B$145</formula>
    </cfRule>
    <cfRule type="expression" dxfId="8213" priority="2599">
      <formula>C98=$B$144</formula>
    </cfRule>
    <cfRule type="expression" dxfId="8212" priority="2600">
      <formula>C98=$B$143</formula>
    </cfRule>
    <cfRule type="expression" dxfId="8211" priority="2601">
      <formula>C98=$B$142</formula>
    </cfRule>
    <cfRule type="expression" dxfId="8210" priority="2602">
      <formula>C98=$B$141</formula>
    </cfRule>
    <cfRule type="expression" dxfId="8209" priority="2603">
      <formula>C98=$B$140</formula>
    </cfRule>
    <cfRule type="expression" dxfId="8208" priority="2604">
      <formula>C98=$B$139</formula>
    </cfRule>
    <cfRule type="expression" dxfId="8207" priority="2605">
      <formula>C98=$B$135</formula>
    </cfRule>
    <cfRule type="expression" dxfId="8206" priority="2606">
      <formula>C98=$B$134</formula>
    </cfRule>
    <cfRule type="expression" dxfId="8205" priority="2607">
      <formula>C98=$B$133</formula>
    </cfRule>
    <cfRule type="expression" dxfId="8204" priority="2608">
      <formula>C98=$B$132</formula>
    </cfRule>
    <cfRule type="expression" dxfId="8203" priority="2609">
      <formula>C98=$B$131</formula>
    </cfRule>
    <cfRule type="expression" dxfId="8202" priority="2610" stopIfTrue="1">
      <formula>C98=$B$130</formula>
    </cfRule>
    <cfRule type="expression" dxfId="8201" priority="2611">
      <formula>C98=$B$129</formula>
    </cfRule>
    <cfRule type="expression" dxfId="8200" priority="2612" stopIfTrue="1">
      <formula>C98=$B$128</formula>
    </cfRule>
    <cfRule type="expression" dxfId="8199" priority="2613">
      <formula>C98=$B$127</formula>
    </cfRule>
    <cfRule type="expression" dxfId="8198" priority="2614">
      <formula>C98=$B$126</formula>
    </cfRule>
    <cfRule type="expression" dxfId="8197" priority="2615">
      <formula>C98=$B$125</formula>
    </cfRule>
    <cfRule type="expression" dxfId="8196" priority="2616" stopIfTrue="1">
      <formula>C98=$B$123</formula>
    </cfRule>
    <cfRule type="expression" dxfId="8195" priority="2617" stopIfTrue="1">
      <formula>C98=$B$122</formula>
    </cfRule>
    <cfRule type="expression" dxfId="8194" priority="2618" stopIfTrue="1">
      <formula>C98=$B$121</formula>
    </cfRule>
    <cfRule type="expression" dxfId="8193" priority="2619">
      <formula>C98=$B$120</formula>
    </cfRule>
    <cfRule type="expression" dxfId="8192" priority="2620">
      <formula>C98=$B$117</formula>
    </cfRule>
    <cfRule type="expression" dxfId="8191" priority="2621" stopIfTrue="1">
      <formula>C98=$B$115</formula>
    </cfRule>
    <cfRule type="expression" dxfId="8190" priority="2622">
      <formula>C98=$B$114</formula>
    </cfRule>
    <cfRule type="expression" dxfId="8189" priority="2623">
      <formula>C98=$B$113</formula>
    </cfRule>
    <cfRule type="expression" dxfId="8188" priority="2624">
      <formula>C98=$B$112</formula>
    </cfRule>
    <cfRule type="expression" dxfId="8187" priority="2625">
      <formula>C98=$B$110</formula>
    </cfRule>
    <cfRule type="expression" dxfId="8186" priority="2626" stopIfTrue="1">
      <formula>C98=$B$111</formula>
    </cfRule>
    <cfRule type="expression" dxfId="8185" priority="2627" stopIfTrue="1">
      <formula>C$5=TODAY()</formula>
    </cfRule>
  </conditionalFormatting>
  <conditionalFormatting sqref="C98">
    <cfRule type="expression" dxfId="8184" priority="2584">
      <formula>C98=$B$137</formula>
    </cfRule>
    <cfRule type="expression" dxfId="8183" priority="2585">
      <formula>C98=$B$138</formula>
    </cfRule>
    <cfRule type="expression" dxfId="8182" priority="2586">
      <formula>C98=$B$136</formula>
    </cfRule>
  </conditionalFormatting>
  <conditionalFormatting sqref="E98:G98">
    <cfRule type="expression" dxfId="8181" priority="2456">
      <formula>E98=$B$130</formula>
    </cfRule>
    <cfRule type="expression" dxfId="8180" priority="2457">
      <formula>E98=$B$128</formula>
    </cfRule>
    <cfRule type="expression" dxfId="8179" priority="2458">
      <formula>E98=$B$124</formula>
    </cfRule>
    <cfRule type="expression" dxfId="8178" priority="2459">
      <formula>E98=$B$119</formula>
    </cfRule>
    <cfRule type="expression" dxfId="8177" priority="2460">
      <formula>E98=$B$116</formula>
    </cfRule>
    <cfRule type="expression" dxfId="8176" priority="2461">
      <formula>E98=$B$113</formula>
    </cfRule>
    <cfRule type="expression" dxfId="8175" priority="2462">
      <formula>E98=$B$116</formula>
    </cfRule>
    <cfRule type="expression" dxfId="8174" priority="2463">
      <formula>E98=$B$146</formula>
    </cfRule>
    <cfRule type="expression" dxfId="8173" priority="2464">
      <formula>E98=$B$118</formula>
    </cfRule>
    <cfRule type="expression" dxfId="8172" priority="2465">
      <formula>E98=$B$146</formula>
    </cfRule>
    <cfRule type="expression" dxfId="8171" priority="2466">
      <formula>E98=$B$145</formula>
    </cfRule>
    <cfRule type="expression" dxfId="8170" priority="2467">
      <formula>E98=$B$144</formula>
    </cfRule>
    <cfRule type="expression" dxfId="8169" priority="2468">
      <formula>E98=$B$143</formula>
    </cfRule>
    <cfRule type="expression" dxfId="8168" priority="2469">
      <formula>E98=$B$142</formula>
    </cfRule>
    <cfRule type="expression" dxfId="8167" priority="2470">
      <formula>E98=$B$141</formula>
    </cfRule>
    <cfRule type="expression" dxfId="8166" priority="2471">
      <formula>E98=$B$140</formula>
    </cfRule>
    <cfRule type="expression" dxfId="8165" priority="2472">
      <formula>E98=$B$139</formula>
    </cfRule>
    <cfRule type="expression" dxfId="8164" priority="2473">
      <formula>E98=$B$135</formula>
    </cfRule>
    <cfRule type="expression" dxfId="8163" priority="2474">
      <formula>E98=$B$134</formula>
    </cfRule>
    <cfRule type="expression" dxfId="8162" priority="2475">
      <formula>E98=$B$133</formula>
    </cfRule>
    <cfRule type="expression" dxfId="8161" priority="2476">
      <formula>E98=$B$132</formula>
    </cfRule>
    <cfRule type="expression" dxfId="8160" priority="2477">
      <formula>E98=$B$131</formula>
    </cfRule>
    <cfRule type="expression" dxfId="8159" priority="2478" stopIfTrue="1">
      <formula>E98=$B$130</formula>
    </cfRule>
    <cfRule type="expression" dxfId="8158" priority="2479">
      <formula>E98=$B$129</formula>
    </cfRule>
    <cfRule type="expression" dxfId="8157" priority="2480" stopIfTrue="1">
      <formula>E98=$B$128</formula>
    </cfRule>
    <cfRule type="expression" dxfId="8156" priority="2481">
      <formula>E98=$B$127</formula>
    </cfRule>
    <cfRule type="expression" dxfId="8155" priority="2482">
      <formula>E98=$B$126</formula>
    </cfRule>
    <cfRule type="expression" dxfId="8154" priority="2483">
      <formula>E98=$B$125</formula>
    </cfRule>
    <cfRule type="expression" dxfId="8153" priority="2484" stopIfTrue="1">
      <formula>E98=$B$123</formula>
    </cfRule>
    <cfRule type="expression" dxfId="8152" priority="2485" stopIfTrue="1">
      <formula>E98=$B$122</formula>
    </cfRule>
    <cfRule type="expression" dxfId="8151" priority="2486" stopIfTrue="1">
      <formula>E98=$B$121</formula>
    </cfRule>
    <cfRule type="expression" dxfId="8150" priority="2487">
      <formula>E98=$B$120</formula>
    </cfRule>
    <cfRule type="expression" dxfId="8149" priority="2488">
      <formula>E98=$B$117</formula>
    </cfRule>
    <cfRule type="expression" dxfId="8148" priority="2489" stopIfTrue="1">
      <formula>E98=$B$115</formula>
    </cfRule>
    <cfRule type="expression" dxfId="8147" priority="2490">
      <formula>E98=$B$114</formula>
    </cfRule>
    <cfRule type="expression" dxfId="8146" priority="2491">
      <formula>E98=$B$113</formula>
    </cfRule>
    <cfRule type="expression" dxfId="8145" priority="2492">
      <formula>E98=$B$112</formula>
    </cfRule>
    <cfRule type="expression" dxfId="8144" priority="2493">
      <formula>E98=$B$110</formula>
    </cfRule>
    <cfRule type="expression" dxfId="8143" priority="2494" stopIfTrue="1">
      <formula>E98=$B$111</formula>
    </cfRule>
    <cfRule type="expression" dxfId="8142" priority="2495" stopIfTrue="1">
      <formula>E$5=TODAY()</formula>
    </cfRule>
  </conditionalFormatting>
  <conditionalFormatting sqref="E98:G98">
    <cfRule type="expression" dxfId="8141" priority="2455">
      <formula>E98=$B$145</formula>
    </cfRule>
  </conditionalFormatting>
  <conditionalFormatting sqref="E98:G98">
    <cfRule type="expression" dxfId="8140" priority="2452">
      <formula>E98=$B$137</formula>
    </cfRule>
    <cfRule type="expression" dxfId="8139" priority="2453">
      <formula>E98=$B$138</formula>
    </cfRule>
    <cfRule type="expression" dxfId="8138" priority="2454">
      <formula>E98=$B$136</formula>
    </cfRule>
  </conditionalFormatting>
  <conditionalFormatting sqref="H98:I98">
    <cfRule type="expression" dxfId="8137" priority="2411">
      <formula>H98=$B$145</formula>
    </cfRule>
    <cfRule type="expression" dxfId="8136" priority="2412">
      <formula>H98=$B$130</formula>
    </cfRule>
    <cfRule type="expression" dxfId="8135" priority="2413">
      <formula>H98=$B$128</formula>
    </cfRule>
    <cfRule type="expression" dxfId="8134" priority="2414">
      <formula>H98=$B$124</formula>
    </cfRule>
    <cfRule type="expression" dxfId="8133" priority="2415">
      <formula>H98=$B$119</formula>
    </cfRule>
    <cfRule type="expression" dxfId="8132" priority="2416">
      <formula>H98=$B$116</formula>
    </cfRule>
    <cfRule type="expression" dxfId="8131" priority="2417">
      <formula>H98=$B$113</formula>
    </cfRule>
    <cfRule type="expression" dxfId="8130" priority="2418">
      <formula>H98=$B$116</formula>
    </cfRule>
    <cfRule type="expression" dxfId="8129" priority="2419">
      <formula>H98=$B$146</formula>
    </cfRule>
    <cfRule type="expression" dxfId="8128" priority="2420">
      <formula>H98=$B$118</formula>
    </cfRule>
    <cfRule type="expression" dxfId="8127" priority="2421">
      <formula>H98=$B$146</formula>
    </cfRule>
    <cfRule type="expression" dxfId="8126" priority="2422">
      <formula>H98=$B$145</formula>
    </cfRule>
    <cfRule type="expression" dxfId="8125" priority="2423">
      <formula>H98=$B$144</formula>
    </cfRule>
    <cfRule type="expression" dxfId="8124" priority="2424">
      <formula>H98=$B$143</formula>
    </cfRule>
    <cfRule type="expression" dxfId="8123" priority="2425">
      <formula>H98=$B$142</formula>
    </cfRule>
    <cfRule type="expression" dxfId="8122" priority="2426">
      <formula>H98=$B$141</formula>
    </cfRule>
    <cfRule type="expression" dxfId="8121" priority="2427">
      <formula>H98=$B$140</formula>
    </cfRule>
    <cfRule type="expression" dxfId="8120" priority="2428">
      <formula>H98=$B$139</formula>
    </cfRule>
    <cfRule type="expression" dxfId="8119" priority="2429">
      <formula>H98=$B$135</formula>
    </cfRule>
    <cfRule type="expression" dxfId="8118" priority="2430">
      <formula>H98=$B$134</formula>
    </cfRule>
    <cfRule type="expression" dxfId="8117" priority="2431">
      <formula>H98=$B$133</formula>
    </cfRule>
    <cfRule type="expression" dxfId="8116" priority="2432">
      <formula>H98=$B$132</formula>
    </cfRule>
    <cfRule type="expression" dxfId="8115" priority="2433">
      <formula>H98=$B$131</formula>
    </cfRule>
    <cfRule type="expression" dxfId="8114" priority="2434" stopIfTrue="1">
      <formula>H98=$B$130</formula>
    </cfRule>
    <cfRule type="expression" dxfId="8113" priority="2435">
      <formula>H98=$B$129</formula>
    </cfRule>
    <cfRule type="expression" dxfId="8112" priority="2436" stopIfTrue="1">
      <formula>H98=$B$128</formula>
    </cfRule>
    <cfRule type="expression" dxfId="8111" priority="2437">
      <formula>H98=$B$127</formula>
    </cfRule>
    <cfRule type="expression" dxfId="8110" priority="2438">
      <formula>H98=$B$126</formula>
    </cfRule>
    <cfRule type="expression" dxfId="8109" priority="2439">
      <formula>H98=$B$125</formula>
    </cfRule>
    <cfRule type="expression" dxfId="8108" priority="2440" stopIfTrue="1">
      <formula>H98=$B$123</formula>
    </cfRule>
    <cfRule type="expression" dxfId="8107" priority="2441" stopIfTrue="1">
      <formula>H98=$B$122</formula>
    </cfRule>
    <cfRule type="expression" dxfId="8106" priority="2442" stopIfTrue="1">
      <formula>H98=$B$121</formula>
    </cfRule>
    <cfRule type="expression" dxfId="8105" priority="2443">
      <formula>H98=$B$120</formula>
    </cfRule>
    <cfRule type="expression" dxfId="8104" priority="2444">
      <formula>H98=$B$117</formula>
    </cfRule>
    <cfRule type="expression" dxfId="8103" priority="2445" stopIfTrue="1">
      <formula>H98=$B$115</formula>
    </cfRule>
    <cfRule type="expression" dxfId="8102" priority="2446">
      <formula>H98=$B$114</formula>
    </cfRule>
    <cfRule type="expression" dxfId="8101" priority="2447">
      <formula>H98=$B$113</formula>
    </cfRule>
    <cfRule type="expression" dxfId="8100" priority="2448">
      <formula>H98=$B$112</formula>
    </cfRule>
    <cfRule type="expression" dxfId="8099" priority="2449">
      <formula>H98=$B$110</formula>
    </cfRule>
    <cfRule type="expression" dxfId="8098" priority="2450" stopIfTrue="1">
      <formula>H98=$B$111</formula>
    </cfRule>
    <cfRule type="expression" dxfId="8097" priority="2451" stopIfTrue="1">
      <formula>H$5=TODAY()</formula>
    </cfRule>
  </conditionalFormatting>
  <conditionalFormatting sqref="H98:I98">
    <cfRule type="expression" dxfId="8096" priority="2408">
      <formula>H98=$B$137</formula>
    </cfRule>
    <cfRule type="expression" dxfId="8095" priority="2409">
      <formula>H98=$B$138</formula>
    </cfRule>
    <cfRule type="expression" dxfId="8094" priority="2410">
      <formula>H98=$B$136</formula>
    </cfRule>
  </conditionalFormatting>
  <conditionalFormatting sqref="D106">
    <cfRule type="expression" dxfId="8093" priority="2368">
      <formula>D106=$B$130</formula>
    </cfRule>
    <cfRule type="expression" dxfId="8092" priority="2369">
      <formula>D106=$B$128</formula>
    </cfRule>
    <cfRule type="expression" dxfId="8091" priority="2370">
      <formula>D106=$B$124</formula>
    </cfRule>
    <cfRule type="expression" dxfId="8090" priority="2371">
      <formula>D106=$B$119</formula>
    </cfRule>
    <cfRule type="expression" dxfId="8089" priority="2372">
      <formula>D106=$B$116</formula>
    </cfRule>
    <cfRule type="expression" dxfId="8088" priority="2373">
      <formula>D106=$B$113</formula>
    </cfRule>
    <cfRule type="expression" dxfId="8087" priority="2374">
      <formula>D106=$B$116</formula>
    </cfRule>
    <cfRule type="expression" dxfId="8086" priority="2375">
      <formula>D106=$B$146</formula>
    </cfRule>
    <cfRule type="expression" dxfId="8085" priority="2376">
      <formula>D106=$B$118</formula>
    </cfRule>
    <cfRule type="expression" dxfId="8084" priority="2377">
      <formula>D106=$B$146</formula>
    </cfRule>
    <cfRule type="expression" dxfId="8083" priority="2378">
      <formula>D106=$B$145</formula>
    </cfRule>
    <cfRule type="expression" dxfId="8082" priority="2379">
      <formula>D106=$B$144</formula>
    </cfRule>
    <cfRule type="expression" dxfId="8081" priority="2380">
      <formula>D106=$B$143</formula>
    </cfRule>
    <cfRule type="expression" dxfId="8080" priority="2381">
      <formula>D106=$B$142</formula>
    </cfRule>
    <cfRule type="expression" dxfId="8079" priority="2382">
      <formula>D106=$B$141</formula>
    </cfRule>
    <cfRule type="expression" dxfId="8078" priority="2383">
      <formula>D106=$B$140</formula>
    </cfRule>
    <cfRule type="expression" dxfId="8077" priority="2384">
      <formula>D106=$B$139</formula>
    </cfRule>
    <cfRule type="expression" dxfId="8076" priority="2385">
      <formula>D106=$B$135</formula>
    </cfRule>
    <cfRule type="expression" dxfId="8075" priority="2386">
      <formula>D106=$B$134</formula>
    </cfRule>
    <cfRule type="expression" dxfId="8074" priority="2387">
      <formula>D106=$B$133</formula>
    </cfRule>
    <cfRule type="expression" dxfId="8073" priority="2388">
      <formula>D106=$B$132</formula>
    </cfRule>
    <cfRule type="expression" dxfId="8072" priority="2389">
      <formula>D106=$B$131</formula>
    </cfRule>
    <cfRule type="expression" dxfId="8071" priority="2390" stopIfTrue="1">
      <formula>D106=$B$130</formula>
    </cfRule>
    <cfRule type="expression" dxfId="8070" priority="2391">
      <formula>D106=$B$129</formula>
    </cfRule>
    <cfRule type="expression" dxfId="8069" priority="2392" stopIfTrue="1">
      <formula>D106=$B$128</formula>
    </cfRule>
    <cfRule type="expression" dxfId="8068" priority="2393">
      <formula>D106=$B$127</formula>
    </cfRule>
    <cfRule type="expression" dxfId="8067" priority="2394">
      <formula>D106=$B$126</formula>
    </cfRule>
    <cfRule type="expression" dxfId="8066" priority="2395">
      <formula>D106=$B$125</formula>
    </cfRule>
    <cfRule type="expression" dxfId="8065" priority="2396" stopIfTrue="1">
      <formula>D106=$B$123</formula>
    </cfRule>
    <cfRule type="expression" dxfId="8064" priority="2397" stopIfTrue="1">
      <formula>D106=$B$122</formula>
    </cfRule>
    <cfRule type="expression" dxfId="8063" priority="2398" stopIfTrue="1">
      <formula>D106=$B$121</formula>
    </cfRule>
    <cfRule type="expression" dxfId="8062" priority="2399">
      <formula>D106=$B$120</formula>
    </cfRule>
    <cfRule type="expression" dxfId="8061" priority="2400">
      <formula>D106=$B$117</formula>
    </cfRule>
    <cfRule type="expression" dxfId="8060" priority="2401" stopIfTrue="1">
      <formula>D106=$B$115</formula>
    </cfRule>
    <cfRule type="expression" dxfId="8059" priority="2402">
      <formula>D106=$B$114</formula>
    </cfRule>
    <cfRule type="expression" dxfId="8058" priority="2403">
      <formula>D106=$B$113</formula>
    </cfRule>
    <cfRule type="expression" dxfId="8057" priority="2404">
      <formula>D106=$B$112</formula>
    </cfRule>
    <cfRule type="expression" dxfId="8056" priority="2405">
      <formula>D106=$B$110</formula>
    </cfRule>
    <cfRule type="expression" dxfId="8055" priority="2406" stopIfTrue="1">
      <formula>D106=$B$111</formula>
    </cfRule>
    <cfRule type="expression" dxfId="8054" priority="2407" stopIfTrue="1">
      <formula>D$5=TODAY()</formula>
    </cfRule>
  </conditionalFormatting>
  <conditionalFormatting sqref="D106">
    <cfRule type="expression" dxfId="8053" priority="2367">
      <formula>D106=$B$145</formula>
    </cfRule>
  </conditionalFormatting>
  <conditionalFormatting sqref="D106">
    <cfRule type="expression" dxfId="8052" priority="2364">
      <formula>D106=$B$137</formula>
    </cfRule>
    <cfRule type="expression" dxfId="8051" priority="2365">
      <formula>D106=$B$138</formula>
    </cfRule>
    <cfRule type="expression" dxfId="8050" priority="2366">
      <formula>D106=$B$136</formula>
    </cfRule>
  </conditionalFormatting>
  <conditionalFormatting sqref="C106">
    <cfRule type="expression" dxfId="8049" priority="2323">
      <formula>C106=$B$145</formula>
    </cfRule>
    <cfRule type="expression" dxfId="8048" priority="2324">
      <formula>C106=$B$130</formula>
    </cfRule>
    <cfRule type="expression" dxfId="8047" priority="2325">
      <formula>C106=$B$128</formula>
    </cfRule>
    <cfRule type="expression" dxfId="8046" priority="2326">
      <formula>C106=$B$124</formula>
    </cfRule>
    <cfRule type="expression" dxfId="8045" priority="2327">
      <formula>C106=$B$119</formula>
    </cfRule>
    <cfRule type="expression" dxfId="8044" priority="2328">
      <formula>C106=$B$116</formula>
    </cfRule>
    <cfRule type="expression" dxfId="8043" priority="2329">
      <formula>C106=$B$113</formula>
    </cfRule>
    <cfRule type="expression" dxfId="8042" priority="2330">
      <formula>C106=$B$116</formula>
    </cfRule>
    <cfRule type="expression" dxfId="8041" priority="2331">
      <formula>C106=$B$146</formula>
    </cfRule>
    <cfRule type="expression" dxfId="8040" priority="2332">
      <formula>C106=$B$118</formula>
    </cfRule>
    <cfRule type="expression" dxfId="8039" priority="2333">
      <formula>C106=$B$146</formula>
    </cfRule>
    <cfRule type="expression" dxfId="8038" priority="2334">
      <formula>C106=$B$145</formula>
    </cfRule>
    <cfRule type="expression" dxfId="8037" priority="2335">
      <formula>C106=$B$144</formula>
    </cfRule>
    <cfRule type="expression" dxfId="8036" priority="2336">
      <formula>C106=$B$143</formula>
    </cfRule>
    <cfRule type="expression" dxfId="8035" priority="2337">
      <formula>C106=$B$142</formula>
    </cfRule>
    <cfRule type="expression" dxfId="8034" priority="2338">
      <formula>C106=$B$141</formula>
    </cfRule>
    <cfRule type="expression" dxfId="8033" priority="2339">
      <formula>C106=$B$140</formula>
    </cfRule>
    <cfRule type="expression" dxfId="8032" priority="2340">
      <formula>C106=$B$139</formula>
    </cfRule>
    <cfRule type="expression" dxfId="8031" priority="2341">
      <formula>C106=$B$135</formula>
    </cfRule>
    <cfRule type="expression" dxfId="8030" priority="2342">
      <formula>C106=$B$134</formula>
    </cfRule>
    <cfRule type="expression" dxfId="8029" priority="2343">
      <formula>C106=$B$133</formula>
    </cfRule>
    <cfRule type="expression" dxfId="8028" priority="2344">
      <formula>C106=$B$132</formula>
    </cfRule>
    <cfRule type="expression" dxfId="8027" priority="2345">
      <formula>C106=$B$131</formula>
    </cfRule>
    <cfRule type="expression" dxfId="8026" priority="2346" stopIfTrue="1">
      <formula>C106=$B$130</formula>
    </cfRule>
    <cfRule type="expression" dxfId="8025" priority="2347">
      <formula>C106=$B$129</formula>
    </cfRule>
    <cfRule type="expression" dxfId="8024" priority="2348" stopIfTrue="1">
      <formula>C106=$B$128</formula>
    </cfRule>
    <cfRule type="expression" dxfId="8023" priority="2349">
      <formula>C106=$B$127</formula>
    </cfRule>
    <cfRule type="expression" dxfId="8022" priority="2350">
      <formula>C106=$B$126</formula>
    </cfRule>
    <cfRule type="expression" dxfId="8021" priority="2351">
      <formula>C106=$B$125</formula>
    </cfRule>
    <cfRule type="expression" dxfId="8020" priority="2352" stopIfTrue="1">
      <formula>C106=$B$123</formula>
    </cfRule>
    <cfRule type="expression" dxfId="8019" priority="2353" stopIfTrue="1">
      <formula>C106=$B$122</formula>
    </cfRule>
    <cfRule type="expression" dxfId="8018" priority="2354" stopIfTrue="1">
      <formula>C106=$B$121</formula>
    </cfRule>
    <cfRule type="expression" dxfId="8017" priority="2355">
      <formula>C106=$B$120</formula>
    </cfRule>
    <cfRule type="expression" dxfId="8016" priority="2356">
      <formula>C106=$B$117</formula>
    </cfRule>
    <cfRule type="expression" dxfId="8015" priority="2357" stopIfTrue="1">
      <formula>C106=$B$115</formula>
    </cfRule>
    <cfRule type="expression" dxfId="8014" priority="2358">
      <formula>C106=$B$114</formula>
    </cfRule>
    <cfRule type="expression" dxfId="8013" priority="2359">
      <formula>C106=$B$113</formula>
    </cfRule>
    <cfRule type="expression" dxfId="8012" priority="2360">
      <formula>C106=$B$112</formula>
    </cfRule>
    <cfRule type="expression" dxfId="8011" priority="2361">
      <formula>C106=$B$110</formula>
    </cfRule>
    <cfRule type="expression" dxfId="8010" priority="2362" stopIfTrue="1">
      <formula>C106=$B$111</formula>
    </cfRule>
    <cfRule type="expression" dxfId="8009" priority="2363" stopIfTrue="1">
      <formula>C$5=TODAY()</formula>
    </cfRule>
  </conditionalFormatting>
  <conditionalFormatting sqref="C106">
    <cfRule type="expression" dxfId="8008" priority="2320">
      <formula>C106=$B$137</formula>
    </cfRule>
    <cfRule type="expression" dxfId="8007" priority="2321">
      <formula>C106=$B$138</formula>
    </cfRule>
    <cfRule type="expression" dxfId="8006" priority="2322">
      <formula>C106=$B$136</formula>
    </cfRule>
  </conditionalFormatting>
  <conditionalFormatting sqref="E106:G106">
    <cfRule type="expression" dxfId="8005" priority="2280">
      <formula>E106=$B$130</formula>
    </cfRule>
    <cfRule type="expression" dxfId="8004" priority="2281">
      <formula>E106=$B$128</formula>
    </cfRule>
    <cfRule type="expression" dxfId="8003" priority="2282">
      <formula>E106=$B$124</formula>
    </cfRule>
    <cfRule type="expression" dxfId="8002" priority="2283">
      <formula>E106=$B$119</formula>
    </cfRule>
    <cfRule type="expression" dxfId="8001" priority="2284">
      <formula>E106=$B$116</formula>
    </cfRule>
    <cfRule type="expression" dxfId="8000" priority="2285">
      <formula>E106=$B$113</formula>
    </cfRule>
    <cfRule type="expression" dxfId="7999" priority="2286">
      <formula>E106=$B$116</formula>
    </cfRule>
    <cfRule type="expression" dxfId="7998" priority="2287">
      <formula>E106=$B$146</formula>
    </cfRule>
    <cfRule type="expression" dxfId="7997" priority="2288">
      <formula>E106=$B$118</formula>
    </cfRule>
    <cfRule type="expression" dxfId="7996" priority="2289">
      <formula>E106=$B$146</formula>
    </cfRule>
    <cfRule type="expression" dxfId="7995" priority="2290">
      <formula>E106=$B$145</formula>
    </cfRule>
    <cfRule type="expression" dxfId="7994" priority="2291">
      <formula>E106=$B$144</formula>
    </cfRule>
    <cfRule type="expression" dxfId="7993" priority="2292">
      <formula>E106=$B$143</formula>
    </cfRule>
    <cfRule type="expression" dxfId="7992" priority="2293">
      <formula>E106=$B$142</formula>
    </cfRule>
    <cfRule type="expression" dxfId="7991" priority="2294">
      <formula>E106=$B$141</formula>
    </cfRule>
    <cfRule type="expression" dxfId="7990" priority="2295">
      <formula>E106=$B$140</formula>
    </cfRule>
    <cfRule type="expression" dxfId="7989" priority="2296">
      <formula>E106=$B$139</formula>
    </cfRule>
    <cfRule type="expression" dxfId="7988" priority="2297">
      <formula>E106=$B$135</formula>
    </cfRule>
    <cfRule type="expression" dxfId="7987" priority="2298">
      <formula>E106=$B$134</formula>
    </cfRule>
    <cfRule type="expression" dxfId="7986" priority="2299">
      <formula>E106=$B$133</formula>
    </cfRule>
    <cfRule type="expression" dxfId="7985" priority="2300">
      <formula>E106=$B$132</formula>
    </cfRule>
    <cfRule type="expression" dxfId="7984" priority="2301">
      <formula>E106=$B$131</formula>
    </cfRule>
    <cfRule type="expression" dxfId="7983" priority="2302" stopIfTrue="1">
      <formula>E106=$B$130</formula>
    </cfRule>
    <cfRule type="expression" dxfId="7982" priority="2303">
      <formula>E106=$B$129</formula>
    </cfRule>
    <cfRule type="expression" dxfId="7981" priority="2304" stopIfTrue="1">
      <formula>E106=$B$128</formula>
    </cfRule>
    <cfRule type="expression" dxfId="7980" priority="2305">
      <formula>E106=$B$127</formula>
    </cfRule>
    <cfRule type="expression" dxfId="7979" priority="2306">
      <formula>E106=$B$126</formula>
    </cfRule>
    <cfRule type="expression" dxfId="7978" priority="2307">
      <formula>E106=$B$125</formula>
    </cfRule>
    <cfRule type="expression" dxfId="7977" priority="2308" stopIfTrue="1">
      <formula>E106=$B$123</formula>
    </cfRule>
    <cfRule type="expression" dxfId="7976" priority="2309" stopIfTrue="1">
      <formula>E106=$B$122</formula>
    </cfRule>
    <cfRule type="expression" dxfId="7975" priority="2310" stopIfTrue="1">
      <formula>E106=$B$121</formula>
    </cfRule>
    <cfRule type="expression" dxfId="7974" priority="2311">
      <formula>E106=$B$120</formula>
    </cfRule>
    <cfRule type="expression" dxfId="7973" priority="2312">
      <formula>E106=$B$117</formula>
    </cfRule>
    <cfRule type="expression" dxfId="7972" priority="2313" stopIfTrue="1">
      <formula>E106=$B$115</formula>
    </cfRule>
    <cfRule type="expression" dxfId="7971" priority="2314">
      <formula>E106=$B$114</formula>
    </cfRule>
    <cfRule type="expression" dxfId="7970" priority="2315">
      <formula>E106=$B$113</formula>
    </cfRule>
    <cfRule type="expression" dxfId="7969" priority="2316">
      <formula>E106=$B$112</formula>
    </cfRule>
    <cfRule type="expression" dxfId="7968" priority="2317">
      <formula>E106=$B$110</formula>
    </cfRule>
    <cfRule type="expression" dxfId="7967" priority="2318" stopIfTrue="1">
      <formula>E106=$B$111</formula>
    </cfRule>
    <cfRule type="expression" dxfId="7966" priority="2319" stopIfTrue="1">
      <formula>E$5=TODAY()</formula>
    </cfRule>
  </conditionalFormatting>
  <conditionalFormatting sqref="E106:G106">
    <cfRule type="expression" dxfId="7965" priority="2279">
      <formula>E106=$B$145</formula>
    </cfRule>
  </conditionalFormatting>
  <conditionalFormatting sqref="E106:G106">
    <cfRule type="expression" dxfId="7964" priority="2276">
      <formula>E106=$B$137</formula>
    </cfRule>
    <cfRule type="expression" dxfId="7963" priority="2277">
      <formula>E106=$B$138</formula>
    </cfRule>
    <cfRule type="expression" dxfId="7962" priority="2278">
      <formula>E106=$B$136</formula>
    </cfRule>
  </conditionalFormatting>
  <conditionalFormatting sqref="H106:I106">
    <cfRule type="expression" dxfId="7961" priority="2235">
      <formula>H106=$B$145</formula>
    </cfRule>
    <cfRule type="expression" dxfId="7960" priority="2236">
      <formula>H106=$B$130</formula>
    </cfRule>
    <cfRule type="expression" dxfId="7959" priority="2237">
      <formula>H106=$B$128</formula>
    </cfRule>
    <cfRule type="expression" dxfId="7958" priority="2238">
      <formula>H106=$B$124</formula>
    </cfRule>
    <cfRule type="expression" dxfId="7957" priority="2239">
      <formula>H106=$B$119</formula>
    </cfRule>
    <cfRule type="expression" dxfId="7956" priority="2240">
      <formula>H106=$B$116</formula>
    </cfRule>
    <cfRule type="expression" dxfId="7955" priority="2241">
      <formula>H106=$B$113</formula>
    </cfRule>
    <cfRule type="expression" dxfId="7954" priority="2242">
      <formula>H106=$B$116</formula>
    </cfRule>
    <cfRule type="expression" dxfId="7953" priority="2243">
      <formula>H106=$B$146</formula>
    </cfRule>
    <cfRule type="expression" dxfId="7952" priority="2244">
      <formula>H106=$B$118</formula>
    </cfRule>
    <cfRule type="expression" dxfId="7951" priority="2245">
      <formula>H106=$B$146</formula>
    </cfRule>
    <cfRule type="expression" dxfId="7950" priority="2246">
      <formula>H106=$B$145</formula>
    </cfRule>
    <cfRule type="expression" dxfId="7949" priority="2247">
      <formula>H106=$B$144</formula>
    </cfRule>
    <cfRule type="expression" dxfId="7948" priority="2248">
      <formula>H106=$B$143</formula>
    </cfRule>
    <cfRule type="expression" dxfId="7947" priority="2249">
      <formula>H106=$B$142</formula>
    </cfRule>
    <cfRule type="expression" dxfId="7946" priority="2250">
      <formula>H106=$B$141</formula>
    </cfRule>
    <cfRule type="expression" dxfId="7945" priority="2251">
      <formula>H106=$B$140</formula>
    </cfRule>
    <cfRule type="expression" dxfId="7944" priority="2252">
      <formula>H106=$B$139</formula>
    </cfRule>
    <cfRule type="expression" dxfId="7943" priority="2253">
      <formula>H106=$B$135</formula>
    </cfRule>
    <cfRule type="expression" dxfId="7942" priority="2254">
      <formula>H106=$B$134</formula>
    </cfRule>
    <cfRule type="expression" dxfId="7941" priority="2255">
      <formula>H106=$B$133</formula>
    </cfRule>
    <cfRule type="expression" dxfId="7940" priority="2256">
      <formula>H106=$B$132</formula>
    </cfRule>
    <cfRule type="expression" dxfId="7939" priority="2257">
      <formula>H106=$B$131</formula>
    </cfRule>
    <cfRule type="expression" dxfId="7938" priority="2258" stopIfTrue="1">
      <formula>H106=$B$130</formula>
    </cfRule>
    <cfRule type="expression" dxfId="7937" priority="2259">
      <formula>H106=$B$129</formula>
    </cfRule>
    <cfRule type="expression" dxfId="7936" priority="2260" stopIfTrue="1">
      <formula>H106=$B$128</formula>
    </cfRule>
    <cfRule type="expression" dxfId="7935" priority="2261">
      <formula>H106=$B$127</formula>
    </cfRule>
    <cfRule type="expression" dxfId="7934" priority="2262">
      <formula>H106=$B$126</formula>
    </cfRule>
    <cfRule type="expression" dxfId="7933" priority="2263">
      <formula>H106=$B$125</formula>
    </cfRule>
    <cfRule type="expression" dxfId="7932" priority="2264" stopIfTrue="1">
      <formula>H106=$B$123</formula>
    </cfRule>
    <cfRule type="expression" dxfId="7931" priority="2265" stopIfTrue="1">
      <formula>H106=$B$122</formula>
    </cfRule>
    <cfRule type="expression" dxfId="7930" priority="2266" stopIfTrue="1">
      <formula>H106=$B$121</formula>
    </cfRule>
    <cfRule type="expression" dxfId="7929" priority="2267">
      <formula>H106=$B$120</formula>
    </cfRule>
    <cfRule type="expression" dxfId="7928" priority="2268">
      <formula>H106=$B$117</formula>
    </cfRule>
    <cfRule type="expression" dxfId="7927" priority="2269" stopIfTrue="1">
      <formula>H106=$B$115</formula>
    </cfRule>
    <cfRule type="expression" dxfId="7926" priority="2270">
      <formula>H106=$B$114</formula>
    </cfRule>
    <cfRule type="expression" dxfId="7925" priority="2271">
      <formula>H106=$B$113</formula>
    </cfRule>
    <cfRule type="expression" dxfId="7924" priority="2272">
      <formula>H106=$B$112</formula>
    </cfRule>
    <cfRule type="expression" dxfId="7923" priority="2273">
      <formula>H106=$B$110</formula>
    </cfRule>
    <cfRule type="expression" dxfId="7922" priority="2274" stopIfTrue="1">
      <formula>H106=$B$111</formula>
    </cfRule>
    <cfRule type="expression" dxfId="7921" priority="2275" stopIfTrue="1">
      <formula>H$5=TODAY()</formula>
    </cfRule>
  </conditionalFormatting>
  <conditionalFormatting sqref="H106:I106">
    <cfRule type="expression" dxfId="7920" priority="2232">
      <formula>H106=$B$137</formula>
    </cfRule>
    <cfRule type="expression" dxfId="7919" priority="2233">
      <formula>H106=$B$138</formula>
    </cfRule>
    <cfRule type="expression" dxfId="7918" priority="2234">
      <formula>H106=$B$136</formula>
    </cfRule>
  </conditionalFormatting>
  <conditionalFormatting sqref="D10">
    <cfRule type="expression" dxfId="7917" priority="2192">
      <formula>D10=$B$130</formula>
    </cfRule>
    <cfRule type="expression" dxfId="7916" priority="2193">
      <formula>D10=$B$128</formula>
    </cfRule>
    <cfRule type="expression" dxfId="7915" priority="2194">
      <formula>D10=$B$124</formula>
    </cfRule>
    <cfRule type="expression" dxfId="7914" priority="2195">
      <formula>D10=$B$119</formula>
    </cfRule>
    <cfRule type="expression" dxfId="7913" priority="2196">
      <formula>D10=$B$116</formula>
    </cfRule>
    <cfRule type="expression" dxfId="7912" priority="2197">
      <formula>D10=$B$113</formula>
    </cfRule>
    <cfRule type="expression" dxfId="7911" priority="2198">
      <formula>D10=$B$116</formula>
    </cfRule>
    <cfRule type="expression" dxfId="7910" priority="2199">
      <formula>D10=$B$146</formula>
    </cfRule>
    <cfRule type="expression" dxfId="7909" priority="2200">
      <formula>D10=$B$118</formula>
    </cfRule>
    <cfRule type="expression" dxfId="7908" priority="2201">
      <formula>D10=$B$146</formula>
    </cfRule>
    <cfRule type="expression" dxfId="7907" priority="2202">
      <formula>D10=$B$145</formula>
    </cfRule>
    <cfRule type="expression" dxfId="7906" priority="2203">
      <formula>D10=$B$144</formula>
    </cfRule>
    <cfRule type="expression" dxfId="7905" priority="2204">
      <formula>D10=$B$143</formula>
    </cfRule>
    <cfRule type="expression" dxfId="7904" priority="2205">
      <formula>D10=$B$142</formula>
    </cfRule>
    <cfRule type="expression" dxfId="7903" priority="2206">
      <formula>D10=$B$141</formula>
    </cfRule>
    <cfRule type="expression" dxfId="7902" priority="2207">
      <formula>D10=$B$140</formula>
    </cfRule>
    <cfRule type="expression" dxfId="7901" priority="2208">
      <formula>D10=$B$139</formula>
    </cfRule>
    <cfRule type="expression" dxfId="7900" priority="2209">
      <formula>D10=$B$135</formula>
    </cfRule>
    <cfRule type="expression" dxfId="7899" priority="2210">
      <formula>D10=$B$134</formula>
    </cfRule>
    <cfRule type="expression" dxfId="7898" priority="2211">
      <formula>D10=$B$133</formula>
    </cfRule>
    <cfRule type="expression" dxfId="7897" priority="2212">
      <formula>D10=$B$132</formula>
    </cfRule>
    <cfRule type="expression" dxfId="7896" priority="2213">
      <formula>D10=$B$131</formula>
    </cfRule>
    <cfRule type="expression" dxfId="7895" priority="2214" stopIfTrue="1">
      <formula>D10=$B$130</formula>
    </cfRule>
    <cfRule type="expression" dxfId="7894" priority="2215">
      <formula>D10=$B$129</formula>
    </cfRule>
    <cfRule type="expression" dxfId="7893" priority="2216" stopIfTrue="1">
      <formula>D10=$B$128</formula>
    </cfRule>
    <cfRule type="expression" dxfId="7892" priority="2217">
      <formula>D10=$B$127</formula>
    </cfRule>
    <cfRule type="expression" dxfId="7891" priority="2218">
      <formula>D10=$B$126</formula>
    </cfRule>
    <cfRule type="expression" dxfId="7890" priority="2219">
      <formula>D10=$B$125</formula>
    </cfRule>
    <cfRule type="expression" dxfId="7889" priority="2220" stopIfTrue="1">
      <formula>D10=$B$123</formula>
    </cfRule>
    <cfRule type="expression" dxfId="7888" priority="2221" stopIfTrue="1">
      <formula>D10=$B$122</formula>
    </cfRule>
    <cfRule type="expression" dxfId="7887" priority="2222" stopIfTrue="1">
      <formula>D10=$B$121</formula>
    </cfRule>
    <cfRule type="expression" dxfId="7886" priority="2223">
      <formula>D10=$B$120</formula>
    </cfRule>
    <cfRule type="expression" dxfId="7885" priority="2224">
      <formula>D10=$B$117</formula>
    </cfRule>
    <cfRule type="expression" dxfId="7884" priority="2225" stopIfTrue="1">
      <formula>D10=$B$115</formula>
    </cfRule>
    <cfRule type="expression" dxfId="7883" priority="2226">
      <formula>D10=$B$114</formula>
    </cfRule>
    <cfRule type="expression" dxfId="7882" priority="2227">
      <formula>D10=$B$113</formula>
    </cfRule>
    <cfRule type="expression" dxfId="7881" priority="2228">
      <formula>D10=$B$112</formula>
    </cfRule>
    <cfRule type="expression" dxfId="7880" priority="2229">
      <formula>D10=$B$110</formula>
    </cfRule>
    <cfRule type="expression" dxfId="7879" priority="2230" stopIfTrue="1">
      <formula>D10=$B$111</formula>
    </cfRule>
    <cfRule type="expression" dxfId="7878" priority="2231" stopIfTrue="1">
      <formula>D$5=TODAY()</formula>
    </cfRule>
  </conditionalFormatting>
  <conditionalFormatting sqref="D10">
    <cfRule type="expression" dxfId="7877" priority="2191">
      <formula>D10=$B$145</formula>
    </cfRule>
  </conditionalFormatting>
  <conditionalFormatting sqref="D10">
    <cfRule type="expression" dxfId="7876" priority="2188">
      <formula>D10=$B$137</formula>
    </cfRule>
    <cfRule type="expression" dxfId="7875" priority="2189">
      <formula>D10=$B$138</formula>
    </cfRule>
    <cfRule type="expression" dxfId="7874" priority="2190">
      <formula>D10=$B$136</formula>
    </cfRule>
  </conditionalFormatting>
  <conditionalFormatting sqref="C10">
    <cfRule type="expression" dxfId="7873" priority="2147">
      <formula>C10=$B$145</formula>
    </cfRule>
    <cfRule type="expression" dxfId="7872" priority="2148">
      <formula>C10=$B$130</formula>
    </cfRule>
    <cfRule type="expression" dxfId="7871" priority="2149">
      <formula>C10=$B$128</formula>
    </cfRule>
    <cfRule type="expression" dxfId="7870" priority="2150">
      <formula>C10=$B$124</formula>
    </cfRule>
    <cfRule type="expression" dxfId="7869" priority="2151">
      <formula>C10=$B$119</formula>
    </cfRule>
    <cfRule type="expression" dxfId="7868" priority="2152">
      <formula>C10=$B$116</formula>
    </cfRule>
    <cfRule type="expression" dxfId="7867" priority="2153">
      <formula>C10=$B$113</formula>
    </cfRule>
    <cfRule type="expression" dxfId="7866" priority="2154">
      <formula>C10=$B$116</formula>
    </cfRule>
    <cfRule type="expression" dxfId="7865" priority="2155">
      <formula>C10=$B$146</formula>
    </cfRule>
    <cfRule type="expression" dxfId="7864" priority="2156">
      <formula>C10=$B$118</formula>
    </cfRule>
    <cfRule type="expression" dxfId="7863" priority="2157">
      <formula>C10=$B$146</formula>
    </cfRule>
    <cfRule type="expression" dxfId="7862" priority="2158">
      <formula>C10=$B$145</formula>
    </cfRule>
    <cfRule type="expression" dxfId="7861" priority="2159">
      <formula>C10=$B$144</formula>
    </cfRule>
    <cfRule type="expression" dxfId="7860" priority="2160">
      <formula>C10=$B$143</formula>
    </cfRule>
    <cfRule type="expression" dxfId="7859" priority="2161">
      <formula>C10=$B$142</formula>
    </cfRule>
    <cfRule type="expression" dxfId="7858" priority="2162">
      <formula>C10=$B$141</formula>
    </cfRule>
    <cfRule type="expression" dxfId="7857" priority="2163">
      <formula>C10=$B$140</formula>
    </cfRule>
    <cfRule type="expression" dxfId="7856" priority="2164">
      <formula>C10=$B$139</formula>
    </cfRule>
    <cfRule type="expression" dxfId="7855" priority="2165">
      <formula>C10=$B$135</formula>
    </cfRule>
    <cfRule type="expression" dxfId="7854" priority="2166">
      <formula>C10=$B$134</formula>
    </cfRule>
    <cfRule type="expression" dxfId="7853" priority="2167">
      <formula>C10=$B$133</formula>
    </cfRule>
    <cfRule type="expression" dxfId="7852" priority="2168">
      <formula>C10=$B$132</formula>
    </cfRule>
    <cfRule type="expression" dxfId="7851" priority="2169">
      <formula>C10=$B$131</formula>
    </cfRule>
    <cfRule type="expression" dxfId="7850" priority="2170" stopIfTrue="1">
      <formula>C10=$B$130</formula>
    </cfRule>
    <cfRule type="expression" dxfId="7849" priority="2171">
      <formula>C10=$B$129</formula>
    </cfRule>
    <cfRule type="expression" dxfId="7848" priority="2172" stopIfTrue="1">
      <formula>C10=$B$128</formula>
    </cfRule>
    <cfRule type="expression" dxfId="7847" priority="2173">
      <formula>C10=$B$127</formula>
    </cfRule>
    <cfRule type="expression" dxfId="7846" priority="2174">
      <formula>C10=$B$126</formula>
    </cfRule>
    <cfRule type="expression" dxfId="7845" priority="2175">
      <formula>C10=$B$125</formula>
    </cfRule>
    <cfRule type="expression" dxfId="7844" priority="2176" stopIfTrue="1">
      <formula>C10=$B$123</formula>
    </cfRule>
    <cfRule type="expression" dxfId="7843" priority="2177" stopIfTrue="1">
      <formula>C10=$B$122</formula>
    </cfRule>
    <cfRule type="expression" dxfId="7842" priority="2178" stopIfTrue="1">
      <formula>C10=$B$121</formula>
    </cfRule>
    <cfRule type="expression" dxfId="7841" priority="2179">
      <formula>C10=$B$120</formula>
    </cfRule>
    <cfRule type="expression" dxfId="7840" priority="2180">
      <formula>C10=$B$117</formula>
    </cfRule>
    <cfRule type="expression" dxfId="7839" priority="2181" stopIfTrue="1">
      <formula>C10=$B$115</formula>
    </cfRule>
    <cfRule type="expression" dxfId="7838" priority="2182">
      <formula>C10=$B$114</formula>
    </cfRule>
    <cfRule type="expression" dxfId="7837" priority="2183">
      <formula>C10=$B$113</formula>
    </cfRule>
    <cfRule type="expression" dxfId="7836" priority="2184">
      <formula>C10=$B$112</formula>
    </cfRule>
    <cfRule type="expression" dxfId="7835" priority="2185">
      <formula>C10=$B$110</formula>
    </cfRule>
    <cfRule type="expression" dxfId="7834" priority="2186" stopIfTrue="1">
      <formula>C10=$B$111</formula>
    </cfRule>
    <cfRule type="expression" dxfId="7833" priority="2187" stopIfTrue="1">
      <formula>C$5=TODAY()</formula>
    </cfRule>
  </conditionalFormatting>
  <conditionalFormatting sqref="C10">
    <cfRule type="expression" dxfId="7832" priority="2144">
      <formula>C10=$B$137</formula>
    </cfRule>
    <cfRule type="expression" dxfId="7831" priority="2145">
      <formula>C10=$B$138</formula>
    </cfRule>
    <cfRule type="expression" dxfId="7830" priority="2146">
      <formula>C10=$B$136</formula>
    </cfRule>
  </conditionalFormatting>
  <conditionalFormatting sqref="E10:G10">
    <cfRule type="expression" dxfId="7829" priority="2104">
      <formula>E10=$B$130</formula>
    </cfRule>
    <cfRule type="expression" dxfId="7828" priority="2105">
      <formula>E10=$B$128</formula>
    </cfRule>
    <cfRule type="expression" dxfId="7827" priority="2106">
      <formula>E10=$B$124</formula>
    </cfRule>
    <cfRule type="expression" dxfId="7826" priority="2107">
      <formula>E10=$B$119</formula>
    </cfRule>
    <cfRule type="expression" dxfId="7825" priority="2108">
      <formula>E10=$B$116</formula>
    </cfRule>
    <cfRule type="expression" dxfId="7824" priority="2109">
      <formula>E10=$B$113</formula>
    </cfRule>
    <cfRule type="expression" dxfId="7823" priority="2110">
      <formula>E10=$B$116</formula>
    </cfRule>
    <cfRule type="expression" dxfId="7822" priority="2111">
      <formula>E10=$B$146</formula>
    </cfRule>
    <cfRule type="expression" dxfId="7821" priority="2112">
      <formula>E10=$B$118</formula>
    </cfRule>
    <cfRule type="expression" dxfId="7820" priority="2113">
      <formula>E10=$B$146</formula>
    </cfRule>
    <cfRule type="expression" dxfId="7819" priority="2114">
      <formula>E10=$B$145</formula>
    </cfRule>
    <cfRule type="expression" dxfId="7818" priority="2115">
      <formula>E10=$B$144</formula>
    </cfRule>
    <cfRule type="expression" dxfId="7817" priority="2116">
      <formula>E10=$B$143</formula>
    </cfRule>
    <cfRule type="expression" dxfId="7816" priority="2117">
      <formula>E10=$B$142</formula>
    </cfRule>
    <cfRule type="expression" dxfId="7815" priority="2118">
      <formula>E10=$B$141</formula>
    </cfRule>
    <cfRule type="expression" dxfId="7814" priority="2119">
      <formula>E10=$B$140</formula>
    </cfRule>
    <cfRule type="expression" dxfId="7813" priority="2120">
      <formula>E10=$B$139</formula>
    </cfRule>
    <cfRule type="expression" dxfId="7812" priority="2121">
      <formula>E10=$B$135</formula>
    </cfRule>
    <cfRule type="expression" dxfId="7811" priority="2122">
      <formula>E10=$B$134</formula>
    </cfRule>
    <cfRule type="expression" dxfId="7810" priority="2123">
      <formula>E10=$B$133</formula>
    </cfRule>
    <cfRule type="expression" dxfId="7809" priority="2124">
      <formula>E10=$B$132</formula>
    </cfRule>
    <cfRule type="expression" dxfId="7808" priority="2125">
      <formula>E10=$B$131</formula>
    </cfRule>
    <cfRule type="expression" dxfId="7807" priority="2126" stopIfTrue="1">
      <formula>E10=$B$130</formula>
    </cfRule>
    <cfRule type="expression" dxfId="7806" priority="2127">
      <formula>E10=$B$129</formula>
    </cfRule>
    <cfRule type="expression" dxfId="7805" priority="2128" stopIfTrue="1">
      <formula>E10=$B$128</formula>
    </cfRule>
    <cfRule type="expression" dxfId="7804" priority="2129">
      <formula>E10=$B$127</formula>
    </cfRule>
    <cfRule type="expression" dxfId="7803" priority="2130">
      <formula>E10=$B$126</formula>
    </cfRule>
    <cfRule type="expression" dxfId="7802" priority="2131">
      <formula>E10=$B$125</formula>
    </cfRule>
    <cfRule type="expression" dxfId="7801" priority="2132" stopIfTrue="1">
      <formula>E10=$B$123</formula>
    </cfRule>
    <cfRule type="expression" dxfId="7800" priority="2133" stopIfTrue="1">
      <formula>E10=$B$122</formula>
    </cfRule>
    <cfRule type="expression" dxfId="7799" priority="2134" stopIfTrue="1">
      <formula>E10=$B$121</formula>
    </cfRule>
    <cfRule type="expression" dxfId="7798" priority="2135">
      <formula>E10=$B$120</formula>
    </cfRule>
    <cfRule type="expression" dxfId="7797" priority="2136">
      <formula>E10=$B$117</formula>
    </cfRule>
    <cfRule type="expression" dxfId="7796" priority="2137" stopIfTrue="1">
      <formula>E10=$B$115</formula>
    </cfRule>
    <cfRule type="expression" dxfId="7795" priority="2138">
      <formula>E10=$B$114</formula>
    </cfRule>
    <cfRule type="expression" dxfId="7794" priority="2139">
      <formula>E10=$B$113</formula>
    </cfRule>
    <cfRule type="expression" dxfId="7793" priority="2140">
      <formula>E10=$B$112</formula>
    </cfRule>
    <cfRule type="expression" dxfId="7792" priority="2141">
      <formula>E10=$B$110</formula>
    </cfRule>
    <cfRule type="expression" dxfId="7791" priority="2142" stopIfTrue="1">
      <formula>E10=$B$111</formula>
    </cfRule>
    <cfRule type="expression" dxfId="7790" priority="2143" stopIfTrue="1">
      <formula>E$5=TODAY()</formula>
    </cfRule>
  </conditionalFormatting>
  <conditionalFormatting sqref="E10:G10">
    <cfRule type="expression" dxfId="7789" priority="2103">
      <formula>E10=$B$145</formula>
    </cfRule>
  </conditionalFormatting>
  <conditionalFormatting sqref="E10:G10">
    <cfRule type="expression" dxfId="7788" priority="2100">
      <formula>E10=$B$137</formula>
    </cfRule>
    <cfRule type="expression" dxfId="7787" priority="2101">
      <formula>E10=$B$138</formula>
    </cfRule>
    <cfRule type="expression" dxfId="7786" priority="2102">
      <formula>E10=$B$136</formula>
    </cfRule>
  </conditionalFormatting>
  <conditionalFormatting sqref="H10:I10">
    <cfRule type="expression" dxfId="7785" priority="2059">
      <formula>H10=$B$145</formula>
    </cfRule>
    <cfRule type="expression" dxfId="7784" priority="2060">
      <formula>H10=$B$130</formula>
    </cfRule>
    <cfRule type="expression" dxfId="7783" priority="2061">
      <formula>H10=$B$128</formula>
    </cfRule>
    <cfRule type="expression" dxfId="7782" priority="2062">
      <formula>H10=$B$124</formula>
    </cfRule>
    <cfRule type="expression" dxfId="7781" priority="2063">
      <formula>H10=$B$119</formula>
    </cfRule>
    <cfRule type="expression" dxfId="7780" priority="2064">
      <formula>H10=$B$116</formula>
    </cfRule>
    <cfRule type="expression" dxfId="7779" priority="2065">
      <formula>H10=$B$113</formula>
    </cfRule>
    <cfRule type="expression" dxfId="7778" priority="2066">
      <formula>H10=$B$116</formula>
    </cfRule>
    <cfRule type="expression" dxfId="7777" priority="2067">
      <formula>H10=$B$146</formula>
    </cfRule>
    <cfRule type="expression" dxfId="7776" priority="2068">
      <formula>H10=$B$118</formula>
    </cfRule>
    <cfRule type="expression" dxfId="7775" priority="2069">
      <formula>H10=$B$146</formula>
    </cfRule>
    <cfRule type="expression" dxfId="7774" priority="2070">
      <formula>H10=$B$145</formula>
    </cfRule>
    <cfRule type="expression" dxfId="7773" priority="2071">
      <formula>H10=$B$144</formula>
    </cfRule>
    <cfRule type="expression" dxfId="7772" priority="2072">
      <formula>H10=$B$143</formula>
    </cfRule>
    <cfRule type="expression" dxfId="7771" priority="2073">
      <formula>H10=$B$142</formula>
    </cfRule>
    <cfRule type="expression" dxfId="7770" priority="2074">
      <formula>H10=$B$141</formula>
    </cfRule>
    <cfRule type="expression" dxfId="7769" priority="2075">
      <formula>H10=$B$140</formula>
    </cfRule>
    <cfRule type="expression" dxfId="7768" priority="2076">
      <formula>H10=$B$139</formula>
    </cfRule>
    <cfRule type="expression" dxfId="7767" priority="2077">
      <formula>H10=$B$135</formula>
    </cfRule>
    <cfRule type="expression" dxfId="7766" priority="2078">
      <formula>H10=$B$134</formula>
    </cfRule>
    <cfRule type="expression" dxfId="7765" priority="2079">
      <formula>H10=$B$133</formula>
    </cfRule>
    <cfRule type="expression" dxfId="7764" priority="2080">
      <formula>H10=$B$132</formula>
    </cfRule>
    <cfRule type="expression" dxfId="7763" priority="2081">
      <formula>H10=$B$131</formula>
    </cfRule>
    <cfRule type="expression" dxfId="7762" priority="2082" stopIfTrue="1">
      <formula>H10=$B$130</formula>
    </cfRule>
    <cfRule type="expression" dxfId="7761" priority="2083">
      <formula>H10=$B$129</formula>
    </cfRule>
    <cfRule type="expression" dxfId="7760" priority="2084" stopIfTrue="1">
      <formula>H10=$B$128</formula>
    </cfRule>
    <cfRule type="expression" dxfId="7759" priority="2085">
      <formula>H10=$B$127</formula>
    </cfRule>
    <cfRule type="expression" dxfId="7758" priority="2086">
      <formula>H10=$B$126</formula>
    </cfRule>
    <cfRule type="expression" dxfId="7757" priority="2087">
      <formula>H10=$B$125</formula>
    </cfRule>
    <cfRule type="expression" dxfId="7756" priority="2088" stopIfTrue="1">
      <formula>H10=$B$123</formula>
    </cfRule>
    <cfRule type="expression" dxfId="7755" priority="2089" stopIfTrue="1">
      <formula>H10=$B$122</formula>
    </cfRule>
    <cfRule type="expression" dxfId="7754" priority="2090" stopIfTrue="1">
      <formula>H10=$B$121</formula>
    </cfRule>
    <cfRule type="expression" dxfId="7753" priority="2091">
      <formula>H10=$B$120</formula>
    </cfRule>
    <cfRule type="expression" dxfId="7752" priority="2092">
      <formula>H10=$B$117</formula>
    </cfRule>
    <cfRule type="expression" dxfId="7751" priority="2093" stopIfTrue="1">
      <formula>H10=$B$115</formula>
    </cfRule>
    <cfRule type="expression" dxfId="7750" priority="2094">
      <formula>H10=$B$114</formula>
    </cfRule>
    <cfRule type="expression" dxfId="7749" priority="2095">
      <formula>H10=$B$113</formula>
    </cfRule>
    <cfRule type="expression" dxfId="7748" priority="2096">
      <formula>H10=$B$112</formula>
    </cfRule>
    <cfRule type="expression" dxfId="7747" priority="2097">
      <formula>H10=$B$110</formula>
    </cfRule>
    <cfRule type="expression" dxfId="7746" priority="2098" stopIfTrue="1">
      <formula>H10=$B$111</formula>
    </cfRule>
    <cfRule type="expression" dxfId="7745" priority="2099" stopIfTrue="1">
      <formula>H$5=TODAY()</formula>
    </cfRule>
  </conditionalFormatting>
  <conditionalFormatting sqref="H10:I10">
    <cfRule type="expression" dxfId="7744" priority="2056">
      <formula>H10=$B$137</formula>
    </cfRule>
    <cfRule type="expression" dxfId="7743" priority="2057">
      <formula>H10=$B$138</formula>
    </cfRule>
    <cfRule type="expression" dxfId="7742" priority="2058">
      <formula>H10=$B$136</formula>
    </cfRule>
  </conditionalFormatting>
  <conditionalFormatting sqref="D90">
    <cfRule type="expression" dxfId="7741" priority="2016">
      <formula>D90=$B$130</formula>
    </cfRule>
    <cfRule type="expression" dxfId="7740" priority="2017">
      <formula>D90=$B$128</formula>
    </cfRule>
    <cfRule type="expression" dxfId="7739" priority="2018">
      <formula>D90=$B$124</formula>
    </cfRule>
    <cfRule type="expression" dxfId="7738" priority="2019">
      <formula>D90=$B$119</formula>
    </cfRule>
    <cfRule type="expression" dxfId="7737" priority="2020">
      <formula>D90=$B$116</formula>
    </cfRule>
    <cfRule type="expression" dxfId="7736" priority="2021">
      <formula>D90=$B$113</formula>
    </cfRule>
    <cfRule type="expression" dxfId="7735" priority="2022">
      <formula>D90=$B$116</formula>
    </cfRule>
    <cfRule type="expression" dxfId="7734" priority="2023">
      <formula>D90=$B$146</formula>
    </cfRule>
    <cfRule type="expression" dxfId="7733" priority="2024">
      <formula>D90=$B$118</formula>
    </cfRule>
    <cfRule type="expression" dxfId="7732" priority="2025">
      <formula>D90=$B$146</formula>
    </cfRule>
    <cfRule type="expression" dxfId="7731" priority="2026">
      <formula>D90=$B$145</formula>
    </cfRule>
    <cfRule type="expression" dxfId="7730" priority="2027">
      <formula>D90=$B$144</formula>
    </cfRule>
    <cfRule type="expression" dxfId="7729" priority="2028">
      <formula>D90=$B$143</formula>
    </cfRule>
    <cfRule type="expression" dxfId="7728" priority="2029">
      <formula>D90=$B$142</formula>
    </cfRule>
    <cfRule type="expression" dxfId="7727" priority="2030">
      <formula>D90=$B$141</formula>
    </cfRule>
    <cfRule type="expression" dxfId="7726" priority="2031">
      <formula>D90=$B$140</formula>
    </cfRule>
    <cfRule type="expression" dxfId="7725" priority="2032">
      <formula>D90=$B$139</formula>
    </cfRule>
    <cfRule type="expression" dxfId="7724" priority="2033">
      <formula>D90=$B$135</formula>
    </cfRule>
    <cfRule type="expression" dxfId="7723" priority="2034">
      <formula>D90=$B$134</formula>
    </cfRule>
    <cfRule type="expression" dxfId="7722" priority="2035">
      <formula>D90=$B$133</formula>
    </cfRule>
    <cfRule type="expression" dxfId="7721" priority="2036">
      <formula>D90=$B$132</formula>
    </cfRule>
    <cfRule type="expression" dxfId="7720" priority="2037">
      <formula>D90=$B$131</formula>
    </cfRule>
    <cfRule type="expression" dxfId="7719" priority="2038" stopIfTrue="1">
      <formula>D90=$B$130</formula>
    </cfRule>
    <cfRule type="expression" dxfId="7718" priority="2039">
      <formula>D90=$B$129</formula>
    </cfRule>
    <cfRule type="expression" dxfId="7717" priority="2040" stopIfTrue="1">
      <formula>D90=$B$128</formula>
    </cfRule>
    <cfRule type="expression" dxfId="7716" priority="2041">
      <formula>D90=$B$127</formula>
    </cfRule>
    <cfRule type="expression" dxfId="7715" priority="2042">
      <formula>D90=$B$126</formula>
    </cfRule>
    <cfRule type="expression" dxfId="7714" priority="2043">
      <formula>D90=$B$125</formula>
    </cfRule>
    <cfRule type="expression" dxfId="7713" priority="2044" stopIfTrue="1">
      <formula>D90=$B$123</formula>
    </cfRule>
    <cfRule type="expression" dxfId="7712" priority="2045" stopIfTrue="1">
      <formula>D90=$B$122</formula>
    </cfRule>
    <cfRule type="expression" dxfId="7711" priority="2046" stopIfTrue="1">
      <formula>D90=$B$121</formula>
    </cfRule>
    <cfRule type="expression" dxfId="7710" priority="2047">
      <formula>D90=$B$120</formula>
    </cfRule>
    <cfRule type="expression" dxfId="7709" priority="2048">
      <formula>D90=$B$117</formula>
    </cfRule>
    <cfRule type="expression" dxfId="7708" priority="2049" stopIfTrue="1">
      <formula>D90=$B$115</formula>
    </cfRule>
    <cfRule type="expression" dxfId="7707" priority="2050">
      <formula>D90=$B$114</formula>
    </cfRule>
    <cfRule type="expression" dxfId="7706" priority="2051">
      <formula>D90=$B$113</formula>
    </cfRule>
    <cfRule type="expression" dxfId="7705" priority="2052">
      <formula>D90=$B$112</formula>
    </cfRule>
    <cfRule type="expression" dxfId="7704" priority="2053">
      <formula>D90=$B$110</formula>
    </cfRule>
    <cfRule type="expression" dxfId="7703" priority="2054" stopIfTrue="1">
      <formula>D90=$B$111</formula>
    </cfRule>
    <cfRule type="expression" dxfId="7702" priority="2055" stopIfTrue="1">
      <formula>D$5=TODAY()</formula>
    </cfRule>
  </conditionalFormatting>
  <conditionalFormatting sqref="D90">
    <cfRule type="expression" dxfId="7701" priority="2015">
      <formula>D90=$B$145</formula>
    </cfRule>
  </conditionalFormatting>
  <conditionalFormatting sqref="D90">
    <cfRule type="expression" dxfId="7700" priority="2012">
      <formula>D90=$B$137</formula>
    </cfRule>
    <cfRule type="expression" dxfId="7699" priority="2013">
      <formula>D90=$B$138</formula>
    </cfRule>
    <cfRule type="expression" dxfId="7698" priority="2014">
      <formula>D90=$B$136</formula>
    </cfRule>
  </conditionalFormatting>
  <conditionalFormatting sqref="C90">
    <cfRule type="expression" dxfId="7697" priority="1971">
      <formula>C90=$B$145</formula>
    </cfRule>
    <cfRule type="expression" dxfId="7696" priority="1972">
      <formula>C90=$B$130</formula>
    </cfRule>
    <cfRule type="expression" dxfId="7695" priority="1973">
      <formula>C90=$B$128</formula>
    </cfRule>
    <cfRule type="expression" dxfId="7694" priority="1974">
      <formula>C90=$B$124</formula>
    </cfRule>
    <cfRule type="expression" dxfId="7693" priority="1975">
      <formula>C90=$B$119</formula>
    </cfRule>
    <cfRule type="expression" dxfId="7692" priority="1976">
      <formula>C90=$B$116</formula>
    </cfRule>
    <cfRule type="expression" dxfId="7691" priority="1977">
      <formula>C90=$B$113</formula>
    </cfRule>
    <cfRule type="expression" dxfId="7690" priority="1978">
      <formula>C90=$B$116</formula>
    </cfRule>
    <cfRule type="expression" dxfId="7689" priority="1979">
      <formula>C90=$B$146</formula>
    </cfRule>
    <cfRule type="expression" dxfId="7688" priority="1980">
      <formula>C90=$B$118</formula>
    </cfRule>
    <cfRule type="expression" dxfId="7687" priority="1981">
      <formula>C90=$B$146</formula>
    </cfRule>
    <cfRule type="expression" dxfId="7686" priority="1982">
      <formula>C90=$B$145</formula>
    </cfRule>
    <cfRule type="expression" dxfId="7685" priority="1983">
      <formula>C90=$B$144</formula>
    </cfRule>
    <cfRule type="expression" dxfId="7684" priority="1984">
      <formula>C90=$B$143</formula>
    </cfRule>
    <cfRule type="expression" dxfId="7683" priority="1985">
      <formula>C90=$B$142</formula>
    </cfRule>
    <cfRule type="expression" dxfId="7682" priority="1986">
      <formula>C90=$B$141</formula>
    </cfRule>
    <cfRule type="expression" dxfId="7681" priority="1987">
      <formula>C90=$B$140</formula>
    </cfRule>
    <cfRule type="expression" dxfId="7680" priority="1988">
      <formula>C90=$B$139</formula>
    </cfRule>
    <cfRule type="expression" dxfId="7679" priority="1989">
      <formula>C90=$B$135</formula>
    </cfRule>
    <cfRule type="expression" dxfId="7678" priority="1990">
      <formula>C90=$B$134</formula>
    </cfRule>
    <cfRule type="expression" dxfId="7677" priority="1991">
      <formula>C90=$B$133</formula>
    </cfRule>
    <cfRule type="expression" dxfId="7676" priority="1992">
      <formula>C90=$B$132</formula>
    </cfRule>
    <cfRule type="expression" dxfId="7675" priority="1993">
      <formula>C90=$B$131</formula>
    </cfRule>
    <cfRule type="expression" dxfId="7674" priority="1994" stopIfTrue="1">
      <formula>C90=$B$130</formula>
    </cfRule>
    <cfRule type="expression" dxfId="7673" priority="1995">
      <formula>C90=$B$129</formula>
    </cfRule>
    <cfRule type="expression" dxfId="7672" priority="1996" stopIfTrue="1">
      <formula>C90=$B$128</formula>
    </cfRule>
    <cfRule type="expression" dxfId="7671" priority="1997">
      <formula>C90=$B$127</formula>
    </cfRule>
    <cfRule type="expression" dxfId="7670" priority="1998">
      <formula>C90=$B$126</formula>
    </cfRule>
    <cfRule type="expression" dxfId="7669" priority="1999">
      <formula>C90=$B$125</formula>
    </cfRule>
    <cfRule type="expression" dxfId="7668" priority="2000" stopIfTrue="1">
      <formula>C90=$B$123</formula>
    </cfRule>
    <cfRule type="expression" dxfId="7667" priority="2001" stopIfTrue="1">
      <formula>C90=$B$122</formula>
    </cfRule>
    <cfRule type="expression" dxfId="7666" priority="2002" stopIfTrue="1">
      <formula>C90=$B$121</formula>
    </cfRule>
    <cfRule type="expression" dxfId="7665" priority="2003">
      <formula>C90=$B$120</formula>
    </cfRule>
    <cfRule type="expression" dxfId="7664" priority="2004">
      <formula>C90=$B$117</formula>
    </cfRule>
    <cfRule type="expression" dxfId="7663" priority="2005" stopIfTrue="1">
      <formula>C90=$B$115</formula>
    </cfRule>
    <cfRule type="expression" dxfId="7662" priority="2006">
      <formula>C90=$B$114</formula>
    </cfRule>
    <cfRule type="expression" dxfId="7661" priority="2007">
      <formula>C90=$B$113</formula>
    </cfRule>
    <cfRule type="expression" dxfId="7660" priority="2008">
      <formula>C90=$B$112</formula>
    </cfRule>
    <cfRule type="expression" dxfId="7659" priority="2009">
      <formula>C90=$B$110</formula>
    </cfRule>
    <cfRule type="expression" dxfId="7658" priority="2010" stopIfTrue="1">
      <formula>C90=$B$111</formula>
    </cfRule>
    <cfRule type="expression" dxfId="7657" priority="2011" stopIfTrue="1">
      <formula>C$5=TODAY()</formula>
    </cfRule>
  </conditionalFormatting>
  <conditionalFormatting sqref="C90">
    <cfRule type="expression" dxfId="7656" priority="1968">
      <formula>C90=$B$137</formula>
    </cfRule>
    <cfRule type="expression" dxfId="7655" priority="1969">
      <formula>C90=$B$138</formula>
    </cfRule>
    <cfRule type="expression" dxfId="7654" priority="1970">
      <formula>C90=$B$136</formula>
    </cfRule>
  </conditionalFormatting>
  <conditionalFormatting sqref="E94:I94">
    <cfRule type="expression" dxfId="7653" priority="1928">
      <formula>E94=$B$130</formula>
    </cfRule>
    <cfRule type="expression" dxfId="7652" priority="1929">
      <formula>E94=$B$128</formula>
    </cfRule>
    <cfRule type="expression" dxfId="7651" priority="1930">
      <formula>E94=$B$124</formula>
    </cfRule>
    <cfRule type="expression" dxfId="7650" priority="1931">
      <formula>E94=$B$119</formula>
    </cfRule>
    <cfRule type="expression" dxfId="7649" priority="1932">
      <formula>E94=$B$116</formula>
    </cfRule>
    <cfRule type="expression" dxfId="7648" priority="1933">
      <formula>E94=$B$113</formula>
    </cfRule>
    <cfRule type="expression" dxfId="7647" priority="1934">
      <formula>E94=$B$116</formula>
    </cfRule>
    <cfRule type="expression" dxfId="7646" priority="1935">
      <formula>E94=$B$146</formula>
    </cfRule>
    <cfRule type="expression" dxfId="7645" priority="1936">
      <formula>E94=$B$118</formula>
    </cfRule>
    <cfRule type="expression" dxfId="7644" priority="1937">
      <formula>E94=$B$146</formula>
    </cfRule>
    <cfRule type="expression" dxfId="7643" priority="1938">
      <formula>E94=$B$145</formula>
    </cfRule>
    <cfRule type="expression" dxfId="7642" priority="1939">
      <formula>E94=$B$144</formula>
    </cfRule>
    <cfRule type="expression" dxfId="7641" priority="1940">
      <formula>E94=$B$143</formula>
    </cfRule>
    <cfRule type="expression" dxfId="7640" priority="1941">
      <formula>E94=$B$142</formula>
    </cfRule>
    <cfRule type="expression" dxfId="7639" priority="1942">
      <formula>E94=$B$141</formula>
    </cfRule>
    <cfRule type="expression" dxfId="7638" priority="1943">
      <formula>E94=$B$140</formula>
    </cfRule>
    <cfRule type="expression" dxfId="7637" priority="1944">
      <formula>E94=$B$139</formula>
    </cfRule>
    <cfRule type="expression" dxfId="7636" priority="1945">
      <formula>E94=$B$135</formula>
    </cfRule>
    <cfRule type="expression" dxfId="7635" priority="1946">
      <formula>E94=$B$134</formula>
    </cfRule>
    <cfRule type="expression" dxfId="7634" priority="1947">
      <formula>E94=$B$133</formula>
    </cfRule>
    <cfRule type="expression" dxfId="7633" priority="1948">
      <formula>E94=$B$132</formula>
    </cfRule>
    <cfRule type="expression" dxfId="7632" priority="1949">
      <formula>E94=$B$131</formula>
    </cfRule>
    <cfRule type="expression" dxfId="7631" priority="1950" stopIfTrue="1">
      <formula>E94=$B$130</formula>
    </cfRule>
    <cfRule type="expression" dxfId="7630" priority="1951">
      <formula>E94=$B$129</formula>
    </cfRule>
    <cfRule type="expression" dxfId="7629" priority="1952" stopIfTrue="1">
      <formula>E94=$B$128</formula>
    </cfRule>
    <cfRule type="expression" dxfId="7628" priority="1953">
      <formula>E94=$B$127</formula>
    </cfRule>
    <cfRule type="expression" dxfId="7627" priority="1954">
      <formula>E94=$B$126</formula>
    </cfRule>
    <cfRule type="expression" dxfId="7626" priority="1955">
      <formula>E94=$B$125</formula>
    </cfRule>
    <cfRule type="expression" dxfId="7625" priority="1956" stopIfTrue="1">
      <formula>E94=$B$123</formula>
    </cfRule>
    <cfRule type="expression" dxfId="7624" priority="1957" stopIfTrue="1">
      <formula>E94=$B$122</formula>
    </cfRule>
    <cfRule type="expression" dxfId="7623" priority="1958" stopIfTrue="1">
      <formula>E94=$B$121</formula>
    </cfRule>
    <cfRule type="expression" dxfId="7622" priority="1959">
      <formula>E94=$B$120</formula>
    </cfRule>
    <cfRule type="expression" dxfId="7621" priority="1960">
      <formula>E94=$B$117</formula>
    </cfRule>
    <cfRule type="expression" dxfId="7620" priority="1961" stopIfTrue="1">
      <formula>E94=$B$115</formula>
    </cfRule>
    <cfRule type="expression" dxfId="7619" priority="1962">
      <formula>E94=$B$114</formula>
    </cfRule>
    <cfRule type="expression" dxfId="7618" priority="1963">
      <formula>E94=$B$113</formula>
    </cfRule>
    <cfRule type="expression" dxfId="7617" priority="1964">
      <formula>E94=$B$112</formula>
    </cfRule>
    <cfRule type="expression" dxfId="7616" priority="1965">
      <formula>E94=$B$110</formula>
    </cfRule>
    <cfRule type="expression" dxfId="7615" priority="1966" stopIfTrue="1">
      <formula>E94=$B$111</formula>
    </cfRule>
    <cfRule type="expression" dxfId="7614" priority="1967" stopIfTrue="1">
      <formula>E$5=TODAY()</formula>
    </cfRule>
  </conditionalFormatting>
  <conditionalFormatting sqref="E94:I94">
    <cfRule type="expression" dxfId="7613" priority="1927">
      <formula>E94=$B$145</formula>
    </cfRule>
  </conditionalFormatting>
  <conditionalFormatting sqref="E94:I94">
    <cfRule type="expression" dxfId="7612" priority="1924">
      <formula>E94=$B$137</formula>
    </cfRule>
    <cfRule type="expression" dxfId="7611" priority="1925">
      <formula>E94=$B$138</formula>
    </cfRule>
    <cfRule type="expression" dxfId="7610" priority="1926">
      <formula>E94=$B$136</formula>
    </cfRule>
  </conditionalFormatting>
  <conditionalFormatting sqref="D54:F54">
    <cfRule type="expression" dxfId="7609" priority="1884">
      <formula>D54=$B$130</formula>
    </cfRule>
    <cfRule type="expression" dxfId="7608" priority="1885">
      <formula>D54=$B$128</formula>
    </cfRule>
    <cfRule type="expression" dxfId="7607" priority="1886">
      <formula>D54=$B$124</formula>
    </cfRule>
    <cfRule type="expression" dxfId="7606" priority="1887">
      <formula>D54=$B$119</formula>
    </cfRule>
    <cfRule type="expression" dxfId="7605" priority="1888">
      <formula>D54=$B$116</formula>
    </cfRule>
    <cfRule type="expression" dxfId="7604" priority="1889">
      <formula>D54=$B$113</formula>
    </cfRule>
    <cfRule type="expression" dxfId="7603" priority="1890">
      <formula>D54=$B$116</formula>
    </cfRule>
    <cfRule type="expression" dxfId="7602" priority="1891">
      <formula>D54=$B$146</formula>
    </cfRule>
    <cfRule type="expression" dxfId="7601" priority="1892">
      <formula>D54=$B$118</formula>
    </cfRule>
    <cfRule type="expression" dxfId="7600" priority="1893">
      <formula>D54=$B$146</formula>
    </cfRule>
    <cfRule type="expression" dxfId="7599" priority="1894">
      <formula>D54=$B$145</formula>
    </cfRule>
    <cfRule type="expression" dxfId="7598" priority="1895">
      <formula>D54=$B$144</formula>
    </cfRule>
    <cfRule type="expression" dxfId="7597" priority="1896">
      <formula>D54=$B$143</formula>
    </cfRule>
    <cfRule type="expression" dxfId="7596" priority="1897">
      <formula>D54=$B$142</formula>
    </cfRule>
    <cfRule type="expression" dxfId="7595" priority="1898">
      <formula>D54=$B$141</formula>
    </cfRule>
    <cfRule type="expression" dxfId="7594" priority="1899">
      <formula>D54=$B$140</formula>
    </cfRule>
    <cfRule type="expression" dxfId="7593" priority="1900">
      <formula>D54=$B$139</formula>
    </cfRule>
    <cfRule type="expression" dxfId="7592" priority="1901">
      <formula>D54=$B$135</formula>
    </cfRule>
    <cfRule type="expression" dxfId="7591" priority="1902">
      <formula>D54=$B$134</formula>
    </cfRule>
    <cfRule type="expression" dxfId="7590" priority="1903">
      <formula>D54=$B$133</formula>
    </cfRule>
    <cfRule type="expression" dxfId="7589" priority="1904">
      <formula>D54=$B$132</formula>
    </cfRule>
    <cfRule type="expression" dxfId="7588" priority="1905">
      <formula>D54=$B$131</formula>
    </cfRule>
    <cfRule type="expression" dxfId="7587" priority="1906" stopIfTrue="1">
      <formula>D54=$B$130</formula>
    </cfRule>
    <cfRule type="expression" dxfId="7586" priority="1907">
      <formula>D54=$B$129</formula>
    </cfRule>
    <cfRule type="expression" dxfId="7585" priority="1908" stopIfTrue="1">
      <formula>D54=$B$128</formula>
    </cfRule>
    <cfRule type="expression" dxfId="7584" priority="1909">
      <formula>D54=$B$127</formula>
    </cfRule>
    <cfRule type="expression" dxfId="7583" priority="1910">
      <formula>D54=$B$126</formula>
    </cfRule>
    <cfRule type="expression" dxfId="7582" priority="1911">
      <formula>D54=$B$125</formula>
    </cfRule>
    <cfRule type="expression" dxfId="7581" priority="1912" stopIfTrue="1">
      <formula>D54=$B$123</formula>
    </cfRule>
    <cfRule type="expression" dxfId="7580" priority="1913" stopIfTrue="1">
      <formula>D54=$B$122</formula>
    </cfRule>
    <cfRule type="expression" dxfId="7579" priority="1914" stopIfTrue="1">
      <formula>D54=$B$121</formula>
    </cfRule>
    <cfRule type="expression" dxfId="7578" priority="1915">
      <formula>D54=$B$120</formula>
    </cfRule>
    <cfRule type="expression" dxfId="7577" priority="1916">
      <formula>D54=$B$117</formula>
    </cfRule>
    <cfRule type="expression" dxfId="7576" priority="1917" stopIfTrue="1">
      <formula>D54=$B$115</formula>
    </cfRule>
    <cfRule type="expression" dxfId="7575" priority="1918">
      <formula>D54=$B$114</formula>
    </cfRule>
    <cfRule type="expression" dxfId="7574" priority="1919">
      <formula>D54=$B$113</formula>
    </cfRule>
    <cfRule type="expression" dxfId="7573" priority="1920">
      <formula>D54=$B$112</formula>
    </cfRule>
    <cfRule type="expression" dxfId="7572" priority="1921">
      <formula>D54=$B$110</formula>
    </cfRule>
    <cfRule type="expression" dxfId="7571" priority="1922" stopIfTrue="1">
      <formula>D54=$B$111</formula>
    </cfRule>
    <cfRule type="expression" dxfId="7570" priority="1923" stopIfTrue="1">
      <formula>D$5=TODAY()</formula>
    </cfRule>
  </conditionalFormatting>
  <conditionalFormatting sqref="D54:F54">
    <cfRule type="expression" dxfId="7569" priority="1883">
      <formula>D54=$B$145</formula>
    </cfRule>
  </conditionalFormatting>
  <conditionalFormatting sqref="D54:F54">
    <cfRule type="expression" dxfId="7568" priority="1880">
      <formula>D54=$B$137</formula>
    </cfRule>
    <cfRule type="expression" dxfId="7567" priority="1881">
      <formula>D54=$B$138</formula>
    </cfRule>
    <cfRule type="expression" dxfId="7566" priority="1882">
      <formula>D54=$B$136</formula>
    </cfRule>
  </conditionalFormatting>
  <conditionalFormatting sqref="I88">
    <cfRule type="expression" dxfId="7565" priority="1840">
      <formula>I88=$B$130</formula>
    </cfRule>
    <cfRule type="expression" dxfId="7564" priority="1841">
      <formula>I88=$B$128</formula>
    </cfRule>
    <cfRule type="expression" dxfId="7563" priority="1842">
      <formula>I88=$B$124</formula>
    </cfRule>
    <cfRule type="expression" dxfId="7562" priority="1843">
      <formula>I88=$B$119</formula>
    </cfRule>
    <cfRule type="expression" dxfId="7561" priority="1844">
      <formula>I88=$B$116</formula>
    </cfRule>
    <cfRule type="expression" dxfId="7560" priority="1845">
      <formula>I88=$B$113</formula>
    </cfRule>
    <cfRule type="expression" dxfId="7559" priority="1846">
      <formula>I88=$B$116</formula>
    </cfRule>
    <cfRule type="expression" dxfId="7558" priority="1847">
      <formula>I88=$B$146</formula>
    </cfRule>
    <cfRule type="expression" dxfId="7557" priority="1848">
      <formula>I88=$B$118</formula>
    </cfRule>
    <cfRule type="expression" dxfId="7556" priority="1849">
      <formula>I88=$B$146</formula>
    </cfRule>
    <cfRule type="expression" dxfId="7555" priority="1850">
      <formula>I88=$B$145</formula>
    </cfRule>
    <cfRule type="expression" dxfId="7554" priority="1851">
      <formula>I88=$B$144</formula>
    </cfRule>
    <cfRule type="expression" dxfId="7553" priority="1852">
      <formula>I88=$B$143</formula>
    </cfRule>
    <cfRule type="expression" dxfId="7552" priority="1853">
      <formula>I88=$B$142</formula>
    </cfRule>
    <cfRule type="expression" dxfId="7551" priority="1854">
      <formula>I88=$B$141</formula>
    </cfRule>
    <cfRule type="expression" dxfId="7550" priority="1855">
      <formula>I88=$B$140</formula>
    </cfRule>
    <cfRule type="expression" dxfId="7549" priority="1856">
      <formula>I88=$B$139</formula>
    </cfRule>
    <cfRule type="expression" dxfId="7548" priority="1857">
      <formula>I88=$B$135</formula>
    </cfRule>
    <cfRule type="expression" dxfId="7547" priority="1858">
      <formula>I88=$B$134</formula>
    </cfRule>
    <cfRule type="expression" dxfId="7546" priority="1859">
      <formula>I88=$B$133</formula>
    </cfRule>
    <cfRule type="expression" dxfId="7545" priority="1860">
      <formula>I88=$B$132</formula>
    </cfRule>
    <cfRule type="expression" dxfId="7544" priority="1861">
      <formula>I88=$B$131</formula>
    </cfRule>
    <cfRule type="expression" dxfId="7543" priority="1862" stopIfTrue="1">
      <formula>I88=$B$130</formula>
    </cfRule>
    <cfRule type="expression" dxfId="7542" priority="1863">
      <formula>I88=$B$129</formula>
    </cfRule>
    <cfRule type="expression" dxfId="7541" priority="1864" stopIfTrue="1">
      <formula>I88=$B$128</formula>
    </cfRule>
    <cfRule type="expression" dxfId="7540" priority="1865">
      <formula>I88=$B$127</formula>
    </cfRule>
    <cfRule type="expression" dxfId="7539" priority="1866">
      <formula>I88=$B$126</formula>
    </cfRule>
    <cfRule type="expression" dxfId="7538" priority="1867">
      <formula>I88=$B$125</formula>
    </cfRule>
    <cfRule type="expression" dxfId="7537" priority="1868" stopIfTrue="1">
      <formula>I88=$B$123</formula>
    </cfRule>
    <cfRule type="expression" dxfId="7536" priority="1869" stopIfTrue="1">
      <formula>I88=$B$122</formula>
    </cfRule>
    <cfRule type="expression" dxfId="7535" priority="1870" stopIfTrue="1">
      <formula>I88=$B$121</formula>
    </cfRule>
    <cfRule type="expression" dxfId="7534" priority="1871">
      <formula>I88=$B$120</formula>
    </cfRule>
    <cfRule type="expression" dxfId="7533" priority="1872">
      <formula>I88=$B$117</formula>
    </cfRule>
    <cfRule type="expression" dxfId="7532" priority="1873" stopIfTrue="1">
      <formula>I88=$B$115</formula>
    </cfRule>
    <cfRule type="expression" dxfId="7531" priority="1874">
      <formula>I88=$B$114</formula>
    </cfRule>
    <cfRule type="expression" dxfId="7530" priority="1875">
      <formula>I88=$B$113</formula>
    </cfRule>
    <cfRule type="expression" dxfId="7529" priority="1876">
      <formula>I88=$B$112</formula>
    </cfRule>
    <cfRule type="expression" dxfId="7528" priority="1877">
      <formula>I88=$B$110</formula>
    </cfRule>
    <cfRule type="expression" dxfId="7527" priority="1878" stopIfTrue="1">
      <formula>I88=$B$111</formula>
    </cfRule>
    <cfRule type="expression" dxfId="7526" priority="1879" stopIfTrue="1">
      <formula>I$5=TODAY()</formula>
    </cfRule>
  </conditionalFormatting>
  <conditionalFormatting sqref="I88">
    <cfRule type="expression" dxfId="7525" priority="1839">
      <formula>I88=$B$145</formula>
    </cfRule>
  </conditionalFormatting>
  <conditionalFormatting sqref="I88">
    <cfRule type="expression" dxfId="7524" priority="1836">
      <formula>I88=$B$137</formula>
    </cfRule>
    <cfRule type="expression" dxfId="7523" priority="1837">
      <formula>I88=$B$138</formula>
    </cfRule>
    <cfRule type="expression" dxfId="7522" priority="1838">
      <formula>I88=$B$136</formula>
    </cfRule>
  </conditionalFormatting>
  <conditionalFormatting sqref="E88">
    <cfRule type="expression" dxfId="7521" priority="1796">
      <formula>E88=$B$130</formula>
    </cfRule>
    <cfRule type="expression" dxfId="7520" priority="1797">
      <formula>E88=$B$128</formula>
    </cfRule>
    <cfRule type="expression" dxfId="7519" priority="1798">
      <formula>E88=$B$124</formula>
    </cfRule>
    <cfRule type="expression" dxfId="7518" priority="1799">
      <formula>E88=$B$119</formula>
    </cfRule>
    <cfRule type="expression" dxfId="7517" priority="1800">
      <formula>E88=$B$116</formula>
    </cfRule>
    <cfRule type="expression" dxfId="7516" priority="1801">
      <formula>E88=$B$113</formula>
    </cfRule>
    <cfRule type="expression" dxfId="7515" priority="1802">
      <formula>E88=$B$116</formula>
    </cfRule>
    <cfRule type="expression" dxfId="7514" priority="1803">
      <formula>E88=$B$146</formula>
    </cfRule>
    <cfRule type="expression" dxfId="7513" priority="1804">
      <formula>E88=$B$118</formula>
    </cfRule>
    <cfRule type="expression" dxfId="7512" priority="1805">
      <formula>E88=$B$146</formula>
    </cfRule>
    <cfRule type="expression" dxfId="7511" priority="1806">
      <formula>E88=$B$145</formula>
    </cfRule>
    <cfRule type="expression" dxfId="7510" priority="1807">
      <formula>E88=$B$144</formula>
    </cfRule>
    <cfRule type="expression" dxfId="7509" priority="1808">
      <formula>E88=$B$143</formula>
    </cfRule>
    <cfRule type="expression" dxfId="7508" priority="1809">
      <formula>E88=$B$142</formula>
    </cfRule>
    <cfRule type="expression" dxfId="7507" priority="1810">
      <formula>E88=$B$141</formula>
    </cfRule>
    <cfRule type="expression" dxfId="7506" priority="1811">
      <formula>E88=$B$140</formula>
    </cfRule>
    <cfRule type="expression" dxfId="7505" priority="1812">
      <formula>E88=$B$139</formula>
    </cfRule>
    <cfRule type="expression" dxfId="7504" priority="1813">
      <formula>E88=$B$135</formula>
    </cfRule>
    <cfRule type="expression" dxfId="7503" priority="1814">
      <formula>E88=$B$134</formula>
    </cfRule>
    <cfRule type="expression" dxfId="7502" priority="1815">
      <formula>E88=$B$133</formula>
    </cfRule>
    <cfRule type="expression" dxfId="7501" priority="1816">
      <formula>E88=$B$132</formula>
    </cfRule>
    <cfRule type="expression" dxfId="7500" priority="1817">
      <formula>E88=$B$131</formula>
    </cfRule>
    <cfRule type="expression" dxfId="7499" priority="1818" stopIfTrue="1">
      <formula>E88=$B$130</formula>
    </cfRule>
    <cfRule type="expression" dxfId="7498" priority="1819">
      <formula>E88=$B$129</formula>
    </cfRule>
    <cfRule type="expression" dxfId="7497" priority="1820" stopIfTrue="1">
      <formula>E88=$B$128</formula>
    </cfRule>
    <cfRule type="expression" dxfId="7496" priority="1821">
      <formula>E88=$B$127</formula>
    </cfRule>
    <cfRule type="expression" dxfId="7495" priority="1822">
      <formula>E88=$B$126</formula>
    </cfRule>
    <cfRule type="expression" dxfId="7494" priority="1823">
      <formula>E88=$B$125</formula>
    </cfRule>
    <cfRule type="expression" dxfId="7493" priority="1824" stopIfTrue="1">
      <formula>E88=$B$123</formula>
    </cfRule>
    <cfRule type="expression" dxfId="7492" priority="1825" stopIfTrue="1">
      <formula>E88=$B$122</formula>
    </cfRule>
    <cfRule type="expression" dxfId="7491" priority="1826" stopIfTrue="1">
      <formula>E88=$B$121</formula>
    </cfRule>
    <cfRule type="expression" dxfId="7490" priority="1827">
      <formula>E88=$B$120</formula>
    </cfRule>
    <cfRule type="expression" dxfId="7489" priority="1828">
      <formula>E88=$B$117</formula>
    </cfRule>
    <cfRule type="expression" dxfId="7488" priority="1829" stopIfTrue="1">
      <formula>E88=$B$115</formula>
    </cfRule>
    <cfRule type="expression" dxfId="7487" priority="1830">
      <formula>E88=$B$114</formula>
    </cfRule>
    <cfRule type="expression" dxfId="7486" priority="1831">
      <formula>E88=$B$113</formula>
    </cfRule>
    <cfRule type="expression" dxfId="7485" priority="1832">
      <formula>E88=$B$112</formula>
    </cfRule>
    <cfRule type="expression" dxfId="7484" priority="1833">
      <formula>E88=$B$110</formula>
    </cfRule>
    <cfRule type="expression" dxfId="7483" priority="1834" stopIfTrue="1">
      <formula>E88=$B$111</formula>
    </cfRule>
    <cfRule type="expression" dxfId="7482" priority="1835" stopIfTrue="1">
      <formula>E$5=TODAY()</formula>
    </cfRule>
  </conditionalFormatting>
  <conditionalFormatting sqref="E88">
    <cfRule type="expression" dxfId="7481" priority="1795">
      <formula>E88=$B$145</formula>
    </cfRule>
  </conditionalFormatting>
  <conditionalFormatting sqref="E88">
    <cfRule type="expression" dxfId="7480" priority="1792">
      <formula>E88=$B$137</formula>
    </cfRule>
    <cfRule type="expression" dxfId="7479" priority="1793">
      <formula>E88=$B$138</formula>
    </cfRule>
    <cfRule type="expression" dxfId="7478" priority="1794">
      <formula>E88=$B$136</formula>
    </cfRule>
  </conditionalFormatting>
  <conditionalFormatting sqref="C88">
    <cfRule type="expression" dxfId="7477" priority="1751">
      <formula>C88=$B$145</formula>
    </cfRule>
    <cfRule type="expression" dxfId="7476" priority="1752">
      <formula>C88=$B$130</formula>
    </cfRule>
    <cfRule type="expression" dxfId="7475" priority="1753">
      <formula>C88=$B$128</formula>
    </cfRule>
    <cfRule type="expression" dxfId="7474" priority="1754">
      <formula>C88=$B$124</formula>
    </cfRule>
    <cfRule type="expression" dxfId="7473" priority="1755">
      <formula>C88=$B$119</formula>
    </cfRule>
    <cfRule type="expression" dxfId="7472" priority="1756">
      <formula>C88=$B$116</formula>
    </cfRule>
    <cfRule type="expression" dxfId="7471" priority="1757">
      <formula>C88=$B$113</formula>
    </cfRule>
    <cfRule type="expression" dxfId="7470" priority="1758">
      <formula>C88=$B$116</formula>
    </cfRule>
    <cfRule type="expression" dxfId="7469" priority="1759">
      <formula>C88=$B$146</formula>
    </cfRule>
    <cfRule type="expression" dxfId="7468" priority="1760">
      <formula>C88=$B$118</formula>
    </cfRule>
    <cfRule type="expression" dxfId="7467" priority="1761">
      <formula>C88=$B$146</formula>
    </cfRule>
    <cfRule type="expression" dxfId="7466" priority="1762">
      <formula>C88=$B$145</formula>
    </cfRule>
    <cfRule type="expression" dxfId="7465" priority="1763">
      <formula>C88=$B$144</formula>
    </cfRule>
    <cfRule type="expression" dxfId="7464" priority="1764">
      <formula>C88=$B$143</formula>
    </cfRule>
    <cfRule type="expression" dxfId="7463" priority="1765">
      <formula>C88=$B$142</formula>
    </cfRule>
    <cfRule type="expression" dxfId="7462" priority="1766">
      <formula>C88=$B$141</formula>
    </cfRule>
    <cfRule type="expression" dxfId="7461" priority="1767">
      <formula>C88=$B$140</formula>
    </cfRule>
    <cfRule type="expression" dxfId="7460" priority="1768">
      <formula>C88=$B$139</formula>
    </cfRule>
    <cfRule type="expression" dxfId="7459" priority="1769">
      <formula>C88=$B$135</formula>
    </cfRule>
    <cfRule type="expression" dxfId="7458" priority="1770">
      <formula>C88=$B$134</formula>
    </cfRule>
    <cfRule type="expression" dxfId="7457" priority="1771">
      <formula>C88=$B$133</formula>
    </cfRule>
    <cfRule type="expression" dxfId="7456" priority="1772">
      <formula>C88=$B$132</formula>
    </cfRule>
    <cfRule type="expression" dxfId="7455" priority="1773">
      <formula>C88=$B$131</formula>
    </cfRule>
    <cfRule type="expression" dxfId="7454" priority="1774" stopIfTrue="1">
      <formula>C88=$B$130</formula>
    </cfRule>
    <cfRule type="expression" dxfId="7453" priority="1775">
      <formula>C88=$B$129</formula>
    </cfRule>
    <cfRule type="expression" dxfId="7452" priority="1776" stopIfTrue="1">
      <formula>C88=$B$128</formula>
    </cfRule>
    <cfRule type="expression" dxfId="7451" priority="1777">
      <formula>C88=$B$127</formula>
    </cfRule>
    <cfRule type="expression" dxfId="7450" priority="1778">
      <formula>C88=$B$126</formula>
    </cfRule>
    <cfRule type="expression" dxfId="7449" priority="1779">
      <formula>C88=$B$125</formula>
    </cfRule>
    <cfRule type="expression" dxfId="7448" priority="1780" stopIfTrue="1">
      <formula>C88=$B$123</formula>
    </cfRule>
    <cfRule type="expression" dxfId="7447" priority="1781" stopIfTrue="1">
      <formula>C88=$B$122</formula>
    </cfRule>
    <cfRule type="expression" dxfId="7446" priority="1782" stopIfTrue="1">
      <formula>C88=$B$121</formula>
    </cfRule>
    <cfRule type="expression" dxfId="7445" priority="1783">
      <formula>C88=$B$120</formula>
    </cfRule>
    <cfRule type="expression" dxfId="7444" priority="1784">
      <formula>C88=$B$117</formula>
    </cfRule>
    <cfRule type="expression" dxfId="7443" priority="1785" stopIfTrue="1">
      <formula>C88=$B$115</formula>
    </cfRule>
    <cfRule type="expression" dxfId="7442" priority="1786">
      <formula>C88=$B$114</formula>
    </cfRule>
    <cfRule type="expression" dxfId="7441" priority="1787">
      <formula>C88=$B$113</formula>
    </cfRule>
    <cfRule type="expression" dxfId="7440" priority="1788">
      <formula>C88=$B$112</formula>
    </cfRule>
    <cfRule type="expression" dxfId="7439" priority="1789">
      <formula>C88=$B$110</formula>
    </cfRule>
    <cfRule type="expression" dxfId="7438" priority="1790" stopIfTrue="1">
      <formula>C88=$B$111</formula>
    </cfRule>
    <cfRule type="expression" dxfId="7437" priority="1791" stopIfTrue="1">
      <formula>C$5=TODAY()</formula>
    </cfRule>
  </conditionalFormatting>
  <conditionalFormatting sqref="C88">
    <cfRule type="expression" dxfId="7436" priority="1748">
      <formula>C88=$B$137</formula>
    </cfRule>
    <cfRule type="expression" dxfId="7435" priority="1749">
      <formula>C88=$B$138</formula>
    </cfRule>
    <cfRule type="expression" dxfId="7434" priority="1750">
      <formula>C88=$B$136</formula>
    </cfRule>
  </conditionalFormatting>
  <conditionalFormatting sqref="D58">
    <cfRule type="expression" dxfId="7433" priority="1747">
      <formula>D58=$B$145</formula>
    </cfRule>
  </conditionalFormatting>
  <conditionalFormatting sqref="D58">
    <cfRule type="expression" dxfId="7432" priority="1744">
      <formula>D58=$B$137</formula>
    </cfRule>
    <cfRule type="expression" dxfId="7431" priority="1745">
      <formula>D58=$B$138</formula>
    </cfRule>
    <cfRule type="expression" dxfId="7430" priority="1746">
      <formula>D58=$B$136</formula>
    </cfRule>
  </conditionalFormatting>
  <conditionalFormatting sqref="H60">
    <cfRule type="expression" dxfId="7429" priority="1704">
      <formula>H60=$B$130</formula>
    </cfRule>
    <cfRule type="expression" dxfId="7428" priority="1705">
      <formula>H60=$B$128</formula>
    </cfRule>
    <cfRule type="expression" dxfId="7427" priority="1706">
      <formula>H60=$B$124</formula>
    </cfRule>
    <cfRule type="expression" dxfId="7426" priority="1707">
      <formula>H60=$B$119</formula>
    </cfRule>
    <cfRule type="expression" dxfId="7425" priority="1708">
      <formula>H60=$B$116</formula>
    </cfRule>
    <cfRule type="expression" dxfId="7424" priority="1709">
      <formula>H60=$B$113</formula>
    </cfRule>
    <cfRule type="expression" dxfId="7423" priority="1710">
      <formula>H60=$B$116</formula>
    </cfRule>
    <cfRule type="expression" dxfId="7422" priority="1711">
      <formula>H60=$B$146</formula>
    </cfRule>
    <cfRule type="expression" dxfId="7421" priority="1712">
      <formula>H60=$B$118</formula>
    </cfRule>
    <cfRule type="expression" dxfId="7420" priority="1713">
      <formula>H60=$B$146</formula>
    </cfRule>
    <cfRule type="expression" dxfId="7419" priority="1714">
      <formula>H60=$B$145</formula>
    </cfRule>
    <cfRule type="expression" dxfId="7418" priority="1715">
      <formula>H60=$B$144</formula>
    </cfRule>
    <cfRule type="expression" dxfId="7417" priority="1716">
      <formula>H60=$B$143</formula>
    </cfRule>
    <cfRule type="expression" dxfId="7416" priority="1717">
      <formula>H60=$B$142</formula>
    </cfRule>
    <cfRule type="expression" dxfId="7415" priority="1718">
      <formula>H60=$B$141</formula>
    </cfRule>
    <cfRule type="expression" dxfId="7414" priority="1719">
      <formula>H60=$B$140</formula>
    </cfRule>
    <cfRule type="expression" dxfId="7413" priority="1720">
      <formula>H60=$B$139</formula>
    </cfRule>
    <cfRule type="expression" dxfId="7412" priority="1721">
      <formula>H60=$B$135</formula>
    </cfRule>
    <cfRule type="expression" dxfId="7411" priority="1722">
      <formula>H60=$B$134</formula>
    </cfRule>
    <cfRule type="expression" dxfId="7410" priority="1723">
      <formula>H60=$B$133</formula>
    </cfRule>
    <cfRule type="expression" dxfId="7409" priority="1724">
      <formula>H60=$B$132</formula>
    </cfRule>
    <cfRule type="expression" dxfId="7408" priority="1725">
      <formula>H60=$B$131</formula>
    </cfRule>
    <cfRule type="expression" dxfId="7407" priority="1726" stopIfTrue="1">
      <formula>H60=$B$130</formula>
    </cfRule>
    <cfRule type="expression" dxfId="7406" priority="1727">
      <formula>H60=$B$129</formula>
    </cfRule>
    <cfRule type="expression" dxfId="7405" priority="1728" stopIfTrue="1">
      <formula>H60=$B$128</formula>
    </cfRule>
    <cfRule type="expression" dxfId="7404" priority="1729">
      <formula>H60=$B$127</formula>
    </cfRule>
    <cfRule type="expression" dxfId="7403" priority="1730">
      <formula>H60=$B$126</formula>
    </cfRule>
    <cfRule type="expression" dxfId="7402" priority="1731">
      <formula>H60=$B$125</formula>
    </cfRule>
    <cfRule type="expression" dxfId="7401" priority="1732" stopIfTrue="1">
      <formula>H60=$B$123</formula>
    </cfRule>
    <cfRule type="expression" dxfId="7400" priority="1733" stopIfTrue="1">
      <formula>H60=$B$122</formula>
    </cfRule>
    <cfRule type="expression" dxfId="7399" priority="1734" stopIfTrue="1">
      <formula>H60=$B$121</formula>
    </cfRule>
    <cfRule type="expression" dxfId="7398" priority="1735">
      <formula>H60=$B$120</formula>
    </cfRule>
    <cfRule type="expression" dxfId="7397" priority="1736">
      <formula>H60=$B$117</formula>
    </cfRule>
    <cfRule type="expression" dxfId="7396" priority="1737" stopIfTrue="1">
      <formula>H60=$B$115</formula>
    </cfRule>
    <cfRule type="expression" dxfId="7395" priority="1738">
      <formula>H60=$B$114</formula>
    </cfRule>
    <cfRule type="expression" dxfId="7394" priority="1739">
      <formula>H60=$B$113</formula>
    </cfRule>
    <cfRule type="expression" dxfId="7393" priority="1740">
      <formula>H60=$B$112</formula>
    </cfRule>
    <cfRule type="expression" dxfId="7392" priority="1741">
      <formula>H60=$B$110</formula>
    </cfRule>
    <cfRule type="expression" dxfId="7391" priority="1742" stopIfTrue="1">
      <formula>H60=$B$111</formula>
    </cfRule>
    <cfRule type="expression" dxfId="7390" priority="1743" stopIfTrue="1">
      <formula>H$5=TODAY()</formula>
    </cfRule>
  </conditionalFormatting>
  <conditionalFormatting sqref="H60">
    <cfRule type="expression" dxfId="7389" priority="1703">
      <formula>H60=$B$145</formula>
    </cfRule>
  </conditionalFormatting>
  <conditionalFormatting sqref="H60">
    <cfRule type="expression" dxfId="7388" priority="1700">
      <formula>H60=$B$137</formula>
    </cfRule>
    <cfRule type="expression" dxfId="7387" priority="1701">
      <formula>H60=$B$138</formula>
    </cfRule>
    <cfRule type="expression" dxfId="7386" priority="1702">
      <formula>H60=$B$136</formula>
    </cfRule>
  </conditionalFormatting>
  <conditionalFormatting sqref="E48">
    <cfRule type="expression" dxfId="7385" priority="1660">
      <formula>E48=$B$130</formula>
    </cfRule>
    <cfRule type="expression" dxfId="7384" priority="1661">
      <formula>E48=$B$128</formula>
    </cfRule>
    <cfRule type="expression" dxfId="7383" priority="1662">
      <formula>E48=$B$124</formula>
    </cfRule>
    <cfRule type="expression" dxfId="7382" priority="1663">
      <formula>E48=$B$119</formula>
    </cfRule>
    <cfRule type="expression" dxfId="7381" priority="1664">
      <formula>E48=$B$116</formula>
    </cfRule>
    <cfRule type="expression" dxfId="7380" priority="1665">
      <formula>E48=$B$113</formula>
    </cfRule>
    <cfRule type="expression" dxfId="7379" priority="1666">
      <formula>E48=$B$116</formula>
    </cfRule>
    <cfRule type="expression" dxfId="7378" priority="1667">
      <formula>E48=$B$146</formula>
    </cfRule>
    <cfRule type="expression" dxfId="7377" priority="1668">
      <formula>E48=$B$118</formula>
    </cfRule>
    <cfRule type="expression" dxfId="7376" priority="1669">
      <formula>E48=$B$146</formula>
    </cfRule>
    <cfRule type="expression" dxfId="7375" priority="1670">
      <formula>E48=$B$145</formula>
    </cfRule>
    <cfRule type="expression" dxfId="7374" priority="1671">
      <formula>E48=$B$144</formula>
    </cfRule>
    <cfRule type="expression" dxfId="7373" priority="1672">
      <formula>E48=$B$143</formula>
    </cfRule>
    <cfRule type="expression" dxfId="7372" priority="1673">
      <formula>E48=$B$142</formula>
    </cfRule>
    <cfRule type="expression" dxfId="7371" priority="1674">
      <formula>E48=$B$141</formula>
    </cfRule>
    <cfRule type="expression" dxfId="7370" priority="1675">
      <formula>E48=$B$140</formula>
    </cfRule>
    <cfRule type="expression" dxfId="7369" priority="1676">
      <formula>E48=$B$139</formula>
    </cfRule>
    <cfRule type="expression" dxfId="7368" priority="1677">
      <formula>E48=$B$135</formula>
    </cfRule>
    <cfRule type="expression" dxfId="7367" priority="1678">
      <formula>E48=$B$134</formula>
    </cfRule>
    <cfRule type="expression" dxfId="7366" priority="1679">
      <formula>E48=$B$133</formula>
    </cfRule>
    <cfRule type="expression" dxfId="7365" priority="1680">
      <formula>E48=$B$132</formula>
    </cfRule>
    <cfRule type="expression" dxfId="7364" priority="1681">
      <formula>E48=$B$131</formula>
    </cfRule>
    <cfRule type="expression" dxfId="7363" priority="1682" stopIfTrue="1">
      <formula>E48=$B$130</formula>
    </cfRule>
    <cfRule type="expression" dxfId="7362" priority="1683">
      <formula>E48=$B$129</formula>
    </cfRule>
    <cfRule type="expression" dxfId="7361" priority="1684" stopIfTrue="1">
      <formula>E48=$B$128</formula>
    </cfRule>
    <cfRule type="expression" dxfId="7360" priority="1685">
      <formula>E48=$B$127</formula>
    </cfRule>
    <cfRule type="expression" dxfId="7359" priority="1686">
      <formula>E48=$B$126</formula>
    </cfRule>
    <cfRule type="expression" dxfId="7358" priority="1687">
      <formula>E48=$B$125</formula>
    </cfRule>
    <cfRule type="expression" dxfId="7357" priority="1688" stopIfTrue="1">
      <formula>E48=$B$123</formula>
    </cfRule>
    <cfRule type="expression" dxfId="7356" priority="1689" stopIfTrue="1">
      <formula>E48=$B$122</formula>
    </cfRule>
    <cfRule type="expression" dxfId="7355" priority="1690" stopIfTrue="1">
      <formula>E48=$B$121</formula>
    </cfRule>
    <cfRule type="expression" dxfId="7354" priority="1691">
      <formula>E48=$B$120</formula>
    </cfRule>
    <cfRule type="expression" dxfId="7353" priority="1692">
      <formula>E48=$B$117</formula>
    </cfRule>
    <cfRule type="expression" dxfId="7352" priority="1693" stopIfTrue="1">
      <formula>E48=$B$115</formula>
    </cfRule>
    <cfRule type="expression" dxfId="7351" priority="1694">
      <formula>E48=$B$114</formula>
    </cfRule>
    <cfRule type="expression" dxfId="7350" priority="1695">
      <formula>E48=$B$113</formula>
    </cfRule>
    <cfRule type="expression" dxfId="7349" priority="1696">
      <formula>E48=$B$112</formula>
    </cfRule>
    <cfRule type="expression" dxfId="7348" priority="1697">
      <formula>E48=$B$110</formula>
    </cfRule>
    <cfRule type="expression" dxfId="7347" priority="1698" stopIfTrue="1">
      <formula>E48=$B$111</formula>
    </cfRule>
    <cfRule type="expression" dxfId="7346" priority="1699" stopIfTrue="1">
      <formula>E$5=TODAY()</formula>
    </cfRule>
  </conditionalFormatting>
  <conditionalFormatting sqref="E48">
    <cfRule type="expression" dxfId="7345" priority="1659">
      <formula>E48=$B$145</formula>
    </cfRule>
  </conditionalFormatting>
  <conditionalFormatting sqref="C64">
    <cfRule type="expression" dxfId="7344" priority="1619">
      <formula>C64=$B$130</formula>
    </cfRule>
    <cfRule type="expression" dxfId="7343" priority="1620">
      <formula>C64=$B$128</formula>
    </cfRule>
    <cfRule type="expression" dxfId="7342" priority="1621">
      <formula>C64=$B$124</formula>
    </cfRule>
    <cfRule type="expression" dxfId="7341" priority="1622">
      <formula>C64=$B$119</formula>
    </cfRule>
    <cfRule type="expression" dxfId="7340" priority="1623">
      <formula>C64=$B$116</formula>
    </cfRule>
    <cfRule type="expression" dxfId="7339" priority="1624">
      <formula>C64=$B$113</formula>
    </cfRule>
    <cfRule type="expression" dxfId="7338" priority="1625">
      <formula>C64=$B$116</formula>
    </cfRule>
    <cfRule type="expression" dxfId="7337" priority="1626">
      <formula>C64=$B$146</formula>
    </cfRule>
    <cfRule type="expression" dxfId="7336" priority="1627">
      <formula>C64=$B$118</formula>
    </cfRule>
    <cfRule type="expression" dxfId="7335" priority="1628">
      <formula>C64=$B$146</formula>
    </cfRule>
    <cfRule type="expression" dxfId="7334" priority="1629">
      <formula>C64=$B$145</formula>
    </cfRule>
    <cfRule type="expression" dxfId="7333" priority="1630">
      <formula>C64=$B$144</formula>
    </cfRule>
    <cfRule type="expression" dxfId="7332" priority="1631">
      <formula>C64=$B$143</formula>
    </cfRule>
    <cfRule type="expression" dxfId="7331" priority="1632">
      <formula>C64=$B$142</formula>
    </cfRule>
    <cfRule type="expression" dxfId="7330" priority="1633">
      <formula>C64=$B$141</formula>
    </cfRule>
    <cfRule type="expression" dxfId="7329" priority="1634">
      <formula>C64=$B$140</formula>
    </cfRule>
    <cfRule type="expression" dxfId="7328" priority="1635">
      <formula>C64=$B$139</formula>
    </cfRule>
    <cfRule type="expression" dxfId="7327" priority="1636">
      <formula>C64=$B$135</formula>
    </cfRule>
    <cfRule type="expression" dxfId="7326" priority="1637">
      <formula>C64=$B$134</formula>
    </cfRule>
    <cfRule type="expression" dxfId="7325" priority="1638">
      <formula>C64=$B$133</formula>
    </cfRule>
    <cfRule type="expression" dxfId="7324" priority="1639">
      <formula>C64=$B$132</formula>
    </cfRule>
    <cfRule type="expression" dxfId="7323" priority="1640">
      <formula>C64=$B$131</formula>
    </cfRule>
    <cfRule type="expression" dxfId="7322" priority="1641" stopIfTrue="1">
      <formula>C64=$B$130</formula>
    </cfRule>
    <cfRule type="expression" dxfId="7321" priority="1642">
      <formula>C64=$B$129</formula>
    </cfRule>
    <cfRule type="expression" dxfId="7320" priority="1643" stopIfTrue="1">
      <formula>C64=$B$128</formula>
    </cfRule>
    <cfRule type="expression" dxfId="7319" priority="1644">
      <formula>C64=$B$127</formula>
    </cfRule>
    <cfRule type="expression" dxfId="7318" priority="1645">
      <formula>C64=$B$126</formula>
    </cfRule>
    <cfRule type="expression" dxfId="7317" priority="1646">
      <formula>C64=$B$125</formula>
    </cfRule>
    <cfRule type="expression" dxfId="7316" priority="1647" stopIfTrue="1">
      <formula>C64=$B$123</formula>
    </cfRule>
    <cfRule type="expression" dxfId="7315" priority="1648" stopIfTrue="1">
      <formula>C64=$B$122</formula>
    </cfRule>
    <cfRule type="expression" dxfId="7314" priority="1649" stopIfTrue="1">
      <formula>C64=$B$121</formula>
    </cfRule>
    <cfRule type="expression" dxfId="7313" priority="1650">
      <formula>C64=$B$120</formula>
    </cfRule>
    <cfRule type="expression" dxfId="7312" priority="1651">
      <formula>C64=$B$117</formula>
    </cfRule>
    <cfRule type="expression" dxfId="7311" priority="1652" stopIfTrue="1">
      <formula>C64=$B$115</formula>
    </cfRule>
    <cfRule type="expression" dxfId="7310" priority="1653">
      <formula>C64=$B$114</formula>
    </cfRule>
    <cfRule type="expression" dxfId="7309" priority="1654">
      <formula>C64=$B$113</formula>
    </cfRule>
    <cfRule type="expression" dxfId="7308" priority="1655">
      <formula>C64=$B$112</formula>
    </cfRule>
    <cfRule type="expression" dxfId="7307" priority="1656">
      <formula>C64=$B$110</formula>
    </cfRule>
    <cfRule type="expression" dxfId="7306" priority="1657" stopIfTrue="1">
      <formula>C64=$B$111</formula>
    </cfRule>
    <cfRule type="expression" dxfId="7305" priority="1658" stopIfTrue="1">
      <formula>C$5=TODAY()</formula>
    </cfRule>
  </conditionalFormatting>
  <conditionalFormatting sqref="C64">
    <cfRule type="expression" dxfId="7304" priority="1618">
      <formula>C64=$B$145</formula>
    </cfRule>
  </conditionalFormatting>
  <conditionalFormatting sqref="C64">
    <cfRule type="expression" dxfId="7303" priority="1615">
      <formula>C64=$B$137</formula>
    </cfRule>
    <cfRule type="expression" dxfId="7302" priority="1616">
      <formula>C64=$B$138</formula>
    </cfRule>
    <cfRule type="expression" dxfId="7301" priority="1617">
      <formula>C64=$B$136</formula>
    </cfRule>
  </conditionalFormatting>
  <conditionalFormatting sqref="C64">
    <cfRule type="expression" dxfId="7300" priority="1614">
      <formula>C64=$B$145</formula>
    </cfRule>
  </conditionalFormatting>
  <conditionalFormatting sqref="C64">
    <cfRule type="expression" dxfId="7299" priority="1611">
      <formula>C64=$B$137</formula>
    </cfRule>
    <cfRule type="expression" dxfId="7298" priority="1612">
      <formula>C64=$B$138</formula>
    </cfRule>
    <cfRule type="expression" dxfId="7297" priority="1613">
      <formula>C64=$B$136</formula>
    </cfRule>
  </conditionalFormatting>
  <conditionalFormatting sqref="F66">
    <cfRule type="expression" dxfId="7296" priority="1610">
      <formula>F66=$B$145</formula>
    </cfRule>
  </conditionalFormatting>
  <conditionalFormatting sqref="F66">
    <cfRule type="expression" dxfId="7295" priority="1607">
      <formula>F66=$B$137</formula>
    </cfRule>
    <cfRule type="expression" dxfId="7294" priority="1608">
      <formula>F66=$B$138</formula>
    </cfRule>
    <cfRule type="expression" dxfId="7293" priority="1609">
      <formula>F66=$B$136</formula>
    </cfRule>
  </conditionalFormatting>
  <conditionalFormatting sqref="F66">
    <cfRule type="expression" dxfId="7292" priority="1606">
      <formula>F66=$B$145</formula>
    </cfRule>
  </conditionalFormatting>
  <conditionalFormatting sqref="F66">
    <cfRule type="expression" dxfId="7291" priority="1603">
      <formula>F66=$B$137</formula>
    </cfRule>
    <cfRule type="expression" dxfId="7290" priority="1604">
      <formula>F66=$B$138</formula>
    </cfRule>
    <cfRule type="expression" dxfId="7289" priority="1605">
      <formula>F66=$B$136</formula>
    </cfRule>
  </conditionalFormatting>
  <conditionalFormatting sqref="G70">
    <cfRule type="expression" dxfId="7288" priority="1562">
      <formula>G70=$B$145</formula>
    </cfRule>
    <cfRule type="expression" dxfId="7287" priority="1563">
      <formula>G70=$B$130</formula>
    </cfRule>
    <cfRule type="expression" dxfId="7286" priority="1564">
      <formula>G70=$B$128</formula>
    </cfRule>
    <cfRule type="expression" dxfId="7285" priority="1565">
      <formula>G70=$B$124</formula>
    </cfRule>
    <cfRule type="expression" dxfId="7284" priority="1566">
      <formula>G70=$B$119</formula>
    </cfRule>
    <cfRule type="expression" dxfId="7283" priority="1567">
      <formula>G70=$B$116</formula>
    </cfRule>
    <cfRule type="expression" dxfId="7282" priority="1568">
      <formula>G70=$B$113</formula>
    </cfRule>
    <cfRule type="expression" dxfId="7281" priority="1569">
      <formula>G70=$B$116</formula>
    </cfRule>
    <cfRule type="expression" dxfId="7280" priority="1570">
      <formula>G70=$B$146</formula>
    </cfRule>
    <cfRule type="expression" dxfId="7279" priority="1571">
      <formula>G70=$B$118</formula>
    </cfRule>
    <cfRule type="expression" dxfId="7278" priority="1572">
      <formula>G70=$B$146</formula>
    </cfRule>
    <cfRule type="expression" dxfId="7277" priority="1573">
      <formula>G70=$B$145</formula>
    </cfRule>
    <cfRule type="expression" dxfId="7276" priority="1574">
      <formula>G70=$B$144</formula>
    </cfRule>
    <cfRule type="expression" dxfId="7275" priority="1575">
      <formula>G70=$B$143</formula>
    </cfRule>
    <cfRule type="expression" dxfId="7274" priority="1576">
      <formula>G70=$B$142</formula>
    </cfRule>
    <cfRule type="expression" dxfId="7273" priority="1577">
      <formula>G70=$B$141</formula>
    </cfRule>
    <cfRule type="expression" dxfId="7272" priority="1578">
      <formula>G70=$B$140</formula>
    </cfRule>
    <cfRule type="expression" dxfId="7271" priority="1579">
      <formula>G70=$B$139</formula>
    </cfRule>
    <cfRule type="expression" dxfId="7270" priority="1580">
      <formula>G70=$B$135</formula>
    </cfRule>
    <cfRule type="expression" dxfId="7269" priority="1581">
      <formula>G70=$B$134</formula>
    </cfRule>
    <cfRule type="expression" dxfId="7268" priority="1582">
      <formula>G70=$B$133</formula>
    </cfRule>
    <cfRule type="expression" dxfId="7267" priority="1583">
      <formula>G70=$B$132</formula>
    </cfRule>
    <cfRule type="expression" dxfId="7266" priority="1584">
      <formula>G70=$B$131</formula>
    </cfRule>
    <cfRule type="expression" dxfId="7265" priority="1585" stopIfTrue="1">
      <formula>G70=$B$130</formula>
    </cfRule>
    <cfRule type="expression" dxfId="7264" priority="1586">
      <formula>G70=$B$129</formula>
    </cfRule>
    <cfRule type="expression" dxfId="7263" priority="1587" stopIfTrue="1">
      <formula>G70=$B$128</formula>
    </cfRule>
    <cfRule type="expression" dxfId="7262" priority="1588">
      <formula>G70=$B$127</formula>
    </cfRule>
    <cfRule type="expression" dxfId="7261" priority="1589">
      <formula>G70=$B$126</formula>
    </cfRule>
    <cfRule type="expression" dxfId="7260" priority="1590">
      <formula>G70=$B$125</formula>
    </cfRule>
    <cfRule type="expression" dxfId="7259" priority="1591" stopIfTrue="1">
      <formula>G70=$B$123</formula>
    </cfRule>
    <cfRule type="expression" dxfId="7258" priority="1592" stopIfTrue="1">
      <formula>G70=$B$122</formula>
    </cfRule>
    <cfRule type="expression" dxfId="7257" priority="1593" stopIfTrue="1">
      <formula>G70=$B$121</formula>
    </cfRule>
    <cfRule type="expression" dxfId="7256" priority="1594">
      <formula>G70=$B$120</formula>
    </cfRule>
    <cfRule type="expression" dxfId="7255" priority="1595">
      <formula>G70=$B$117</formula>
    </cfRule>
    <cfRule type="expression" dxfId="7254" priority="1596" stopIfTrue="1">
      <formula>G70=$B$115</formula>
    </cfRule>
    <cfRule type="expression" dxfId="7253" priority="1597">
      <formula>G70=$B$114</formula>
    </cfRule>
    <cfRule type="expression" dxfId="7252" priority="1598">
      <formula>G70=$B$113</formula>
    </cfRule>
    <cfRule type="expression" dxfId="7251" priority="1599">
      <formula>G70=$B$112</formula>
    </cfRule>
    <cfRule type="expression" dxfId="7250" priority="1600">
      <formula>G70=$B$110</formula>
    </cfRule>
    <cfRule type="expression" dxfId="7249" priority="1601" stopIfTrue="1">
      <formula>G70=$B$111</formula>
    </cfRule>
    <cfRule type="expression" dxfId="7248" priority="1602" stopIfTrue="1">
      <formula>G$5=TODAY()</formula>
    </cfRule>
  </conditionalFormatting>
  <conditionalFormatting sqref="G70">
    <cfRule type="expression" dxfId="7247" priority="1559">
      <formula>G70=$B$137</formula>
    </cfRule>
    <cfRule type="expression" dxfId="7246" priority="1560">
      <formula>G70=$B$138</formula>
    </cfRule>
    <cfRule type="expression" dxfId="7245" priority="1561">
      <formula>G70=$B$136</formula>
    </cfRule>
  </conditionalFormatting>
  <conditionalFormatting sqref="G74">
    <cfRule type="expression" dxfId="7244" priority="1431">
      <formula>G74=$B$130</formula>
    </cfRule>
    <cfRule type="expression" dxfId="7243" priority="1432">
      <formula>G74=$B$128</formula>
    </cfRule>
    <cfRule type="expression" dxfId="7242" priority="1433">
      <formula>G74=$B$124</formula>
    </cfRule>
    <cfRule type="expression" dxfId="7241" priority="1434">
      <formula>G74=$B$119</formula>
    </cfRule>
    <cfRule type="expression" dxfId="7240" priority="1435">
      <formula>G74=$B$116</formula>
    </cfRule>
    <cfRule type="expression" dxfId="7239" priority="1436">
      <formula>G74=$B$113</formula>
    </cfRule>
    <cfRule type="expression" dxfId="7238" priority="1437">
      <formula>G74=$B$116</formula>
    </cfRule>
    <cfRule type="expression" dxfId="7237" priority="1438">
      <formula>G74=$B$146</formula>
    </cfRule>
    <cfRule type="expression" dxfId="7236" priority="1439">
      <formula>G74=$B$118</formula>
    </cfRule>
    <cfRule type="expression" dxfId="7235" priority="1440">
      <formula>G74=$B$146</formula>
    </cfRule>
    <cfRule type="expression" dxfId="7234" priority="1441">
      <formula>G74=$B$145</formula>
    </cfRule>
    <cfRule type="expression" dxfId="7233" priority="1442">
      <formula>G74=$B$144</formula>
    </cfRule>
    <cfRule type="expression" dxfId="7232" priority="1443">
      <formula>G74=$B$143</formula>
    </cfRule>
    <cfRule type="expression" dxfId="7231" priority="1444">
      <formula>G74=$B$142</formula>
    </cfRule>
    <cfRule type="expression" dxfId="7230" priority="1445">
      <formula>G74=$B$141</formula>
    </cfRule>
    <cfRule type="expression" dxfId="7229" priority="1446">
      <formula>G74=$B$140</formula>
    </cfRule>
    <cfRule type="expression" dxfId="7228" priority="1447">
      <formula>G74=$B$139</formula>
    </cfRule>
    <cfRule type="expression" dxfId="7227" priority="1448">
      <formula>G74=$B$135</formula>
    </cfRule>
    <cfRule type="expression" dxfId="7226" priority="1449">
      <formula>G74=$B$134</formula>
    </cfRule>
    <cfRule type="expression" dxfId="7225" priority="1450">
      <formula>G74=$B$133</formula>
    </cfRule>
    <cfRule type="expression" dxfId="7224" priority="1451">
      <formula>G74=$B$132</formula>
    </cfRule>
    <cfRule type="expression" dxfId="7223" priority="1452">
      <formula>G74=$B$131</formula>
    </cfRule>
    <cfRule type="expression" dxfId="7222" priority="1453" stopIfTrue="1">
      <formula>G74=$B$130</formula>
    </cfRule>
    <cfRule type="expression" dxfId="7221" priority="1454">
      <formula>G74=$B$129</formula>
    </cfRule>
    <cfRule type="expression" dxfId="7220" priority="1455" stopIfTrue="1">
      <formula>G74=$B$128</formula>
    </cfRule>
    <cfRule type="expression" dxfId="7219" priority="1456">
      <formula>G74=$B$127</formula>
    </cfRule>
    <cfRule type="expression" dxfId="7218" priority="1457">
      <formula>G74=$B$126</formula>
    </cfRule>
    <cfRule type="expression" dxfId="7217" priority="1458">
      <formula>G74=$B$125</formula>
    </cfRule>
    <cfRule type="expression" dxfId="7216" priority="1459" stopIfTrue="1">
      <formula>G74=$B$123</formula>
    </cfRule>
    <cfRule type="expression" dxfId="7215" priority="1460" stopIfTrue="1">
      <formula>G74=$B$122</formula>
    </cfRule>
    <cfRule type="expression" dxfId="7214" priority="1461" stopIfTrue="1">
      <formula>G74=$B$121</formula>
    </cfRule>
    <cfRule type="expression" dxfId="7213" priority="1462">
      <formula>G74=$B$120</formula>
    </cfRule>
    <cfRule type="expression" dxfId="7212" priority="1463">
      <formula>G74=$B$117</formula>
    </cfRule>
    <cfRule type="expression" dxfId="7211" priority="1464" stopIfTrue="1">
      <formula>G74=$B$115</formula>
    </cfRule>
    <cfRule type="expression" dxfId="7210" priority="1465">
      <formula>G74=$B$114</formula>
    </cfRule>
    <cfRule type="expression" dxfId="7209" priority="1466">
      <formula>G74=$B$113</formula>
    </cfRule>
    <cfRule type="expression" dxfId="7208" priority="1467">
      <formula>G74=$B$112</formula>
    </cfRule>
    <cfRule type="expression" dxfId="7207" priority="1468">
      <formula>G74=$B$110</formula>
    </cfRule>
    <cfRule type="expression" dxfId="7206" priority="1469" stopIfTrue="1">
      <formula>G74=$B$111</formula>
    </cfRule>
    <cfRule type="expression" dxfId="7205" priority="1470" stopIfTrue="1">
      <formula>G$5=TODAY()</formula>
    </cfRule>
  </conditionalFormatting>
  <conditionalFormatting sqref="G74">
    <cfRule type="expression" dxfId="7204" priority="1430">
      <formula>G74=$B$145</formula>
    </cfRule>
  </conditionalFormatting>
  <conditionalFormatting sqref="G74">
    <cfRule type="expression" dxfId="7203" priority="1427">
      <formula>G74=$B$137</formula>
    </cfRule>
    <cfRule type="expression" dxfId="7202" priority="1428">
      <formula>G74=$B$138</formula>
    </cfRule>
    <cfRule type="expression" dxfId="7201" priority="1429">
      <formula>G74=$B$136</formula>
    </cfRule>
  </conditionalFormatting>
  <conditionalFormatting sqref="C96">
    <cfRule type="expression" dxfId="7200" priority="1387">
      <formula>C96=$B$130</formula>
    </cfRule>
    <cfRule type="expression" dxfId="7199" priority="1388">
      <formula>C96=$B$128</formula>
    </cfRule>
    <cfRule type="expression" dxfId="7198" priority="1389">
      <formula>C96=$B$124</formula>
    </cfRule>
    <cfRule type="expression" dxfId="7197" priority="1390">
      <formula>C96=$B$119</formula>
    </cfRule>
    <cfRule type="expression" dxfId="7196" priority="1391">
      <formula>C96=$B$116</formula>
    </cfRule>
    <cfRule type="expression" dxfId="7195" priority="1392">
      <formula>C96=$B$113</formula>
    </cfRule>
    <cfRule type="expression" dxfId="7194" priority="1393">
      <formula>C96=$B$116</formula>
    </cfRule>
    <cfRule type="expression" dxfId="7193" priority="1394">
      <formula>C96=$B$146</formula>
    </cfRule>
    <cfRule type="expression" dxfId="7192" priority="1395">
      <formula>C96=$B$118</formula>
    </cfRule>
    <cfRule type="expression" dxfId="7191" priority="1396">
      <formula>C96=$B$146</formula>
    </cfRule>
    <cfRule type="expression" dxfId="7190" priority="1397">
      <formula>C96=$B$145</formula>
    </cfRule>
    <cfRule type="expression" dxfId="7189" priority="1398">
      <formula>C96=$B$144</formula>
    </cfRule>
    <cfRule type="expression" dxfId="7188" priority="1399">
      <formula>C96=$B$143</formula>
    </cfRule>
    <cfRule type="expression" dxfId="7187" priority="1400">
      <formula>C96=$B$142</formula>
    </cfRule>
    <cfRule type="expression" dxfId="7186" priority="1401">
      <formula>C96=$B$141</formula>
    </cfRule>
    <cfRule type="expression" dxfId="7185" priority="1402">
      <formula>C96=$B$140</formula>
    </cfRule>
    <cfRule type="expression" dxfId="7184" priority="1403">
      <formula>C96=$B$139</formula>
    </cfRule>
    <cfRule type="expression" dxfId="7183" priority="1404">
      <formula>C96=$B$135</formula>
    </cfRule>
    <cfRule type="expression" dxfId="7182" priority="1405">
      <formula>C96=$B$134</formula>
    </cfRule>
    <cfRule type="expression" dxfId="7181" priority="1406">
      <formula>C96=$B$133</formula>
    </cfRule>
    <cfRule type="expression" dxfId="7180" priority="1407">
      <formula>C96=$B$132</formula>
    </cfRule>
    <cfRule type="expression" dxfId="7179" priority="1408">
      <formula>C96=$B$131</formula>
    </cfRule>
    <cfRule type="expression" dxfId="7178" priority="1409" stopIfTrue="1">
      <formula>C96=$B$130</formula>
    </cfRule>
    <cfRule type="expression" dxfId="7177" priority="1410">
      <formula>C96=$B$129</formula>
    </cfRule>
    <cfRule type="expression" dxfId="7176" priority="1411" stopIfTrue="1">
      <formula>C96=$B$128</formula>
    </cfRule>
    <cfRule type="expression" dxfId="7175" priority="1412">
      <formula>C96=$B$127</formula>
    </cfRule>
    <cfRule type="expression" dxfId="7174" priority="1413">
      <formula>C96=$B$126</formula>
    </cfRule>
    <cfRule type="expression" dxfId="7173" priority="1414">
      <formula>C96=$B$125</formula>
    </cfRule>
    <cfRule type="expression" dxfId="7172" priority="1415" stopIfTrue="1">
      <formula>C96=$B$123</formula>
    </cfRule>
    <cfRule type="expression" dxfId="7171" priority="1416" stopIfTrue="1">
      <formula>C96=$B$122</formula>
    </cfRule>
    <cfRule type="expression" dxfId="7170" priority="1417" stopIfTrue="1">
      <formula>C96=$B$121</formula>
    </cfRule>
    <cfRule type="expression" dxfId="7169" priority="1418">
      <formula>C96=$B$120</formula>
    </cfRule>
    <cfRule type="expression" dxfId="7168" priority="1419">
      <formula>C96=$B$117</formula>
    </cfRule>
    <cfRule type="expression" dxfId="7167" priority="1420" stopIfTrue="1">
      <formula>C96=$B$115</formula>
    </cfRule>
    <cfRule type="expression" dxfId="7166" priority="1421">
      <formula>C96=$B$114</formula>
    </cfRule>
    <cfRule type="expression" dxfId="7165" priority="1422">
      <formula>C96=$B$113</formula>
    </cfRule>
    <cfRule type="expression" dxfId="7164" priority="1423">
      <formula>C96=$B$112</formula>
    </cfRule>
    <cfRule type="expression" dxfId="7163" priority="1424">
      <formula>C96=$B$110</formula>
    </cfRule>
    <cfRule type="expression" dxfId="7162" priority="1425" stopIfTrue="1">
      <formula>C96=$B$111</formula>
    </cfRule>
    <cfRule type="expression" dxfId="7161" priority="1426" stopIfTrue="1">
      <formula>C$5=TODAY()</formula>
    </cfRule>
  </conditionalFormatting>
  <conditionalFormatting sqref="C96">
    <cfRule type="expression" dxfId="7160" priority="1386">
      <formula>C96=$B$145</formula>
    </cfRule>
  </conditionalFormatting>
  <conditionalFormatting sqref="C96">
    <cfRule type="expression" dxfId="7159" priority="1383">
      <formula>C96=$B$137</formula>
    </cfRule>
    <cfRule type="expression" dxfId="7158" priority="1384">
      <formula>C96=$B$138</formula>
    </cfRule>
    <cfRule type="expression" dxfId="7157" priority="1385">
      <formula>C96=$B$136</formula>
    </cfRule>
  </conditionalFormatting>
  <conditionalFormatting sqref="I100">
    <cfRule type="expression" dxfId="7156" priority="1342">
      <formula>I100=$B$145</formula>
    </cfRule>
    <cfRule type="expression" dxfId="7155" priority="1343">
      <formula>I100=$B$130</formula>
    </cfRule>
    <cfRule type="expression" dxfId="7154" priority="1344">
      <formula>I100=$B$128</formula>
    </cfRule>
    <cfRule type="expression" dxfId="7153" priority="1345">
      <formula>I100=$B$124</formula>
    </cfRule>
    <cfRule type="expression" dxfId="7152" priority="1346">
      <formula>I100=$B$119</formula>
    </cfRule>
    <cfRule type="expression" dxfId="7151" priority="1347">
      <formula>I100=$B$116</formula>
    </cfRule>
    <cfRule type="expression" dxfId="7150" priority="1348">
      <formula>I100=$B$113</formula>
    </cfRule>
    <cfRule type="expression" dxfId="7149" priority="1349">
      <formula>I100=$B$116</formula>
    </cfRule>
    <cfRule type="expression" dxfId="7148" priority="1350">
      <formula>I100=$B$146</formula>
    </cfRule>
    <cfRule type="expression" dxfId="7147" priority="1351">
      <formula>I100=$B$118</formula>
    </cfRule>
    <cfRule type="expression" dxfId="7146" priority="1352">
      <formula>I100=$B$146</formula>
    </cfRule>
    <cfRule type="expression" dxfId="7145" priority="1353">
      <formula>I100=$B$145</formula>
    </cfRule>
    <cfRule type="expression" dxfId="7144" priority="1354">
      <formula>I100=$B$144</formula>
    </cfRule>
    <cfRule type="expression" dxfId="7143" priority="1355">
      <formula>I100=$B$143</formula>
    </cfRule>
    <cfRule type="expression" dxfId="7142" priority="1356">
      <formula>I100=$B$142</formula>
    </cfRule>
    <cfRule type="expression" dxfId="7141" priority="1357">
      <formula>I100=$B$141</formula>
    </cfRule>
    <cfRule type="expression" dxfId="7140" priority="1358">
      <formula>I100=$B$140</formula>
    </cfRule>
    <cfRule type="expression" dxfId="7139" priority="1359">
      <formula>I100=$B$139</formula>
    </cfRule>
    <cfRule type="expression" dxfId="7138" priority="1360">
      <formula>I100=$B$135</formula>
    </cfRule>
    <cfRule type="expression" dxfId="7137" priority="1361">
      <formula>I100=$B$134</formula>
    </cfRule>
    <cfRule type="expression" dxfId="7136" priority="1362">
      <formula>I100=$B$133</formula>
    </cfRule>
    <cfRule type="expression" dxfId="7135" priority="1363">
      <formula>I100=$B$132</formula>
    </cfRule>
    <cfRule type="expression" dxfId="7134" priority="1364">
      <formula>I100=$B$131</formula>
    </cfRule>
    <cfRule type="expression" dxfId="7133" priority="1365" stopIfTrue="1">
      <formula>I100=$B$130</formula>
    </cfRule>
    <cfRule type="expression" dxfId="7132" priority="1366">
      <formula>I100=$B$129</formula>
    </cfRule>
    <cfRule type="expression" dxfId="7131" priority="1367" stopIfTrue="1">
      <formula>I100=$B$128</formula>
    </cfRule>
    <cfRule type="expression" dxfId="7130" priority="1368">
      <formula>I100=$B$127</formula>
    </cfRule>
    <cfRule type="expression" dxfId="7129" priority="1369">
      <formula>I100=$B$126</formula>
    </cfRule>
    <cfRule type="expression" dxfId="7128" priority="1370">
      <formula>I100=$B$125</formula>
    </cfRule>
    <cfRule type="expression" dxfId="7127" priority="1371" stopIfTrue="1">
      <formula>I100=$B$123</formula>
    </cfRule>
    <cfRule type="expression" dxfId="7126" priority="1372" stopIfTrue="1">
      <formula>I100=$B$122</formula>
    </cfRule>
    <cfRule type="expression" dxfId="7125" priority="1373" stopIfTrue="1">
      <formula>I100=$B$121</formula>
    </cfRule>
    <cfRule type="expression" dxfId="7124" priority="1374">
      <formula>I100=$B$120</formula>
    </cfRule>
    <cfRule type="expression" dxfId="7123" priority="1375">
      <formula>I100=$B$117</formula>
    </cfRule>
    <cfRule type="expression" dxfId="7122" priority="1376" stopIfTrue="1">
      <formula>I100=$B$115</formula>
    </cfRule>
    <cfRule type="expression" dxfId="7121" priority="1377">
      <formula>I100=$B$114</formula>
    </cfRule>
    <cfRule type="expression" dxfId="7120" priority="1378">
      <formula>I100=$B$113</formula>
    </cfRule>
    <cfRule type="expression" dxfId="7119" priority="1379">
      <formula>I100=$B$112</formula>
    </cfRule>
    <cfRule type="expression" dxfId="7118" priority="1380">
      <formula>I100=$B$110</formula>
    </cfRule>
    <cfRule type="expression" dxfId="7117" priority="1381" stopIfTrue="1">
      <formula>I100=$B$111</formula>
    </cfRule>
    <cfRule type="expression" dxfId="7116" priority="1382" stopIfTrue="1">
      <formula>I$5=TODAY()</formula>
    </cfRule>
  </conditionalFormatting>
  <conditionalFormatting sqref="I100">
    <cfRule type="expression" dxfId="7115" priority="1339">
      <formula>I100=$B$137</formula>
    </cfRule>
    <cfRule type="expression" dxfId="7114" priority="1340">
      <formula>I100=$B$138</formula>
    </cfRule>
    <cfRule type="expression" dxfId="7113" priority="1341">
      <formula>I100=$B$136</formula>
    </cfRule>
  </conditionalFormatting>
  <conditionalFormatting sqref="D78">
    <cfRule type="expression" dxfId="7112" priority="1299">
      <formula>D78=$B$130</formula>
    </cfRule>
    <cfRule type="expression" dxfId="7111" priority="1300">
      <formula>D78=$B$128</formula>
    </cfRule>
    <cfRule type="expression" dxfId="7110" priority="1301">
      <formula>D78=$B$124</formula>
    </cfRule>
    <cfRule type="expression" dxfId="7109" priority="1302">
      <formula>D78=$B$119</formula>
    </cfRule>
    <cfRule type="expression" dxfId="7108" priority="1303">
      <formula>D78=$B$116</formula>
    </cfRule>
    <cfRule type="expression" dxfId="7107" priority="1304">
      <formula>D78=$B$113</formula>
    </cfRule>
    <cfRule type="expression" dxfId="7106" priority="1305">
      <formula>D78=$B$116</formula>
    </cfRule>
    <cfRule type="expression" dxfId="7105" priority="1306">
      <formula>D78=$B$146</formula>
    </cfRule>
    <cfRule type="expression" dxfId="7104" priority="1307">
      <formula>D78=$B$118</formula>
    </cfRule>
    <cfRule type="expression" dxfId="7103" priority="1308">
      <formula>D78=$B$146</formula>
    </cfRule>
    <cfRule type="expression" dxfId="7102" priority="1309">
      <formula>D78=$B$145</formula>
    </cfRule>
    <cfRule type="expression" dxfId="7101" priority="1310">
      <formula>D78=$B$144</formula>
    </cfRule>
    <cfRule type="expression" dxfId="7100" priority="1311">
      <formula>D78=$B$143</formula>
    </cfRule>
    <cfRule type="expression" dxfId="7099" priority="1312">
      <formula>D78=$B$142</formula>
    </cfRule>
    <cfRule type="expression" dxfId="7098" priority="1313">
      <formula>D78=$B$141</formula>
    </cfRule>
    <cfRule type="expression" dxfId="7097" priority="1314">
      <formula>D78=$B$140</formula>
    </cfRule>
    <cfRule type="expression" dxfId="7096" priority="1315">
      <formula>D78=$B$139</formula>
    </cfRule>
    <cfRule type="expression" dxfId="7095" priority="1316">
      <formula>D78=$B$135</formula>
    </cfRule>
    <cfRule type="expression" dxfId="7094" priority="1317">
      <formula>D78=$B$134</formula>
    </cfRule>
    <cfRule type="expression" dxfId="7093" priority="1318">
      <formula>D78=$B$133</formula>
    </cfRule>
    <cfRule type="expression" dxfId="7092" priority="1319">
      <formula>D78=$B$132</formula>
    </cfRule>
    <cfRule type="expression" dxfId="7091" priority="1320">
      <formula>D78=$B$131</formula>
    </cfRule>
    <cfRule type="expression" dxfId="7090" priority="1321" stopIfTrue="1">
      <formula>D78=$B$130</formula>
    </cfRule>
    <cfRule type="expression" dxfId="7089" priority="1322">
      <formula>D78=$B$129</formula>
    </cfRule>
    <cfRule type="expression" dxfId="7088" priority="1323" stopIfTrue="1">
      <formula>D78=$B$128</formula>
    </cfRule>
    <cfRule type="expression" dxfId="7087" priority="1324">
      <formula>D78=$B$127</formula>
    </cfRule>
    <cfRule type="expression" dxfId="7086" priority="1325">
      <formula>D78=$B$126</formula>
    </cfRule>
    <cfRule type="expression" dxfId="7085" priority="1326">
      <formula>D78=$B$125</formula>
    </cfRule>
    <cfRule type="expression" dxfId="7084" priority="1327" stopIfTrue="1">
      <formula>D78=$B$123</formula>
    </cfRule>
    <cfRule type="expression" dxfId="7083" priority="1328" stopIfTrue="1">
      <formula>D78=$B$122</formula>
    </cfRule>
    <cfRule type="expression" dxfId="7082" priority="1329" stopIfTrue="1">
      <formula>D78=$B$121</formula>
    </cfRule>
    <cfRule type="expression" dxfId="7081" priority="1330">
      <formula>D78=$B$120</formula>
    </cfRule>
    <cfRule type="expression" dxfId="7080" priority="1331">
      <formula>D78=$B$117</formula>
    </cfRule>
    <cfRule type="expression" dxfId="7079" priority="1332" stopIfTrue="1">
      <formula>D78=$B$115</formula>
    </cfRule>
    <cfRule type="expression" dxfId="7078" priority="1333">
      <formula>D78=$B$114</formula>
    </cfRule>
    <cfRule type="expression" dxfId="7077" priority="1334">
      <formula>D78=$B$113</formula>
    </cfRule>
    <cfRule type="expression" dxfId="7076" priority="1335">
      <formula>D78=$B$112</formula>
    </cfRule>
    <cfRule type="expression" dxfId="7075" priority="1336">
      <formula>D78=$B$110</formula>
    </cfRule>
    <cfRule type="expression" dxfId="7074" priority="1337" stopIfTrue="1">
      <formula>D78=$B$111</formula>
    </cfRule>
    <cfRule type="expression" dxfId="7073" priority="1338" stopIfTrue="1">
      <formula>D$5=TODAY()</formula>
    </cfRule>
  </conditionalFormatting>
  <conditionalFormatting sqref="D78">
    <cfRule type="expression" dxfId="7072" priority="1298">
      <formula>D78=$B$145</formula>
    </cfRule>
  </conditionalFormatting>
  <conditionalFormatting sqref="D78">
    <cfRule type="expression" dxfId="7071" priority="1295">
      <formula>D78=$B$137</formula>
    </cfRule>
    <cfRule type="expression" dxfId="7070" priority="1296">
      <formula>D78=$B$138</formula>
    </cfRule>
    <cfRule type="expression" dxfId="7069" priority="1297">
      <formula>D78=$B$136</formula>
    </cfRule>
  </conditionalFormatting>
  <conditionalFormatting sqref="I86">
    <cfRule type="expression" dxfId="7068" priority="1255">
      <formula>I86=$B$130</formula>
    </cfRule>
    <cfRule type="expression" dxfId="7067" priority="1256">
      <formula>I86=$B$128</formula>
    </cfRule>
    <cfRule type="expression" dxfId="7066" priority="1257">
      <formula>I86=$B$124</formula>
    </cfRule>
    <cfRule type="expression" dxfId="7065" priority="1258">
      <formula>I86=$B$119</formula>
    </cfRule>
    <cfRule type="expression" dxfId="7064" priority="1259">
      <formula>I86=$B$116</formula>
    </cfRule>
    <cfRule type="expression" dxfId="7063" priority="1260">
      <formula>I86=$B$113</formula>
    </cfRule>
    <cfRule type="expression" dxfId="7062" priority="1261">
      <formula>I86=$B$116</formula>
    </cfRule>
    <cfRule type="expression" dxfId="7061" priority="1262">
      <formula>I86=$B$146</formula>
    </cfRule>
    <cfRule type="expression" dxfId="7060" priority="1263">
      <formula>I86=$B$118</formula>
    </cfRule>
    <cfRule type="expression" dxfId="7059" priority="1264">
      <formula>I86=$B$146</formula>
    </cfRule>
    <cfRule type="expression" dxfId="7058" priority="1265">
      <formula>I86=$B$145</formula>
    </cfRule>
    <cfRule type="expression" dxfId="7057" priority="1266">
      <formula>I86=$B$144</formula>
    </cfRule>
    <cfRule type="expression" dxfId="7056" priority="1267">
      <formula>I86=$B$143</formula>
    </cfRule>
    <cfRule type="expression" dxfId="7055" priority="1268">
      <formula>I86=$B$142</formula>
    </cfRule>
    <cfRule type="expression" dxfId="7054" priority="1269">
      <formula>I86=$B$141</formula>
    </cfRule>
    <cfRule type="expression" dxfId="7053" priority="1270">
      <formula>I86=$B$140</formula>
    </cfRule>
    <cfRule type="expression" dxfId="7052" priority="1271">
      <formula>I86=$B$139</formula>
    </cfRule>
    <cfRule type="expression" dxfId="7051" priority="1272">
      <formula>I86=$B$135</formula>
    </cfRule>
    <cfRule type="expression" dxfId="7050" priority="1273">
      <formula>I86=$B$134</formula>
    </cfRule>
    <cfRule type="expression" dxfId="7049" priority="1274">
      <formula>I86=$B$133</formula>
    </cfRule>
    <cfRule type="expression" dxfId="7048" priority="1275">
      <formula>I86=$B$132</formula>
    </cfRule>
    <cfRule type="expression" dxfId="7047" priority="1276">
      <formula>I86=$B$131</formula>
    </cfRule>
    <cfRule type="expression" dxfId="7046" priority="1277" stopIfTrue="1">
      <formula>I86=$B$130</formula>
    </cfRule>
    <cfRule type="expression" dxfId="7045" priority="1278">
      <formula>I86=$B$129</formula>
    </cfRule>
    <cfRule type="expression" dxfId="7044" priority="1279" stopIfTrue="1">
      <formula>I86=$B$128</formula>
    </cfRule>
    <cfRule type="expression" dxfId="7043" priority="1280">
      <formula>I86=$B$127</formula>
    </cfRule>
    <cfRule type="expression" dxfId="7042" priority="1281">
      <formula>I86=$B$126</formula>
    </cfRule>
    <cfRule type="expression" dxfId="7041" priority="1282">
      <formula>I86=$B$125</formula>
    </cfRule>
    <cfRule type="expression" dxfId="7040" priority="1283" stopIfTrue="1">
      <formula>I86=$B$123</formula>
    </cfRule>
    <cfRule type="expression" dxfId="7039" priority="1284" stopIfTrue="1">
      <formula>I86=$B$122</formula>
    </cfRule>
    <cfRule type="expression" dxfId="7038" priority="1285" stopIfTrue="1">
      <formula>I86=$B$121</formula>
    </cfRule>
    <cfRule type="expression" dxfId="7037" priority="1286">
      <formula>I86=$B$120</formula>
    </cfRule>
    <cfRule type="expression" dxfId="7036" priority="1287">
      <formula>I86=$B$117</formula>
    </cfRule>
    <cfRule type="expression" dxfId="7035" priority="1288" stopIfTrue="1">
      <formula>I86=$B$115</formula>
    </cfRule>
    <cfRule type="expression" dxfId="7034" priority="1289">
      <formula>I86=$B$114</formula>
    </cfRule>
    <cfRule type="expression" dxfId="7033" priority="1290">
      <formula>I86=$B$113</formula>
    </cfRule>
    <cfRule type="expression" dxfId="7032" priority="1291">
      <formula>I86=$B$112</formula>
    </cfRule>
    <cfRule type="expression" dxfId="7031" priority="1292">
      <formula>I86=$B$110</formula>
    </cfRule>
    <cfRule type="expression" dxfId="7030" priority="1293" stopIfTrue="1">
      <formula>I86=$B$111</formula>
    </cfRule>
    <cfRule type="expression" dxfId="7029" priority="1294" stopIfTrue="1">
      <formula>I$5=TODAY()</formula>
    </cfRule>
  </conditionalFormatting>
  <conditionalFormatting sqref="I86">
    <cfRule type="expression" dxfId="7028" priority="1254">
      <formula>I86=$B$145</formula>
    </cfRule>
  </conditionalFormatting>
  <conditionalFormatting sqref="I86">
    <cfRule type="expression" dxfId="7027" priority="1251">
      <formula>I86=$B$137</formula>
    </cfRule>
    <cfRule type="expression" dxfId="7026" priority="1252">
      <formula>I86=$B$138</formula>
    </cfRule>
    <cfRule type="expression" dxfId="7025" priority="1253">
      <formula>I86=$B$136</formula>
    </cfRule>
  </conditionalFormatting>
  <conditionalFormatting sqref="D60">
    <cfRule type="expression" dxfId="7024" priority="1211">
      <formula>D60=$B$130</formula>
    </cfRule>
    <cfRule type="expression" dxfId="7023" priority="1212">
      <formula>D60=$B$128</formula>
    </cfRule>
    <cfRule type="expression" dxfId="7022" priority="1213">
      <formula>D60=$B$124</formula>
    </cfRule>
    <cfRule type="expression" dxfId="7021" priority="1214">
      <formula>D60=$B$119</formula>
    </cfRule>
    <cfRule type="expression" dxfId="7020" priority="1215">
      <formula>D60=$B$116</formula>
    </cfRule>
    <cfRule type="expression" dxfId="7019" priority="1216">
      <formula>D60=$B$113</formula>
    </cfRule>
    <cfRule type="expression" dxfId="7018" priority="1217">
      <formula>D60=$B$116</formula>
    </cfRule>
    <cfRule type="expression" dxfId="7017" priority="1218">
      <formula>D60=$B$146</formula>
    </cfRule>
    <cfRule type="expression" dxfId="7016" priority="1219">
      <formula>D60=$B$118</formula>
    </cfRule>
    <cfRule type="expression" dxfId="7015" priority="1220">
      <formula>D60=$B$146</formula>
    </cfRule>
    <cfRule type="expression" dxfId="7014" priority="1221">
      <formula>D60=$B$145</formula>
    </cfRule>
    <cfRule type="expression" dxfId="7013" priority="1222">
      <formula>D60=$B$144</formula>
    </cfRule>
    <cfRule type="expression" dxfId="7012" priority="1223">
      <formula>D60=$B$143</formula>
    </cfRule>
    <cfRule type="expression" dxfId="7011" priority="1224">
      <formula>D60=$B$142</formula>
    </cfRule>
    <cfRule type="expression" dxfId="7010" priority="1225">
      <formula>D60=$B$141</formula>
    </cfRule>
    <cfRule type="expression" dxfId="7009" priority="1226">
      <formula>D60=$B$140</formula>
    </cfRule>
    <cfRule type="expression" dxfId="7008" priority="1227">
      <formula>D60=$B$139</formula>
    </cfRule>
    <cfRule type="expression" dxfId="7007" priority="1228">
      <formula>D60=$B$135</formula>
    </cfRule>
    <cfRule type="expression" dxfId="7006" priority="1229">
      <formula>D60=$B$134</formula>
    </cfRule>
    <cfRule type="expression" dxfId="7005" priority="1230">
      <formula>D60=$B$133</formula>
    </cfRule>
    <cfRule type="expression" dxfId="7004" priority="1231">
      <formula>D60=$B$132</formula>
    </cfRule>
    <cfRule type="expression" dxfId="7003" priority="1232">
      <formula>D60=$B$131</formula>
    </cfRule>
    <cfRule type="expression" dxfId="7002" priority="1233" stopIfTrue="1">
      <formula>D60=$B$130</formula>
    </cfRule>
    <cfRule type="expression" dxfId="7001" priority="1234">
      <formula>D60=$B$129</formula>
    </cfRule>
    <cfRule type="expression" dxfId="7000" priority="1235" stopIfTrue="1">
      <formula>D60=$B$128</formula>
    </cfRule>
    <cfRule type="expression" dxfId="6999" priority="1236">
      <formula>D60=$B$127</formula>
    </cfRule>
    <cfRule type="expression" dxfId="6998" priority="1237">
      <formula>D60=$B$126</formula>
    </cfRule>
    <cfRule type="expression" dxfId="6997" priority="1238">
      <formula>D60=$B$125</formula>
    </cfRule>
    <cfRule type="expression" dxfId="6996" priority="1239" stopIfTrue="1">
      <formula>D60=$B$123</formula>
    </cfRule>
    <cfRule type="expression" dxfId="6995" priority="1240" stopIfTrue="1">
      <formula>D60=$B$122</formula>
    </cfRule>
    <cfRule type="expression" dxfId="6994" priority="1241" stopIfTrue="1">
      <formula>D60=$B$121</formula>
    </cfRule>
    <cfRule type="expression" dxfId="6993" priority="1242">
      <formula>D60=$B$120</formula>
    </cfRule>
    <cfRule type="expression" dxfId="6992" priority="1243">
      <formula>D60=$B$117</formula>
    </cfRule>
    <cfRule type="expression" dxfId="6991" priority="1244" stopIfTrue="1">
      <formula>D60=$B$115</formula>
    </cfRule>
    <cfRule type="expression" dxfId="6990" priority="1245">
      <formula>D60=$B$114</formula>
    </cfRule>
    <cfRule type="expression" dxfId="6989" priority="1246">
      <formula>D60=$B$113</formula>
    </cfRule>
    <cfRule type="expression" dxfId="6988" priority="1247">
      <formula>D60=$B$112</formula>
    </cfRule>
    <cfRule type="expression" dxfId="6987" priority="1248">
      <formula>D60=$B$110</formula>
    </cfRule>
    <cfRule type="expression" dxfId="6986" priority="1249" stopIfTrue="1">
      <formula>D60=$B$111</formula>
    </cfRule>
    <cfRule type="expression" dxfId="6985" priority="1250" stopIfTrue="1">
      <formula>D$5=TODAY()</formula>
    </cfRule>
  </conditionalFormatting>
  <conditionalFormatting sqref="D60">
    <cfRule type="expression" dxfId="6984" priority="1210">
      <formula>D60=$B$145</formula>
    </cfRule>
  </conditionalFormatting>
  <conditionalFormatting sqref="D60">
    <cfRule type="expression" dxfId="6983" priority="1207">
      <formula>D60=$B$137</formula>
    </cfRule>
    <cfRule type="expression" dxfId="6982" priority="1208">
      <formula>D60=$B$138</formula>
    </cfRule>
    <cfRule type="expression" dxfId="6981" priority="1209">
      <formula>D60=$B$136</formula>
    </cfRule>
  </conditionalFormatting>
  <conditionalFormatting sqref="I48">
    <cfRule type="expression" dxfId="6980" priority="1167">
      <formula>I48=$B$130</formula>
    </cfRule>
    <cfRule type="expression" dxfId="6979" priority="1168">
      <formula>I48=$B$128</formula>
    </cfRule>
    <cfRule type="expression" dxfId="6978" priority="1169">
      <formula>I48=$B$124</formula>
    </cfRule>
    <cfRule type="expression" dxfId="6977" priority="1170">
      <formula>I48=$B$119</formula>
    </cfRule>
    <cfRule type="expression" dxfId="6976" priority="1171">
      <formula>I48=$B$116</formula>
    </cfRule>
    <cfRule type="expression" dxfId="6975" priority="1172">
      <formula>I48=$B$113</formula>
    </cfRule>
    <cfRule type="expression" dxfId="6974" priority="1173">
      <formula>I48=$B$116</formula>
    </cfRule>
    <cfRule type="expression" dxfId="6973" priority="1174">
      <formula>I48=$B$146</formula>
    </cfRule>
    <cfRule type="expression" dxfId="6972" priority="1175">
      <formula>I48=$B$118</formula>
    </cfRule>
    <cfRule type="expression" dxfId="6971" priority="1176">
      <formula>I48=$B$146</formula>
    </cfRule>
    <cfRule type="expression" dxfId="6970" priority="1177">
      <formula>I48=$B$145</formula>
    </cfRule>
    <cfRule type="expression" dxfId="6969" priority="1178">
      <formula>I48=$B$144</formula>
    </cfRule>
    <cfRule type="expression" dxfId="6968" priority="1179">
      <formula>I48=$B$143</formula>
    </cfRule>
    <cfRule type="expression" dxfId="6967" priority="1180">
      <formula>I48=$B$142</formula>
    </cfRule>
    <cfRule type="expression" dxfId="6966" priority="1181">
      <formula>I48=$B$141</formula>
    </cfRule>
    <cfRule type="expression" dxfId="6965" priority="1182">
      <formula>I48=$B$140</formula>
    </cfRule>
    <cfRule type="expression" dxfId="6964" priority="1183">
      <formula>I48=$B$139</formula>
    </cfRule>
    <cfRule type="expression" dxfId="6963" priority="1184">
      <formula>I48=$B$135</formula>
    </cfRule>
    <cfRule type="expression" dxfId="6962" priority="1185">
      <formula>I48=$B$134</formula>
    </cfRule>
    <cfRule type="expression" dxfId="6961" priority="1186">
      <formula>I48=$B$133</formula>
    </cfRule>
    <cfRule type="expression" dxfId="6960" priority="1187">
      <formula>I48=$B$132</formula>
    </cfRule>
    <cfRule type="expression" dxfId="6959" priority="1188">
      <formula>I48=$B$131</formula>
    </cfRule>
    <cfRule type="expression" dxfId="6958" priority="1189" stopIfTrue="1">
      <formula>I48=$B$130</formula>
    </cfRule>
    <cfRule type="expression" dxfId="6957" priority="1190">
      <formula>I48=$B$129</formula>
    </cfRule>
    <cfRule type="expression" dxfId="6956" priority="1191" stopIfTrue="1">
      <formula>I48=$B$128</formula>
    </cfRule>
    <cfRule type="expression" dxfId="6955" priority="1192">
      <formula>I48=$B$127</formula>
    </cfRule>
    <cfRule type="expression" dxfId="6954" priority="1193">
      <formula>I48=$B$126</formula>
    </cfRule>
    <cfRule type="expression" dxfId="6953" priority="1194">
      <formula>I48=$B$125</formula>
    </cfRule>
    <cfRule type="expression" dxfId="6952" priority="1195" stopIfTrue="1">
      <formula>I48=$B$123</formula>
    </cfRule>
    <cfRule type="expression" dxfId="6951" priority="1196" stopIfTrue="1">
      <formula>I48=$B$122</formula>
    </cfRule>
    <cfRule type="expression" dxfId="6950" priority="1197" stopIfTrue="1">
      <formula>I48=$B$121</formula>
    </cfRule>
    <cfRule type="expression" dxfId="6949" priority="1198">
      <formula>I48=$B$120</formula>
    </cfRule>
    <cfRule type="expression" dxfId="6948" priority="1199">
      <formula>I48=$B$117</formula>
    </cfRule>
    <cfRule type="expression" dxfId="6947" priority="1200" stopIfTrue="1">
      <formula>I48=$B$115</formula>
    </cfRule>
    <cfRule type="expression" dxfId="6946" priority="1201">
      <formula>I48=$B$114</formula>
    </cfRule>
    <cfRule type="expression" dxfId="6945" priority="1202">
      <formula>I48=$B$113</formula>
    </cfRule>
    <cfRule type="expression" dxfId="6944" priority="1203">
      <formula>I48=$B$112</formula>
    </cfRule>
    <cfRule type="expression" dxfId="6943" priority="1204">
      <formula>I48=$B$110</formula>
    </cfRule>
    <cfRule type="expression" dxfId="6942" priority="1205" stopIfTrue="1">
      <formula>I48=$B$111</formula>
    </cfRule>
    <cfRule type="expression" dxfId="6941" priority="1206" stopIfTrue="1">
      <formula>I$5=TODAY()</formula>
    </cfRule>
  </conditionalFormatting>
  <conditionalFormatting sqref="I48">
    <cfRule type="expression" dxfId="6940" priority="1166">
      <formula>I48=$B$145</formula>
    </cfRule>
  </conditionalFormatting>
  <conditionalFormatting sqref="E86">
    <cfRule type="expression" dxfId="6939" priority="1126">
      <formula>E86=$B$130</formula>
    </cfRule>
    <cfRule type="expression" dxfId="6938" priority="1127">
      <formula>E86=$B$128</formula>
    </cfRule>
    <cfRule type="expression" dxfId="6937" priority="1128">
      <formula>E86=$B$124</formula>
    </cfRule>
    <cfRule type="expression" dxfId="6936" priority="1129">
      <formula>E86=$B$119</formula>
    </cfRule>
    <cfRule type="expression" dxfId="6935" priority="1130">
      <formula>E86=$B$116</formula>
    </cfRule>
    <cfRule type="expression" dxfId="6934" priority="1131">
      <formula>E86=$B$113</formula>
    </cfRule>
    <cfRule type="expression" dxfId="6933" priority="1132">
      <formula>E86=$B$116</formula>
    </cfRule>
    <cfRule type="expression" dxfId="6932" priority="1133">
      <formula>E86=$B$146</formula>
    </cfRule>
    <cfRule type="expression" dxfId="6931" priority="1134">
      <formula>E86=$B$118</formula>
    </cfRule>
    <cfRule type="expression" dxfId="6930" priority="1135">
      <formula>E86=$B$146</formula>
    </cfRule>
    <cfRule type="expression" dxfId="6929" priority="1136">
      <formula>E86=$B$145</formula>
    </cfRule>
    <cfRule type="expression" dxfId="6928" priority="1137">
      <formula>E86=$B$144</formula>
    </cfRule>
    <cfRule type="expression" dxfId="6927" priority="1138">
      <formula>E86=$B$143</formula>
    </cfRule>
    <cfRule type="expression" dxfId="6926" priority="1139">
      <formula>E86=$B$142</formula>
    </cfRule>
    <cfRule type="expression" dxfId="6925" priority="1140">
      <formula>E86=$B$141</formula>
    </cfRule>
    <cfRule type="expression" dxfId="6924" priority="1141">
      <formula>E86=$B$140</formula>
    </cfRule>
    <cfRule type="expression" dxfId="6923" priority="1142">
      <formula>E86=$B$139</formula>
    </cfRule>
    <cfRule type="expression" dxfId="6922" priority="1143">
      <formula>E86=$B$135</formula>
    </cfRule>
    <cfRule type="expression" dxfId="6921" priority="1144">
      <formula>E86=$B$134</formula>
    </cfRule>
    <cfRule type="expression" dxfId="6920" priority="1145">
      <formula>E86=$B$133</formula>
    </cfRule>
    <cfRule type="expression" dxfId="6919" priority="1146">
      <formula>E86=$B$132</formula>
    </cfRule>
    <cfRule type="expression" dxfId="6918" priority="1147">
      <formula>E86=$B$131</formula>
    </cfRule>
    <cfRule type="expression" dxfId="6917" priority="1148" stopIfTrue="1">
      <formula>E86=$B$130</formula>
    </cfRule>
    <cfRule type="expression" dxfId="6916" priority="1149">
      <formula>E86=$B$129</formula>
    </cfRule>
    <cfRule type="expression" dxfId="6915" priority="1150" stopIfTrue="1">
      <formula>E86=$B$128</formula>
    </cfRule>
    <cfRule type="expression" dxfId="6914" priority="1151">
      <formula>E86=$B$127</formula>
    </cfRule>
    <cfRule type="expression" dxfId="6913" priority="1152">
      <formula>E86=$B$126</formula>
    </cfRule>
    <cfRule type="expression" dxfId="6912" priority="1153">
      <formula>E86=$B$125</formula>
    </cfRule>
    <cfRule type="expression" dxfId="6911" priority="1154" stopIfTrue="1">
      <formula>E86=$B$123</formula>
    </cfRule>
    <cfRule type="expression" dxfId="6910" priority="1155" stopIfTrue="1">
      <formula>E86=$B$122</formula>
    </cfRule>
    <cfRule type="expression" dxfId="6909" priority="1156" stopIfTrue="1">
      <formula>E86=$B$121</formula>
    </cfRule>
    <cfRule type="expression" dxfId="6908" priority="1157">
      <formula>E86=$B$120</formula>
    </cfRule>
    <cfRule type="expression" dxfId="6907" priority="1158">
      <formula>E86=$B$117</formula>
    </cfRule>
    <cfRule type="expression" dxfId="6906" priority="1159" stopIfTrue="1">
      <formula>E86=$B$115</formula>
    </cfRule>
    <cfRule type="expression" dxfId="6905" priority="1160">
      <formula>E86=$B$114</formula>
    </cfRule>
    <cfRule type="expression" dxfId="6904" priority="1161">
      <formula>E86=$B$113</formula>
    </cfRule>
    <cfRule type="expression" dxfId="6903" priority="1162">
      <formula>E86=$B$112</formula>
    </cfRule>
    <cfRule type="expression" dxfId="6902" priority="1163">
      <formula>E86=$B$110</formula>
    </cfRule>
    <cfRule type="expression" dxfId="6901" priority="1164" stopIfTrue="1">
      <formula>E86=$B$111</formula>
    </cfRule>
    <cfRule type="expression" dxfId="6900" priority="1165" stopIfTrue="1">
      <formula>E$5=TODAY()</formula>
    </cfRule>
  </conditionalFormatting>
  <conditionalFormatting sqref="E86">
    <cfRule type="expression" dxfId="6899" priority="1125">
      <formula>E86=$B$145</formula>
    </cfRule>
  </conditionalFormatting>
  <conditionalFormatting sqref="C92">
    <cfRule type="expression" dxfId="6898" priority="1084">
      <formula>C92=$B$145</formula>
    </cfRule>
    <cfRule type="expression" dxfId="6897" priority="1085">
      <formula>C92=$B$130</formula>
    </cfRule>
    <cfRule type="expression" dxfId="6896" priority="1086">
      <formula>C92=$B$128</formula>
    </cfRule>
    <cfRule type="expression" dxfId="6895" priority="1087">
      <formula>C92=$B$124</formula>
    </cfRule>
    <cfRule type="expression" dxfId="6894" priority="1088">
      <formula>C92=$B$119</formula>
    </cfRule>
    <cfRule type="expression" dxfId="6893" priority="1089">
      <formula>C92=$B$116</formula>
    </cfRule>
    <cfRule type="expression" dxfId="6892" priority="1090">
      <formula>C92=$B$113</formula>
    </cfRule>
    <cfRule type="expression" dxfId="6891" priority="1091">
      <formula>C92=$B$116</formula>
    </cfRule>
    <cfRule type="expression" dxfId="6890" priority="1092">
      <formula>C92=$B$146</formula>
    </cfRule>
    <cfRule type="expression" dxfId="6889" priority="1093">
      <formula>C92=$B$118</formula>
    </cfRule>
    <cfRule type="expression" dxfId="6888" priority="1094">
      <formula>C92=$B$146</formula>
    </cfRule>
    <cfRule type="expression" dxfId="6887" priority="1095">
      <formula>C92=$B$145</formula>
    </cfRule>
    <cfRule type="expression" dxfId="6886" priority="1096">
      <formula>C92=$B$144</formula>
    </cfRule>
    <cfRule type="expression" dxfId="6885" priority="1097">
      <formula>C92=$B$143</formula>
    </cfRule>
    <cfRule type="expression" dxfId="6884" priority="1098">
      <formula>C92=$B$142</formula>
    </cfRule>
    <cfRule type="expression" dxfId="6883" priority="1099">
      <formula>C92=$B$141</formula>
    </cfRule>
    <cfRule type="expression" dxfId="6882" priority="1100">
      <formula>C92=$B$140</formula>
    </cfRule>
    <cfRule type="expression" dxfId="6881" priority="1101">
      <formula>C92=$B$139</formula>
    </cfRule>
    <cfRule type="expression" dxfId="6880" priority="1102">
      <formula>C92=$B$135</formula>
    </cfRule>
    <cfRule type="expression" dxfId="6879" priority="1103">
      <formula>C92=$B$134</formula>
    </cfRule>
    <cfRule type="expression" dxfId="6878" priority="1104">
      <formula>C92=$B$133</formula>
    </cfRule>
    <cfRule type="expression" dxfId="6877" priority="1105">
      <formula>C92=$B$132</formula>
    </cfRule>
    <cfRule type="expression" dxfId="6876" priority="1106">
      <formula>C92=$B$131</formula>
    </cfRule>
    <cfRule type="expression" dxfId="6875" priority="1107" stopIfTrue="1">
      <formula>C92=$B$130</formula>
    </cfRule>
    <cfRule type="expression" dxfId="6874" priority="1108">
      <formula>C92=$B$129</formula>
    </cfRule>
    <cfRule type="expression" dxfId="6873" priority="1109" stopIfTrue="1">
      <formula>C92=$B$128</formula>
    </cfRule>
    <cfRule type="expression" dxfId="6872" priority="1110">
      <formula>C92=$B$127</formula>
    </cfRule>
    <cfRule type="expression" dxfId="6871" priority="1111">
      <formula>C92=$B$126</formula>
    </cfRule>
    <cfRule type="expression" dxfId="6870" priority="1112">
      <formula>C92=$B$125</formula>
    </cfRule>
    <cfRule type="expression" dxfId="6869" priority="1113" stopIfTrue="1">
      <formula>C92=$B$123</formula>
    </cfRule>
    <cfRule type="expression" dxfId="6868" priority="1114" stopIfTrue="1">
      <formula>C92=$B$122</formula>
    </cfRule>
    <cfRule type="expression" dxfId="6867" priority="1115" stopIfTrue="1">
      <formula>C92=$B$121</formula>
    </cfRule>
    <cfRule type="expression" dxfId="6866" priority="1116">
      <formula>C92=$B$120</formula>
    </cfRule>
    <cfRule type="expression" dxfId="6865" priority="1117">
      <formula>C92=$B$117</formula>
    </cfRule>
    <cfRule type="expression" dxfId="6864" priority="1118" stopIfTrue="1">
      <formula>C92=$B$115</formula>
    </cfRule>
    <cfRule type="expression" dxfId="6863" priority="1119">
      <formula>C92=$B$114</formula>
    </cfRule>
    <cfRule type="expression" dxfId="6862" priority="1120">
      <formula>C92=$B$113</formula>
    </cfRule>
    <cfRule type="expression" dxfId="6861" priority="1121">
      <formula>C92=$B$112</formula>
    </cfRule>
    <cfRule type="expression" dxfId="6860" priority="1122">
      <formula>C92=$B$110</formula>
    </cfRule>
    <cfRule type="expression" dxfId="6859" priority="1123" stopIfTrue="1">
      <formula>C92=$B$111</formula>
    </cfRule>
    <cfRule type="expression" dxfId="6858" priority="1124" stopIfTrue="1">
      <formula>C$5=TODAY()</formula>
    </cfRule>
  </conditionalFormatting>
  <conditionalFormatting sqref="C92">
    <cfRule type="expression" dxfId="6857" priority="1081">
      <formula>C92=$B$137</formula>
    </cfRule>
    <cfRule type="expression" dxfId="6856" priority="1082">
      <formula>C92=$B$138</formula>
    </cfRule>
    <cfRule type="expression" dxfId="6855" priority="1083">
      <formula>C92=$B$136</formula>
    </cfRule>
  </conditionalFormatting>
  <conditionalFormatting sqref="C60">
    <cfRule type="expression" dxfId="6854" priority="1040">
      <formula>C60=$B$145</formula>
    </cfRule>
    <cfRule type="expression" dxfId="6853" priority="1041">
      <formula>C60=$B$130</formula>
    </cfRule>
    <cfRule type="expression" dxfId="6852" priority="1042">
      <formula>C60=$B$128</formula>
    </cfRule>
    <cfRule type="expression" dxfId="6851" priority="1043">
      <formula>C60=$B$124</formula>
    </cfRule>
    <cfRule type="expression" dxfId="6850" priority="1044">
      <formula>C60=$B$119</formula>
    </cfRule>
    <cfRule type="expression" dxfId="6849" priority="1045">
      <formula>C60=$B$116</formula>
    </cfRule>
    <cfRule type="expression" dxfId="6848" priority="1046">
      <formula>C60=$B$113</formula>
    </cfRule>
    <cfRule type="expression" dxfId="6847" priority="1047">
      <formula>C60=$B$116</formula>
    </cfRule>
    <cfRule type="expression" dxfId="6846" priority="1048">
      <formula>C60=$B$146</formula>
    </cfRule>
    <cfRule type="expression" dxfId="6845" priority="1049">
      <formula>C60=$B$118</formula>
    </cfRule>
    <cfRule type="expression" dxfId="6844" priority="1050">
      <formula>C60=$B$146</formula>
    </cfRule>
    <cfRule type="expression" dxfId="6843" priority="1051">
      <formula>C60=$B$145</formula>
    </cfRule>
    <cfRule type="expression" dxfId="6842" priority="1052">
      <formula>C60=$B$144</formula>
    </cfRule>
    <cfRule type="expression" dxfId="6841" priority="1053">
      <formula>C60=$B$143</formula>
    </cfRule>
    <cfRule type="expression" dxfId="6840" priority="1054">
      <formula>C60=$B$142</formula>
    </cfRule>
    <cfRule type="expression" dxfId="6839" priority="1055">
      <formula>C60=$B$141</formula>
    </cfRule>
    <cfRule type="expression" dxfId="6838" priority="1056">
      <formula>C60=$B$140</formula>
    </cfRule>
    <cfRule type="expression" dxfId="6837" priority="1057">
      <formula>C60=$B$139</formula>
    </cfRule>
    <cfRule type="expression" dxfId="6836" priority="1058">
      <formula>C60=$B$135</formula>
    </cfRule>
    <cfRule type="expression" dxfId="6835" priority="1059">
      <formula>C60=$B$134</formula>
    </cfRule>
    <cfRule type="expression" dxfId="6834" priority="1060">
      <formula>C60=$B$133</formula>
    </cfRule>
    <cfRule type="expression" dxfId="6833" priority="1061">
      <formula>C60=$B$132</formula>
    </cfRule>
    <cfRule type="expression" dxfId="6832" priority="1062">
      <formula>C60=$B$131</formula>
    </cfRule>
    <cfRule type="expression" dxfId="6831" priority="1063" stopIfTrue="1">
      <formula>C60=$B$130</formula>
    </cfRule>
    <cfRule type="expression" dxfId="6830" priority="1064">
      <formula>C60=$B$129</formula>
    </cfRule>
    <cfRule type="expression" dxfId="6829" priority="1065" stopIfTrue="1">
      <formula>C60=$B$128</formula>
    </cfRule>
    <cfRule type="expression" dxfId="6828" priority="1066">
      <formula>C60=$B$127</formula>
    </cfRule>
    <cfRule type="expression" dxfId="6827" priority="1067">
      <formula>C60=$B$126</formula>
    </cfRule>
    <cfRule type="expression" dxfId="6826" priority="1068">
      <formula>C60=$B$125</formula>
    </cfRule>
    <cfRule type="expression" dxfId="6825" priority="1069" stopIfTrue="1">
      <formula>C60=$B$123</formula>
    </cfRule>
    <cfRule type="expression" dxfId="6824" priority="1070" stopIfTrue="1">
      <formula>C60=$B$122</formula>
    </cfRule>
    <cfRule type="expression" dxfId="6823" priority="1071" stopIfTrue="1">
      <formula>C60=$B$121</formula>
    </cfRule>
    <cfRule type="expression" dxfId="6822" priority="1072">
      <formula>C60=$B$120</formula>
    </cfRule>
    <cfRule type="expression" dxfId="6821" priority="1073">
      <formula>C60=$B$117</formula>
    </cfRule>
    <cfRule type="expression" dxfId="6820" priority="1074" stopIfTrue="1">
      <formula>C60=$B$115</formula>
    </cfRule>
    <cfRule type="expression" dxfId="6819" priority="1075">
      <formula>C60=$B$114</formula>
    </cfRule>
    <cfRule type="expression" dxfId="6818" priority="1076">
      <formula>C60=$B$113</formula>
    </cfRule>
    <cfRule type="expression" dxfId="6817" priority="1077">
      <formula>C60=$B$112</formula>
    </cfRule>
    <cfRule type="expression" dxfId="6816" priority="1078">
      <formula>C60=$B$110</formula>
    </cfRule>
    <cfRule type="expression" dxfId="6815" priority="1079" stopIfTrue="1">
      <formula>C60=$B$111</formula>
    </cfRule>
    <cfRule type="expression" dxfId="6814" priority="1080" stopIfTrue="1">
      <formula>C$5=TODAY()</formula>
    </cfRule>
  </conditionalFormatting>
  <conditionalFormatting sqref="C60">
    <cfRule type="expression" dxfId="6813" priority="1037">
      <formula>C60=$B$137</formula>
    </cfRule>
    <cfRule type="expression" dxfId="6812" priority="1038">
      <formula>C60=$B$138</formula>
    </cfRule>
    <cfRule type="expression" dxfId="6811" priority="1039">
      <formula>C60=$B$136</formula>
    </cfRule>
  </conditionalFormatting>
  <conditionalFormatting sqref="C58">
    <cfRule type="expression" dxfId="6810" priority="996">
      <formula>C58=$B$145</formula>
    </cfRule>
    <cfRule type="expression" dxfId="6809" priority="997">
      <formula>C58=$B$130</formula>
    </cfRule>
    <cfRule type="expression" dxfId="6808" priority="998">
      <formula>C58=$B$128</formula>
    </cfRule>
    <cfRule type="expression" dxfId="6807" priority="999">
      <formula>C58=$B$124</formula>
    </cfRule>
    <cfRule type="expression" dxfId="6806" priority="1000">
      <formula>C58=$B$119</formula>
    </cfRule>
    <cfRule type="expression" dxfId="6805" priority="1001">
      <formula>C58=$B$116</formula>
    </cfRule>
    <cfRule type="expression" dxfId="6804" priority="1002">
      <formula>C58=$B$113</formula>
    </cfRule>
    <cfRule type="expression" dxfId="6803" priority="1003">
      <formula>C58=$B$116</formula>
    </cfRule>
    <cfRule type="expression" dxfId="6802" priority="1004">
      <formula>C58=$B$146</formula>
    </cfRule>
    <cfRule type="expression" dxfId="6801" priority="1005">
      <formula>C58=$B$118</formula>
    </cfRule>
    <cfRule type="expression" dxfId="6800" priority="1006">
      <formula>C58=$B$146</formula>
    </cfRule>
    <cfRule type="expression" dxfId="6799" priority="1007">
      <formula>C58=$B$145</formula>
    </cfRule>
    <cfRule type="expression" dxfId="6798" priority="1008">
      <formula>C58=$B$144</formula>
    </cfRule>
    <cfRule type="expression" dxfId="6797" priority="1009">
      <formula>C58=$B$143</formula>
    </cfRule>
    <cfRule type="expression" dxfId="6796" priority="1010">
      <formula>C58=$B$142</formula>
    </cfRule>
    <cfRule type="expression" dxfId="6795" priority="1011">
      <formula>C58=$B$141</formula>
    </cfRule>
    <cfRule type="expression" dxfId="6794" priority="1012">
      <formula>C58=$B$140</formula>
    </cfRule>
    <cfRule type="expression" dxfId="6793" priority="1013">
      <formula>C58=$B$139</formula>
    </cfRule>
    <cfRule type="expression" dxfId="6792" priority="1014">
      <formula>C58=$B$135</formula>
    </cfRule>
    <cfRule type="expression" dxfId="6791" priority="1015">
      <formula>C58=$B$134</formula>
    </cfRule>
    <cfRule type="expression" dxfId="6790" priority="1016">
      <formula>C58=$B$133</formula>
    </cfRule>
    <cfRule type="expression" dxfId="6789" priority="1017">
      <formula>C58=$B$132</formula>
    </cfRule>
    <cfRule type="expression" dxfId="6788" priority="1018">
      <formula>C58=$B$131</formula>
    </cfRule>
    <cfRule type="expression" dxfId="6787" priority="1019" stopIfTrue="1">
      <formula>C58=$B$130</formula>
    </cfRule>
    <cfRule type="expression" dxfId="6786" priority="1020">
      <formula>C58=$B$129</formula>
    </cfRule>
    <cfRule type="expression" dxfId="6785" priority="1021" stopIfTrue="1">
      <formula>C58=$B$128</formula>
    </cfRule>
    <cfRule type="expression" dxfId="6784" priority="1022">
      <formula>C58=$B$127</formula>
    </cfRule>
    <cfRule type="expression" dxfId="6783" priority="1023">
      <formula>C58=$B$126</formula>
    </cfRule>
    <cfRule type="expression" dxfId="6782" priority="1024">
      <formula>C58=$B$125</formula>
    </cfRule>
    <cfRule type="expression" dxfId="6781" priority="1025" stopIfTrue="1">
      <formula>C58=$B$123</formula>
    </cfRule>
    <cfRule type="expression" dxfId="6780" priority="1026" stopIfTrue="1">
      <formula>C58=$B$122</formula>
    </cfRule>
    <cfRule type="expression" dxfId="6779" priority="1027" stopIfTrue="1">
      <formula>C58=$B$121</formula>
    </cfRule>
    <cfRule type="expression" dxfId="6778" priority="1028">
      <formula>C58=$B$120</formula>
    </cfRule>
    <cfRule type="expression" dxfId="6777" priority="1029">
      <formula>C58=$B$117</formula>
    </cfRule>
    <cfRule type="expression" dxfId="6776" priority="1030" stopIfTrue="1">
      <formula>C58=$B$115</formula>
    </cfRule>
    <cfRule type="expression" dxfId="6775" priority="1031">
      <formula>C58=$B$114</formula>
    </cfRule>
    <cfRule type="expression" dxfId="6774" priority="1032">
      <formula>C58=$B$113</formula>
    </cfRule>
    <cfRule type="expression" dxfId="6773" priority="1033">
      <formula>C58=$B$112</formula>
    </cfRule>
    <cfRule type="expression" dxfId="6772" priority="1034">
      <formula>C58=$B$110</formula>
    </cfRule>
    <cfRule type="expression" dxfId="6771" priority="1035" stopIfTrue="1">
      <formula>C58=$B$111</formula>
    </cfRule>
    <cfRule type="expression" dxfId="6770" priority="1036" stopIfTrue="1">
      <formula>C$5=TODAY()</formula>
    </cfRule>
  </conditionalFormatting>
  <conditionalFormatting sqref="C58">
    <cfRule type="expression" dxfId="6769" priority="993">
      <formula>C58=$B$137</formula>
    </cfRule>
    <cfRule type="expression" dxfId="6768" priority="994">
      <formula>C58=$B$138</formula>
    </cfRule>
    <cfRule type="expression" dxfId="6767" priority="995">
      <formula>C58=$B$136</formula>
    </cfRule>
  </conditionalFormatting>
  <conditionalFormatting sqref="C52">
    <cfRule type="expression" dxfId="6766" priority="952">
      <formula>C52=$B$145</formula>
    </cfRule>
    <cfRule type="expression" dxfId="6765" priority="953">
      <formula>C52=$B$130</formula>
    </cfRule>
    <cfRule type="expression" dxfId="6764" priority="954">
      <formula>C52=$B$128</formula>
    </cfRule>
    <cfRule type="expression" dxfId="6763" priority="955">
      <formula>C52=$B$124</formula>
    </cfRule>
    <cfRule type="expression" dxfId="6762" priority="956">
      <formula>C52=$B$119</formula>
    </cfRule>
    <cfRule type="expression" dxfId="6761" priority="957">
      <formula>C52=$B$116</formula>
    </cfRule>
    <cfRule type="expression" dxfId="6760" priority="958">
      <formula>C52=$B$113</formula>
    </cfRule>
    <cfRule type="expression" dxfId="6759" priority="959">
      <formula>C52=$B$116</formula>
    </cfRule>
    <cfRule type="expression" dxfId="6758" priority="960">
      <formula>C52=$B$146</formula>
    </cfRule>
    <cfRule type="expression" dxfId="6757" priority="961">
      <formula>C52=$B$118</formula>
    </cfRule>
    <cfRule type="expression" dxfId="6756" priority="962">
      <formula>C52=$B$146</formula>
    </cfRule>
    <cfRule type="expression" dxfId="6755" priority="963">
      <formula>C52=$B$145</formula>
    </cfRule>
    <cfRule type="expression" dxfId="6754" priority="964">
      <formula>C52=$B$144</formula>
    </cfRule>
    <cfRule type="expression" dxfId="6753" priority="965">
      <formula>C52=$B$143</formula>
    </cfRule>
    <cfRule type="expression" dxfId="6752" priority="966">
      <formula>C52=$B$142</formula>
    </cfRule>
    <cfRule type="expression" dxfId="6751" priority="967">
      <formula>C52=$B$141</formula>
    </cfRule>
    <cfRule type="expression" dxfId="6750" priority="968">
      <formula>C52=$B$140</formula>
    </cfRule>
    <cfRule type="expression" dxfId="6749" priority="969">
      <formula>C52=$B$139</formula>
    </cfRule>
    <cfRule type="expression" dxfId="6748" priority="970">
      <formula>C52=$B$135</formula>
    </cfRule>
    <cfRule type="expression" dxfId="6747" priority="971">
      <formula>C52=$B$134</formula>
    </cfRule>
    <cfRule type="expression" dxfId="6746" priority="972">
      <formula>C52=$B$133</formula>
    </cfRule>
    <cfRule type="expression" dxfId="6745" priority="973">
      <formula>C52=$B$132</formula>
    </cfRule>
    <cfRule type="expression" dxfId="6744" priority="974">
      <formula>C52=$B$131</formula>
    </cfRule>
    <cfRule type="expression" dxfId="6743" priority="975" stopIfTrue="1">
      <formula>C52=$B$130</formula>
    </cfRule>
    <cfRule type="expression" dxfId="6742" priority="976">
      <formula>C52=$B$129</formula>
    </cfRule>
    <cfRule type="expression" dxfId="6741" priority="977" stopIfTrue="1">
      <formula>C52=$B$128</formula>
    </cfRule>
    <cfRule type="expression" dxfId="6740" priority="978">
      <formula>C52=$B$127</formula>
    </cfRule>
    <cfRule type="expression" dxfId="6739" priority="979">
      <formula>C52=$B$126</formula>
    </cfRule>
    <cfRule type="expression" dxfId="6738" priority="980">
      <formula>C52=$B$125</formula>
    </cfRule>
    <cfRule type="expression" dxfId="6737" priority="981" stopIfTrue="1">
      <formula>C52=$B$123</formula>
    </cfRule>
    <cfRule type="expression" dxfId="6736" priority="982" stopIfTrue="1">
      <formula>C52=$B$122</formula>
    </cfRule>
    <cfRule type="expression" dxfId="6735" priority="983" stopIfTrue="1">
      <formula>C52=$B$121</formula>
    </cfRule>
    <cfRule type="expression" dxfId="6734" priority="984">
      <formula>C52=$B$120</formula>
    </cfRule>
    <cfRule type="expression" dxfId="6733" priority="985">
      <formula>C52=$B$117</formula>
    </cfRule>
    <cfRule type="expression" dxfId="6732" priority="986" stopIfTrue="1">
      <formula>C52=$B$115</formula>
    </cfRule>
    <cfRule type="expression" dxfId="6731" priority="987">
      <formula>C52=$B$114</formula>
    </cfRule>
    <cfRule type="expression" dxfId="6730" priority="988">
      <formula>C52=$B$113</formula>
    </cfRule>
    <cfRule type="expression" dxfId="6729" priority="989">
      <formula>C52=$B$112</formula>
    </cfRule>
    <cfRule type="expression" dxfId="6728" priority="990">
      <formula>C52=$B$110</formula>
    </cfRule>
    <cfRule type="expression" dxfId="6727" priority="991" stopIfTrue="1">
      <formula>C52=$B$111</formula>
    </cfRule>
    <cfRule type="expression" dxfId="6726" priority="992" stopIfTrue="1">
      <formula>C$5=TODAY()</formula>
    </cfRule>
  </conditionalFormatting>
  <conditionalFormatting sqref="C52">
    <cfRule type="expression" dxfId="6725" priority="949">
      <formula>C52=$B$137</formula>
    </cfRule>
    <cfRule type="expression" dxfId="6724" priority="950">
      <formula>C52=$B$138</formula>
    </cfRule>
    <cfRule type="expression" dxfId="6723" priority="951">
      <formula>C52=$B$136</formula>
    </cfRule>
  </conditionalFormatting>
  <conditionalFormatting sqref="D86">
    <cfRule type="expression" dxfId="6722" priority="908">
      <formula>D86=$B$145</formula>
    </cfRule>
    <cfRule type="expression" dxfId="6721" priority="909">
      <formula>D86=$B$130</formula>
    </cfRule>
    <cfRule type="expression" dxfId="6720" priority="910">
      <formula>D86=$B$128</formula>
    </cfRule>
    <cfRule type="expression" dxfId="6719" priority="911">
      <formula>D86=$B$124</formula>
    </cfRule>
    <cfRule type="expression" dxfId="6718" priority="912">
      <formula>D86=$B$119</formula>
    </cfRule>
    <cfRule type="expression" dxfId="6717" priority="913">
      <formula>D86=$B$116</formula>
    </cfRule>
    <cfRule type="expression" dxfId="6716" priority="914">
      <formula>D86=$B$113</formula>
    </cfRule>
    <cfRule type="expression" dxfId="6715" priority="915">
      <formula>D86=$B$116</formula>
    </cfRule>
    <cfRule type="expression" dxfId="6714" priority="916">
      <formula>D86=$B$146</formula>
    </cfRule>
    <cfRule type="expression" dxfId="6713" priority="917">
      <formula>D86=$B$118</formula>
    </cfRule>
    <cfRule type="expression" dxfId="6712" priority="918">
      <formula>D86=$B$146</formula>
    </cfRule>
    <cfRule type="expression" dxfId="6711" priority="919">
      <formula>D86=$B$145</formula>
    </cfRule>
    <cfRule type="expression" dxfId="6710" priority="920">
      <formula>D86=$B$144</formula>
    </cfRule>
    <cfRule type="expression" dxfId="6709" priority="921">
      <formula>D86=$B$143</formula>
    </cfRule>
    <cfRule type="expression" dxfId="6708" priority="922">
      <formula>D86=$B$142</formula>
    </cfRule>
    <cfRule type="expression" dxfId="6707" priority="923">
      <formula>D86=$B$141</formula>
    </cfRule>
    <cfRule type="expression" dxfId="6706" priority="924">
      <formula>D86=$B$140</formula>
    </cfRule>
    <cfRule type="expression" dxfId="6705" priority="925">
      <formula>D86=$B$139</formula>
    </cfRule>
    <cfRule type="expression" dxfId="6704" priority="926">
      <formula>D86=$B$135</formula>
    </cfRule>
    <cfRule type="expression" dxfId="6703" priority="927">
      <formula>D86=$B$134</formula>
    </cfRule>
    <cfRule type="expression" dxfId="6702" priority="928">
      <formula>D86=$B$133</formula>
    </cfRule>
    <cfRule type="expression" dxfId="6701" priority="929">
      <formula>D86=$B$132</formula>
    </cfRule>
    <cfRule type="expression" dxfId="6700" priority="930">
      <formula>D86=$B$131</formula>
    </cfRule>
    <cfRule type="expression" dxfId="6699" priority="931" stopIfTrue="1">
      <formula>D86=$B$130</formula>
    </cfRule>
    <cfRule type="expression" dxfId="6698" priority="932">
      <formula>D86=$B$129</formula>
    </cfRule>
    <cfRule type="expression" dxfId="6697" priority="933" stopIfTrue="1">
      <formula>D86=$B$128</formula>
    </cfRule>
    <cfRule type="expression" dxfId="6696" priority="934">
      <formula>D86=$B$127</formula>
    </cfRule>
    <cfRule type="expression" dxfId="6695" priority="935">
      <formula>D86=$B$126</formula>
    </cfRule>
    <cfRule type="expression" dxfId="6694" priority="936">
      <formula>D86=$B$125</formula>
    </cfRule>
    <cfRule type="expression" dxfId="6693" priority="937" stopIfTrue="1">
      <formula>D86=$B$123</formula>
    </cfRule>
    <cfRule type="expression" dxfId="6692" priority="938" stopIfTrue="1">
      <formula>D86=$B$122</formula>
    </cfRule>
    <cfRule type="expression" dxfId="6691" priority="939" stopIfTrue="1">
      <formula>D86=$B$121</formula>
    </cfRule>
    <cfRule type="expression" dxfId="6690" priority="940">
      <formula>D86=$B$120</formula>
    </cfRule>
    <cfRule type="expression" dxfId="6689" priority="941">
      <formula>D86=$B$117</formula>
    </cfRule>
    <cfRule type="expression" dxfId="6688" priority="942" stopIfTrue="1">
      <formula>D86=$B$115</formula>
    </cfRule>
    <cfRule type="expression" dxfId="6687" priority="943">
      <formula>D86=$B$114</formula>
    </cfRule>
    <cfRule type="expression" dxfId="6686" priority="944">
      <formula>D86=$B$113</formula>
    </cfRule>
    <cfRule type="expression" dxfId="6685" priority="945">
      <formula>D86=$B$112</formula>
    </cfRule>
    <cfRule type="expression" dxfId="6684" priority="946">
      <formula>D86=$B$110</formula>
    </cfRule>
    <cfRule type="expression" dxfId="6683" priority="947" stopIfTrue="1">
      <formula>D86=$B$111</formula>
    </cfRule>
    <cfRule type="expression" dxfId="6682" priority="948" stopIfTrue="1">
      <formula>D$5=TODAY()</formula>
    </cfRule>
  </conditionalFormatting>
  <conditionalFormatting sqref="D86">
    <cfRule type="expression" dxfId="6681" priority="905">
      <formula>D86=$B$137</formula>
    </cfRule>
    <cfRule type="expression" dxfId="6680" priority="906">
      <formula>D86=$B$138</formula>
    </cfRule>
    <cfRule type="expression" dxfId="6679" priority="907">
      <formula>D86=$B$136</formula>
    </cfRule>
  </conditionalFormatting>
  <conditionalFormatting sqref="D86">
    <cfRule type="expression" dxfId="6678" priority="865">
      <formula>D86=$B$130</formula>
    </cfRule>
    <cfRule type="expression" dxfId="6677" priority="866">
      <formula>D86=$B$128</formula>
    </cfRule>
    <cfRule type="expression" dxfId="6676" priority="867">
      <formula>D86=$B$124</formula>
    </cfRule>
    <cfRule type="expression" dxfId="6675" priority="868">
      <formula>D86=$B$119</formula>
    </cfRule>
    <cfRule type="expression" dxfId="6674" priority="869">
      <formula>D86=$B$116</formula>
    </cfRule>
    <cfRule type="expression" dxfId="6673" priority="870">
      <formula>D86=$B$113</formula>
    </cfRule>
    <cfRule type="expression" dxfId="6672" priority="871">
      <formula>D86=$B$116</formula>
    </cfRule>
    <cfRule type="expression" dxfId="6671" priority="872">
      <formula>D86=$B$146</formula>
    </cfRule>
    <cfRule type="expression" dxfId="6670" priority="873">
      <formula>D86=$B$118</formula>
    </cfRule>
    <cfRule type="expression" dxfId="6669" priority="874">
      <formula>D86=$B$146</formula>
    </cfRule>
    <cfRule type="expression" dxfId="6668" priority="875">
      <formula>D86=$B$145</formula>
    </cfRule>
    <cfRule type="expression" dxfId="6667" priority="876">
      <formula>D86=$B$144</formula>
    </cfRule>
    <cfRule type="expression" dxfId="6666" priority="877">
      <formula>D86=$B$143</formula>
    </cfRule>
    <cfRule type="expression" dxfId="6665" priority="878">
      <formula>D86=$B$142</formula>
    </cfRule>
    <cfRule type="expression" dxfId="6664" priority="879">
      <formula>D86=$B$141</formula>
    </cfRule>
    <cfRule type="expression" dxfId="6663" priority="880">
      <formula>D86=$B$140</formula>
    </cfRule>
    <cfRule type="expression" dxfId="6662" priority="881">
      <formula>D86=$B$139</formula>
    </cfRule>
    <cfRule type="expression" dxfId="6661" priority="882">
      <formula>D86=$B$135</formula>
    </cfRule>
    <cfRule type="expression" dxfId="6660" priority="883">
      <formula>D86=$B$134</formula>
    </cfRule>
    <cfRule type="expression" dxfId="6659" priority="884">
      <formula>D86=$B$133</formula>
    </cfRule>
    <cfRule type="expression" dxfId="6658" priority="885">
      <formula>D86=$B$132</formula>
    </cfRule>
    <cfRule type="expression" dxfId="6657" priority="886">
      <formula>D86=$B$131</formula>
    </cfRule>
    <cfRule type="expression" dxfId="6656" priority="887" stopIfTrue="1">
      <formula>D86=$B$130</formula>
    </cfRule>
    <cfRule type="expression" dxfId="6655" priority="888">
      <formula>D86=$B$129</formula>
    </cfRule>
    <cfRule type="expression" dxfId="6654" priority="889" stopIfTrue="1">
      <formula>D86=$B$128</formula>
    </cfRule>
    <cfRule type="expression" dxfId="6653" priority="890">
      <formula>D86=$B$127</formula>
    </cfRule>
    <cfRule type="expression" dxfId="6652" priority="891">
      <formula>D86=$B$126</formula>
    </cfRule>
    <cfRule type="expression" dxfId="6651" priority="892">
      <formula>D86=$B$125</formula>
    </cfRule>
    <cfRule type="expression" dxfId="6650" priority="893" stopIfTrue="1">
      <formula>D86=$B$123</formula>
    </cfRule>
    <cfRule type="expression" dxfId="6649" priority="894" stopIfTrue="1">
      <formula>D86=$B$122</formula>
    </cfRule>
    <cfRule type="expression" dxfId="6648" priority="895" stopIfTrue="1">
      <formula>D86=$B$121</formula>
    </cfRule>
    <cfRule type="expression" dxfId="6647" priority="896">
      <formula>D86=$B$120</formula>
    </cfRule>
    <cfRule type="expression" dxfId="6646" priority="897">
      <formula>D86=$B$117</formula>
    </cfRule>
    <cfRule type="expression" dxfId="6645" priority="898" stopIfTrue="1">
      <formula>D86=$B$115</formula>
    </cfRule>
    <cfRule type="expression" dxfId="6644" priority="899">
      <formula>D86=$B$114</formula>
    </cfRule>
    <cfRule type="expression" dxfId="6643" priority="900">
      <formula>D86=$B$113</formula>
    </cfRule>
    <cfRule type="expression" dxfId="6642" priority="901">
      <formula>D86=$B$112</formula>
    </cfRule>
    <cfRule type="expression" dxfId="6641" priority="902">
      <formula>D86=$B$110</formula>
    </cfRule>
    <cfRule type="expression" dxfId="6640" priority="903" stopIfTrue="1">
      <formula>D86=$B$111</formula>
    </cfRule>
    <cfRule type="expression" dxfId="6639" priority="904" stopIfTrue="1">
      <formula>D$5=TODAY()</formula>
    </cfRule>
  </conditionalFormatting>
  <conditionalFormatting sqref="D86">
    <cfRule type="expression" dxfId="6638" priority="864">
      <formula>D86=$B$145</formula>
    </cfRule>
  </conditionalFormatting>
  <conditionalFormatting sqref="I74">
    <cfRule type="expression" dxfId="6637" priority="823">
      <formula>I74=$B$145</formula>
    </cfRule>
    <cfRule type="expression" dxfId="6636" priority="824">
      <formula>I74=$B$130</formula>
    </cfRule>
    <cfRule type="expression" dxfId="6635" priority="825">
      <formula>I74=$B$128</formula>
    </cfRule>
    <cfRule type="expression" dxfId="6634" priority="826">
      <formula>I74=$B$124</formula>
    </cfRule>
    <cfRule type="expression" dxfId="6633" priority="827">
      <formula>I74=$B$119</formula>
    </cfRule>
    <cfRule type="expression" dxfId="6632" priority="828">
      <formula>I74=$B$116</formula>
    </cfRule>
    <cfRule type="expression" dxfId="6631" priority="829">
      <formula>I74=$B$113</formula>
    </cfRule>
    <cfRule type="expression" dxfId="6630" priority="830">
      <formula>I74=$B$116</formula>
    </cfRule>
    <cfRule type="expression" dxfId="6629" priority="831">
      <formula>I74=$B$146</formula>
    </cfRule>
    <cfRule type="expression" dxfId="6628" priority="832">
      <formula>I74=$B$118</formula>
    </cfRule>
    <cfRule type="expression" dxfId="6627" priority="833">
      <formula>I74=$B$146</formula>
    </cfRule>
    <cfRule type="expression" dxfId="6626" priority="834">
      <formula>I74=$B$145</formula>
    </cfRule>
    <cfRule type="expression" dxfId="6625" priority="835">
      <formula>I74=$B$144</formula>
    </cfRule>
    <cfRule type="expression" dxfId="6624" priority="836">
      <formula>I74=$B$143</formula>
    </cfRule>
    <cfRule type="expression" dxfId="6623" priority="837">
      <formula>I74=$B$142</formula>
    </cfRule>
    <cfRule type="expression" dxfId="6622" priority="838">
      <formula>I74=$B$141</formula>
    </cfRule>
    <cfRule type="expression" dxfId="6621" priority="839">
      <formula>I74=$B$140</formula>
    </cfRule>
    <cfRule type="expression" dxfId="6620" priority="840">
      <formula>I74=$B$139</formula>
    </cfRule>
    <cfRule type="expression" dxfId="6619" priority="841">
      <formula>I74=$B$135</formula>
    </cfRule>
    <cfRule type="expression" dxfId="6618" priority="842">
      <formula>I74=$B$134</formula>
    </cfRule>
    <cfRule type="expression" dxfId="6617" priority="843">
      <formula>I74=$B$133</formula>
    </cfRule>
    <cfRule type="expression" dxfId="6616" priority="844">
      <formula>I74=$B$132</formula>
    </cfRule>
    <cfRule type="expression" dxfId="6615" priority="845">
      <formula>I74=$B$131</formula>
    </cfRule>
    <cfRule type="expression" dxfId="6614" priority="846" stopIfTrue="1">
      <formula>I74=$B$130</formula>
    </cfRule>
    <cfRule type="expression" dxfId="6613" priority="847">
      <formula>I74=$B$129</formula>
    </cfRule>
    <cfRule type="expression" dxfId="6612" priority="848" stopIfTrue="1">
      <formula>I74=$B$128</formula>
    </cfRule>
    <cfRule type="expression" dxfId="6611" priority="849">
      <formula>I74=$B$127</formula>
    </cfRule>
    <cfRule type="expression" dxfId="6610" priority="850">
      <formula>I74=$B$126</formula>
    </cfRule>
    <cfRule type="expression" dxfId="6609" priority="851">
      <formula>I74=$B$125</formula>
    </cfRule>
    <cfRule type="expression" dxfId="6608" priority="852" stopIfTrue="1">
      <formula>I74=$B$123</formula>
    </cfRule>
    <cfRule type="expression" dxfId="6607" priority="853" stopIfTrue="1">
      <formula>I74=$B$122</formula>
    </cfRule>
    <cfRule type="expression" dxfId="6606" priority="854" stopIfTrue="1">
      <formula>I74=$B$121</formula>
    </cfRule>
    <cfRule type="expression" dxfId="6605" priority="855">
      <formula>I74=$B$120</formula>
    </cfRule>
    <cfRule type="expression" dxfId="6604" priority="856">
      <formula>I74=$B$117</formula>
    </cfRule>
    <cfRule type="expression" dxfId="6603" priority="857" stopIfTrue="1">
      <formula>I74=$B$115</formula>
    </cfRule>
    <cfRule type="expression" dxfId="6602" priority="858">
      <formula>I74=$B$114</formula>
    </cfRule>
    <cfRule type="expression" dxfId="6601" priority="859">
      <formula>I74=$B$113</formula>
    </cfRule>
    <cfRule type="expression" dxfId="6600" priority="860">
      <formula>I74=$B$112</formula>
    </cfRule>
    <cfRule type="expression" dxfId="6599" priority="861">
      <formula>I74=$B$110</formula>
    </cfRule>
    <cfRule type="expression" dxfId="6598" priority="862" stopIfTrue="1">
      <formula>I74=$B$111</formula>
    </cfRule>
    <cfRule type="expression" dxfId="6597" priority="863" stopIfTrue="1">
      <formula>I$5=TODAY()</formula>
    </cfRule>
  </conditionalFormatting>
  <conditionalFormatting sqref="I74">
    <cfRule type="expression" dxfId="6596" priority="820">
      <formula>I74=$B$137</formula>
    </cfRule>
    <cfRule type="expression" dxfId="6595" priority="821">
      <formula>I74=$B$138</formula>
    </cfRule>
    <cfRule type="expression" dxfId="6594" priority="822">
      <formula>I74=$B$136</formula>
    </cfRule>
  </conditionalFormatting>
  <conditionalFormatting sqref="I74">
    <cfRule type="expression" dxfId="6593" priority="780">
      <formula>I74=$B$130</formula>
    </cfRule>
    <cfRule type="expression" dxfId="6592" priority="781">
      <formula>I74=$B$128</formula>
    </cfRule>
    <cfRule type="expression" dxfId="6591" priority="782">
      <formula>I74=$B$124</formula>
    </cfRule>
    <cfRule type="expression" dxfId="6590" priority="783">
      <formula>I74=$B$119</formula>
    </cfRule>
    <cfRule type="expression" dxfId="6589" priority="784">
      <formula>I74=$B$116</formula>
    </cfRule>
    <cfRule type="expression" dxfId="6588" priority="785">
      <formula>I74=$B$113</formula>
    </cfRule>
    <cfRule type="expression" dxfId="6587" priority="786">
      <formula>I74=$B$116</formula>
    </cfRule>
    <cfRule type="expression" dxfId="6586" priority="787">
      <formula>I74=$B$146</formula>
    </cfRule>
    <cfRule type="expression" dxfId="6585" priority="788">
      <formula>I74=$B$118</formula>
    </cfRule>
    <cfRule type="expression" dxfId="6584" priority="789">
      <formula>I74=$B$146</formula>
    </cfRule>
    <cfRule type="expression" dxfId="6583" priority="790">
      <formula>I74=$B$145</formula>
    </cfRule>
    <cfRule type="expression" dxfId="6582" priority="791">
      <formula>I74=$B$144</formula>
    </cfRule>
    <cfRule type="expression" dxfId="6581" priority="792">
      <formula>I74=$B$143</formula>
    </cfRule>
    <cfRule type="expression" dxfId="6580" priority="793">
      <formula>I74=$B$142</formula>
    </cfRule>
    <cfRule type="expression" dxfId="6579" priority="794">
      <formula>I74=$B$141</formula>
    </cfRule>
    <cfRule type="expression" dxfId="6578" priority="795">
      <formula>I74=$B$140</formula>
    </cfRule>
    <cfRule type="expression" dxfId="6577" priority="796">
      <formula>I74=$B$139</formula>
    </cfRule>
    <cfRule type="expression" dxfId="6576" priority="797">
      <formula>I74=$B$135</formula>
    </cfRule>
    <cfRule type="expression" dxfId="6575" priority="798">
      <formula>I74=$B$134</formula>
    </cfRule>
    <cfRule type="expression" dxfId="6574" priority="799">
      <formula>I74=$B$133</formula>
    </cfRule>
    <cfRule type="expression" dxfId="6573" priority="800">
      <formula>I74=$B$132</formula>
    </cfRule>
    <cfRule type="expression" dxfId="6572" priority="801">
      <formula>I74=$B$131</formula>
    </cfRule>
    <cfRule type="expression" dxfId="6571" priority="802" stopIfTrue="1">
      <formula>I74=$B$130</formula>
    </cfRule>
    <cfRule type="expression" dxfId="6570" priority="803">
      <formula>I74=$B$129</formula>
    </cfRule>
    <cfRule type="expression" dxfId="6569" priority="804" stopIfTrue="1">
      <formula>I74=$B$128</formula>
    </cfRule>
    <cfRule type="expression" dxfId="6568" priority="805">
      <formula>I74=$B$127</formula>
    </cfRule>
    <cfRule type="expression" dxfId="6567" priority="806">
      <formula>I74=$B$126</formula>
    </cfRule>
    <cfRule type="expression" dxfId="6566" priority="807">
      <formula>I74=$B$125</formula>
    </cfRule>
    <cfRule type="expression" dxfId="6565" priority="808" stopIfTrue="1">
      <formula>I74=$B$123</formula>
    </cfRule>
    <cfRule type="expression" dxfId="6564" priority="809" stopIfTrue="1">
      <formula>I74=$B$122</formula>
    </cfRule>
    <cfRule type="expression" dxfId="6563" priority="810" stopIfTrue="1">
      <formula>I74=$B$121</formula>
    </cfRule>
    <cfRule type="expression" dxfId="6562" priority="811">
      <formula>I74=$B$120</formula>
    </cfRule>
    <cfRule type="expression" dxfId="6561" priority="812">
      <formula>I74=$B$117</formula>
    </cfRule>
    <cfRule type="expression" dxfId="6560" priority="813" stopIfTrue="1">
      <formula>I74=$B$115</formula>
    </cfRule>
    <cfRule type="expression" dxfId="6559" priority="814">
      <formula>I74=$B$114</formula>
    </cfRule>
    <cfRule type="expression" dxfId="6558" priority="815">
      <formula>I74=$B$113</formula>
    </cfRule>
    <cfRule type="expression" dxfId="6557" priority="816">
      <formula>I74=$B$112</formula>
    </cfRule>
    <cfRule type="expression" dxfId="6556" priority="817">
      <formula>I74=$B$110</formula>
    </cfRule>
    <cfRule type="expression" dxfId="6555" priority="818" stopIfTrue="1">
      <formula>I74=$B$111</formula>
    </cfRule>
    <cfRule type="expression" dxfId="6554" priority="819" stopIfTrue="1">
      <formula>I$5=TODAY()</formula>
    </cfRule>
  </conditionalFormatting>
  <conditionalFormatting sqref="I74">
    <cfRule type="expression" dxfId="6553" priority="779">
      <formula>I74=$B$145</formula>
    </cfRule>
  </conditionalFormatting>
  <conditionalFormatting sqref="H74">
    <cfRule type="expression" dxfId="6552" priority="738">
      <formula>H74=$B$145</formula>
    </cfRule>
    <cfRule type="expression" dxfId="6551" priority="739">
      <formula>H74=$B$130</formula>
    </cfRule>
    <cfRule type="expression" dxfId="6550" priority="740">
      <formula>H74=$B$128</formula>
    </cfRule>
    <cfRule type="expression" dxfId="6549" priority="741">
      <formula>H74=$B$124</formula>
    </cfRule>
    <cfRule type="expression" dxfId="6548" priority="742">
      <formula>H74=$B$119</formula>
    </cfRule>
    <cfRule type="expression" dxfId="6547" priority="743">
      <formula>H74=$B$116</formula>
    </cfRule>
    <cfRule type="expression" dxfId="6546" priority="744">
      <formula>H74=$B$113</formula>
    </cfRule>
    <cfRule type="expression" dxfId="6545" priority="745">
      <formula>H74=$B$116</formula>
    </cfRule>
    <cfRule type="expression" dxfId="6544" priority="746">
      <formula>H74=$B$146</formula>
    </cfRule>
    <cfRule type="expression" dxfId="6543" priority="747">
      <formula>H74=$B$118</formula>
    </cfRule>
    <cfRule type="expression" dxfId="6542" priority="748">
      <formula>H74=$B$146</formula>
    </cfRule>
    <cfRule type="expression" dxfId="6541" priority="749">
      <formula>H74=$B$145</formula>
    </cfRule>
    <cfRule type="expression" dxfId="6540" priority="750">
      <formula>H74=$B$144</formula>
    </cfRule>
    <cfRule type="expression" dxfId="6539" priority="751">
      <formula>H74=$B$143</formula>
    </cfRule>
    <cfRule type="expression" dxfId="6538" priority="752">
      <formula>H74=$B$142</formula>
    </cfRule>
    <cfRule type="expression" dxfId="6537" priority="753">
      <formula>H74=$B$141</formula>
    </cfRule>
    <cfRule type="expression" dxfId="6536" priority="754">
      <formula>H74=$B$140</formula>
    </cfRule>
    <cfRule type="expression" dxfId="6535" priority="755">
      <formula>H74=$B$139</formula>
    </cfRule>
    <cfRule type="expression" dxfId="6534" priority="756">
      <formula>H74=$B$135</formula>
    </cfRule>
    <cfRule type="expression" dxfId="6533" priority="757">
      <formula>H74=$B$134</formula>
    </cfRule>
    <cfRule type="expression" dxfId="6532" priority="758">
      <formula>H74=$B$133</formula>
    </cfRule>
    <cfRule type="expression" dxfId="6531" priority="759">
      <formula>H74=$B$132</formula>
    </cfRule>
    <cfRule type="expression" dxfId="6530" priority="760">
      <formula>H74=$B$131</formula>
    </cfRule>
    <cfRule type="expression" dxfId="6529" priority="761" stopIfTrue="1">
      <formula>H74=$B$130</formula>
    </cfRule>
    <cfRule type="expression" dxfId="6528" priority="762">
      <formula>H74=$B$129</formula>
    </cfRule>
    <cfRule type="expression" dxfId="6527" priority="763" stopIfTrue="1">
      <formula>H74=$B$128</formula>
    </cfRule>
    <cfRule type="expression" dxfId="6526" priority="764">
      <formula>H74=$B$127</formula>
    </cfRule>
    <cfRule type="expression" dxfId="6525" priority="765">
      <formula>H74=$B$126</formula>
    </cfRule>
    <cfRule type="expression" dxfId="6524" priority="766">
      <formula>H74=$B$125</formula>
    </cfRule>
    <cfRule type="expression" dxfId="6523" priority="767" stopIfTrue="1">
      <formula>H74=$B$123</formula>
    </cfRule>
    <cfRule type="expression" dxfId="6522" priority="768" stopIfTrue="1">
      <formula>H74=$B$122</formula>
    </cfRule>
    <cfRule type="expression" dxfId="6521" priority="769" stopIfTrue="1">
      <formula>H74=$B$121</formula>
    </cfRule>
    <cfRule type="expression" dxfId="6520" priority="770">
      <formula>H74=$B$120</formula>
    </cfRule>
    <cfRule type="expression" dxfId="6519" priority="771">
      <formula>H74=$B$117</formula>
    </cfRule>
    <cfRule type="expression" dxfId="6518" priority="772" stopIfTrue="1">
      <formula>H74=$B$115</formula>
    </cfRule>
    <cfRule type="expression" dxfId="6517" priority="773">
      <formula>H74=$B$114</formula>
    </cfRule>
    <cfRule type="expression" dxfId="6516" priority="774">
      <formula>H74=$B$113</formula>
    </cfRule>
    <cfRule type="expression" dxfId="6515" priority="775">
      <formula>H74=$B$112</formula>
    </cfRule>
    <cfRule type="expression" dxfId="6514" priority="776">
      <formula>H74=$B$110</formula>
    </cfRule>
    <cfRule type="expression" dxfId="6513" priority="777" stopIfTrue="1">
      <formula>H74=$B$111</formula>
    </cfRule>
    <cfRule type="expression" dxfId="6512" priority="778" stopIfTrue="1">
      <formula>H$5=TODAY()</formula>
    </cfRule>
  </conditionalFormatting>
  <conditionalFormatting sqref="H74">
    <cfRule type="expression" dxfId="6511" priority="735">
      <formula>H74=$B$137</formula>
    </cfRule>
    <cfRule type="expression" dxfId="6510" priority="736">
      <formula>H74=$B$138</formula>
    </cfRule>
    <cfRule type="expression" dxfId="6509" priority="737">
      <formula>H74=$B$136</formula>
    </cfRule>
  </conditionalFormatting>
  <conditionalFormatting sqref="H74">
    <cfRule type="expression" dxfId="6508" priority="695">
      <formula>H74=$B$130</formula>
    </cfRule>
    <cfRule type="expression" dxfId="6507" priority="696">
      <formula>H74=$B$128</formula>
    </cfRule>
    <cfRule type="expression" dxfId="6506" priority="697">
      <formula>H74=$B$124</formula>
    </cfRule>
    <cfRule type="expression" dxfId="6505" priority="698">
      <formula>H74=$B$119</formula>
    </cfRule>
    <cfRule type="expression" dxfId="6504" priority="699">
      <formula>H74=$B$116</formula>
    </cfRule>
    <cfRule type="expression" dxfId="6503" priority="700">
      <formula>H74=$B$113</formula>
    </cfRule>
    <cfRule type="expression" dxfId="6502" priority="701">
      <formula>H74=$B$116</formula>
    </cfRule>
    <cfRule type="expression" dxfId="6501" priority="702">
      <formula>H74=$B$146</formula>
    </cfRule>
    <cfRule type="expression" dxfId="6500" priority="703">
      <formula>H74=$B$118</formula>
    </cfRule>
    <cfRule type="expression" dxfId="6499" priority="704">
      <formula>H74=$B$146</formula>
    </cfRule>
    <cfRule type="expression" dxfId="6498" priority="705">
      <formula>H74=$B$145</formula>
    </cfRule>
    <cfRule type="expression" dxfId="6497" priority="706">
      <formula>H74=$B$144</formula>
    </cfRule>
    <cfRule type="expression" dxfId="6496" priority="707">
      <formula>H74=$B$143</formula>
    </cfRule>
    <cfRule type="expression" dxfId="6495" priority="708">
      <formula>H74=$B$142</formula>
    </cfRule>
    <cfRule type="expression" dxfId="6494" priority="709">
      <formula>H74=$B$141</formula>
    </cfRule>
    <cfRule type="expression" dxfId="6493" priority="710">
      <formula>H74=$B$140</formula>
    </cfRule>
    <cfRule type="expression" dxfId="6492" priority="711">
      <formula>H74=$B$139</formula>
    </cfRule>
    <cfRule type="expression" dxfId="6491" priority="712">
      <formula>H74=$B$135</formula>
    </cfRule>
    <cfRule type="expression" dxfId="6490" priority="713">
      <formula>H74=$B$134</formula>
    </cfRule>
    <cfRule type="expression" dxfId="6489" priority="714">
      <formula>H74=$B$133</formula>
    </cfRule>
    <cfRule type="expression" dxfId="6488" priority="715">
      <formula>H74=$B$132</formula>
    </cfRule>
    <cfRule type="expression" dxfId="6487" priority="716">
      <formula>H74=$B$131</formula>
    </cfRule>
    <cfRule type="expression" dxfId="6486" priority="717" stopIfTrue="1">
      <formula>H74=$B$130</formula>
    </cfRule>
    <cfRule type="expression" dxfId="6485" priority="718">
      <formula>H74=$B$129</formula>
    </cfRule>
    <cfRule type="expression" dxfId="6484" priority="719" stopIfTrue="1">
      <formula>H74=$B$128</formula>
    </cfRule>
    <cfRule type="expression" dxfId="6483" priority="720">
      <formula>H74=$B$127</formula>
    </cfRule>
    <cfRule type="expression" dxfId="6482" priority="721">
      <formula>H74=$B$126</formula>
    </cfRule>
    <cfRule type="expression" dxfId="6481" priority="722">
      <formula>H74=$B$125</formula>
    </cfRule>
    <cfRule type="expression" dxfId="6480" priority="723" stopIfTrue="1">
      <formula>H74=$B$123</formula>
    </cfRule>
    <cfRule type="expression" dxfId="6479" priority="724" stopIfTrue="1">
      <formula>H74=$B$122</formula>
    </cfRule>
    <cfRule type="expression" dxfId="6478" priority="725" stopIfTrue="1">
      <formula>H74=$B$121</formula>
    </cfRule>
    <cfRule type="expression" dxfId="6477" priority="726">
      <formula>H74=$B$120</formula>
    </cfRule>
    <cfRule type="expression" dxfId="6476" priority="727">
      <formula>H74=$B$117</formula>
    </cfRule>
    <cfRule type="expression" dxfId="6475" priority="728" stopIfTrue="1">
      <formula>H74=$B$115</formula>
    </cfRule>
    <cfRule type="expression" dxfId="6474" priority="729">
      <formula>H74=$B$114</formula>
    </cfRule>
    <cfRule type="expression" dxfId="6473" priority="730">
      <formula>H74=$B$113</formula>
    </cfRule>
    <cfRule type="expression" dxfId="6472" priority="731">
      <formula>H74=$B$112</formula>
    </cfRule>
    <cfRule type="expression" dxfId="6471" priority="732">
      <formula>H74=$B$110</formula>
    </cfRule>
    <cfRule type="expression" dxfId="6470" priority="733" stopIfTrue="1">
      <formula>H74=$B$111</formula>
    </cfRule>
    <cfRule type="expression" dxfId="6469" priority="734" stopIfTrue="1">
      <formula>H$5=TODAY()</formula>
    </cfRule>
  </conditionalFormatting>
  <conditionalFormatting sqref="H74">
    <cfRule type="expression" dxfId="6468" priority="694">
      <formula>H74=$B$145</formula>
    </cfRule>
  </conditionalFormatting>
  <conditionalFormatting sqref="F58">
    <cfRule type="expression" dxfId="6467" priority="654">
      <formula>F58=$B$130</formula>
    </cfRule>
    <cfRule type="expression" dxfId="6466" priority="655">
      <formula>F58=$B$128</formula>
    </cfRule>
    <cfRule type="expression" dxfId="6465" priority="656">
      <formula>F58=$B$124</formula>
    </cfRule>
    <cfRule type="expression" dxfId="6464" priority="657">
      <formula>F58=$B$119</formula>
    </cfRule>
    <cfRule type="expression" dxfId="6463" priority="658">
      <formula>F58=$B$116</formula>
    </cfRule>
    <cfRule type="expression" dxfId="6462" priority="659">
      <formula>F58=$B$113</formula>
    </cfRule>
    <cfRule type="expression" dxfId="6461" priority="660">
      <formula>F58=$B$116</formula>
    </cfRule>
    <cfRule type="expression" dxfId="6460" priority="661">
      <formula>F58=$B$146</formula>
    </cfRule>
    <cfRule type="expression" dxfId="6459" priority="662">
      <formula>F58=$B$118</formula>
    </cfRule>
    <cfRule type="expression" dxfId="6458" priority="663">
      <formula>F58=$B$146</formula>
    </cfRule>
    <cfRule type="expression" dxfId="6457" priority="664">
      <formula>F58=$B$145</formula>
    </cfRule>
    <cfRule type="expression" dxfId="6456" priority="665">
      <formula>F58=$B$144</formula>
    </cfRule>
    <cfRule type="expression" dxfId="6455" priority="666">
      <formula>F58=$B$143</formula>
    </cfRule>
    <cfRule type="expression" dxfId="6454" priority="667">
      <formula>F58=$B$142</formula>
    </cfRule>
    <cfRule type="expression" dxfId="6453" priority="668">
      <formula>F58=$B$141</formula>
    </cfRule>
    <cfRule type="expression" dxfId="6452" priority="669">
      <formula>F58=$B$140</formula>
    </cfRule>
    <cfRule type="expression" dxfId="6451" priority="670">
      <formula>F58=$B$139</formula>
    </cfRule>
    <cfRule type="expression" dxfId="6450" priority="671">
      <formula>F58=$B$135</formula>
    </cfRule>
    <cfRule type="expression" dxfId="6449" priority="672">
      <formula>F58=$B$134</formula>
    </cfRule>
    <cfRule type="expression" dxfId="6448" priority="673">
      <formula>F58=$B$133</formula>
    </cfRule>
    <cfRule type="expression" dxfId="6447" priority="674">
      <formula>F58=$B$132</formula>
    </cfRule>
    <cfRule type="expression" dxfId="6446" priority="675">
      <formula>F58=$B$131</formula>
    </cfRule>
    <cfRule type="expression" dxfId="6445" priority="676" stopIfTrue="1">
      <formula>F58=$B$130</formula>
    </cfRule>
    <cfRule type="expression" dxfId="6444" priority="677">
      <formula>F58=$B$129</formula>
    </cfRule>
    <cfRule type="expression" dxfId="6443" priority="678" stopIfTrue="1">
      <formula>F58=$B$128</formula>
    </cfRule>
    <cfRule type="expression" dxfId="6442" priority="679">
      <formula>F58=$B$127</formula>
    </cfRule>
    <cfRule type="expression" dxfId="6441" priority="680">
      <formula>F58=$B$126</formula>
    </cfRule>
    <cfRule type="expression" dxfId="6440" priority="681">
      <formula>F58=$B$125</formula>
    </cfRule>
    <cfRule type="expression" dxfId="6439" priority="682" stopIfTrue="1">
      <formula>F58=$B$123</formula>
    </cfRule>
    <cfRule type="expression" dxfId="6438" priority="683" stopIfTrue="1">
      <formula>F58=$B$122</formula>
    </cfRule>
    <cfRule type="expression" dxfId="6437" priority="684" stopIfTrue="1">
      <formula>F58=$B$121</formula>
    </cfRule>
    <cfRule type="expression" dxfId="6436" priority="685">
      <formula>F58=$B$120</formula>
    </cfRule>
    <cfRule type="expression" dxfId="6435" priority="686">
      <formula>F58=$B$117</formula>
    </cfRule>
    <cfRule type="expression" dxfId="6434" priority="687" stopIfTrue="1">
      <formula>F58=$B$115</formula>
    </cfRule>
    <cfRule type="expression" dxfId="6433" priority="688">
      <formula>F58=$B$114</formula>
    </cfRule>
    <cfRule type="expression" dxfId="6432" priority="689">
      <formula>F58=$B$113</formula>
    </cfRule>
    <cfRule type="expression" dxfId="6431" priority="690">
      <formula>F58=$B$112</formula>
    </cfRule>
    <cfRule type="expression" dxfId="6430" priority="691">
      <formula>F58=$B$110</formula>
    </cfRule>
    <cfRule type="expression" dxfId="6429" priority="692" stopIfTrue="1">
      <formula>F58=$B$111</formula>
    </cfRule>
    <cfRule type="expression" dxfId="6428" priority="693" stopIfTrue="1">
      <formula>F$5=TODAY()</formula>
    </cfRule>
  </conditionalFormatting>
  <conditionalFormatting sqref="F58">
    <cfRule type="expression" dxfId="6427" priority="653">
      <formula>F58=$B$145</formula>
    </cfRule>
  </conditionalFormatting>
  <conditionalFormatting sqref="F58">
    <cfRule type="expression" dxfId="6426" priority="650">
      <formula>F58=$B$137</formula>
    </cfRule>
    <cfRule type="expression" dxfId="6425" priority="651">
      <formula>F58=$B$138</formula>
    </cfRule>
    <cfRule type="expression" dxfId="6424" priority="652">
      <formula>F58=$B$136</formula>
    </cfRule>
  </conditionalFormatting>
  <conditionalFormatting sqref="D84">
    <cfRule type="expression" dxfId="6423" priority="609">
      <formula>D84=$B$145</formula>
    </cfRule>
    <cfRule type="expression" dxfId="6422" priority="610">
      <formula>D84=$B$130</formula>
    </cfRule>
    <cfRule type="expression" dxfId="6421" priority="611">
      <formula>D84=$B$128</formula>
    </cfRule>
    <cfRule type="expression" dxfId="6420" priority="612">
      <formula>D84=$B$124</formula>
    </cfRule>
    <cfRule type="expression" dxfId="6419" priority="613">
      <formula>D84=$B$119</formula>
    </cfRule>
    <cfRule type="expression" dxfId="6418" priority="614">
      <formula>D84=$B$116</formula>
    </cfRule>
    <cfRule type="expression" dxfId="6417" priority="615">
      <formula>D84=$B$113</formula>
    </cfRule>
    <cfRule type="expression" dxfId="6416" priority="616">
      <formula>D84=$B$116</formula>
    </cfRule>
    <cfRule type="expression" dxfId="6415" priority="617">
      <formula>D84=$B$146</formula>
    </cfRule>
    <cfRule type="expression" dxfId="6414" priority="618">
      <formula>D84=$B$118</formula>
    </cfRule>
    <cfRule type="expression" dxfId="6413" priority="619">
      <formula>D84=$B$146</formula>
    </cfRule>
    <cfRule type="expression" dxfId="6412" priority="620">
      <formula>D84=$B$145</formula>
    </cfRule>
    <cfRule type="expression" dxfId="6411" priority="621">
      <formula>D84=$B$144</formula>
    </cfRule>
    <cfRule type="expression" dxfId="6410" priority="622">
      <formula>D84=$B$143</formula>
    </cfRule>
    <cfRule type="expression" dxfId="6409" priority="623">
      <formula>D84=$B$142</formula>
    </cfRule>
    <cfRule type="expression" dxfId="6408" priority="624">
      <formula>D84=$B$141</formula>
    </cfRule>
    <cfRule type="expression" dxfId="6407" priority="625">
      <formula>D84=$B$140</formula>
    </cfRule>
    <cfRule type="expression" dxfId="6406" priority="626">
      <formula>D84=$B$139</formula>
    </cfRule>
    <cfRule type="expression" dxfId="6405" priority="627">
      <formula>D84=$B$135</formula>
    </cfRule>
    <cfRule type="expression" dxfId="6404" priority="628">
      <formula>D84=$B$134</formula>
    </cfRule>
    <cfRule type="expression" dxfId="6403" priority="629">
      <formula>D84=$B$133</formula>
    </cfRule>
    <cfRule type="expression" dxfId="6402" priority="630">
      <formula>D84=$B$132</formula>
    </cfRule>
    <cfRule type="expression" dxfId="6401" priority="631">
      <formula>D84=$B$131</formula>
    </cfRule>
    <cfRule type="expression" dxfId="6400" priority="632" stopIfTrue="1">
      <formula>D84=$B$130</formula>
    </cfRule>
    <cfRule type="expression" dxfId="6399" priority="633">
      <formula>D84=$B$129</formula>
    </cfRule>
    <cfRule type="expression" dxfId="6398" priority="634" stopIfTrue="1">
      <formula>D84=$B$128</formula>
    </cfRule>
    <cfRule type="expression" dxfId="6397" priority="635">
      <formula>D84=$B$127</formula>
    </cfRule>
    <cfRule type="expression" dxfId="6396" priority="636">
      <formula>D84=$B$126</formula>
    </cfRule>
    <cfRule type="expression" dxfId="6395" priority="637">
      <formula>D84=$B$125</formula>
    </cfRule>
    <cfRule type="expression" dxfId="6394" priority="638" stopIfTrue="1">
      <formula>D84=$B$123</formula>
    </cfRule>
    <cfRule type="expression" dxfId="6393" priority="639" stopIfTrue="1">
      <formula>D84=$B$122</formula>
    </cfRule>
    <cfRule type="expression" dxfId="6392" priority="640" stopIfTrue="1">
      <formula>D84=$B$121</formula>
    </cfRule>
    <cfRule type="expression" dxfId="6391" priority="641">
      <formula>D84=$B$120</formula>
    </cfRule>
    <cfRule type="expression" dxfId="6390" priority="642">
      <formula>D84=$B$117</formula>
    </cfRule>
    <cfRule type="expression" dxfId="6389" priority="643" stopIfTrue="1">
      <formula>D84=$B$115</formula>
    </cfRule>
    <cfRule type="expression" dxfId="6388" priority="644">
      <formula>D84=$B$114</formula>
    </cfRule>
    <cfRule type="expression" dxfId="6387" priority="645">
      <formula>D84=$B$113</formula>
    </cfRule>
    <cfRule type="expression" dxfId="6386" priority="646">
      <formula>D84=$B$112</formula>
    </cfRule>
    <cfRule type="expression" dxfId="6385" priority="647">
      <formula>D84=$B$110</formula>
    </cfRule>
    <cfRule type="expression" dxfId="6384" priority="648" stopIfTrue="1">
      <formula>D84=$B$111</formula>
    </cfRule>
    <cfRule type="expression" dxfId="6383" priority="649" stopIfTrue="1">
      <formula>D$5=TODAY()</formula>
    </cfRule>
  </conditionalFormatting>
  <conditionalFormatting sqref="D84">
    <cfRule type="expression" dxfId="6382" priority="606">
      <formula>D84=$B$137</formula>
    </cfRule>
    <cfRule type="expression" dxfId="6381" priority="607">
      <formula>D84=$B$138</formula>
    </cfRule>
    <cfRule type="expression" dxfId="6380" priority="608">
      <formula>D84=$B$136</formula>
    </cfRule>
  </conditionalFormatting>
  <conditionalFormatting sqref="D84">
    <cfRule type="expression" dxfId="6379" priority="566">
      <formula>D84=$B$130</formula>
    </cfRule>
    <cfRule type="expression" dxfId="6378" priority="567">
      <formula>D84=$B$128</formula>
    </cfRule>
    <cfRule type="expression" dxfId="6377" priority="568">
      <formula>D84=$B$124</formula>
    </cfRule>
    <cfRule type="expression" dxfId="6376" priority="569">
      <formula>D84=$B$119</formula>
    </cfRule>
    <cfRule type="expression" dxfId="6375" priority="570">
      <formula>D84=$B$116</formula>
    </cfRule>
    <cfRule type="expression" dxfId="6374" priority="571">
      <formula>D84=$B$113</formula>
    </cfRule>
    <cfRule type="expression" dxfId="6373" priority="572">
      <formula>D84=$B$116</formula>
    </cfRule>
    <cfRule type="expression" dxfId="6372" priority="573">
      <formula>D84=$B$146</formula>
    </cfRule>
    <cfRule type="expression" dxfId="6371" priority="574">
      <formula>D84=$B$118</formula>
    </cfRule>
    <cfRule type="expression" dxfId="6370" priority="575">
      <formula>D84=$B$146</formula>
    </cfRule>
    <cfRule type="expression" dxfId="6369" priority="576">
      <formula>D84=$B$145</formula>
    </cfRule>
    <cfRule type="expression" dxfId="6368" priority="577">
      <formula>D84=$B$144</formula>
    </cfRule>
    <cfRule type="expression" dxfId="6367" priority="578">
      <formula>D84=$B$143</formula>
    </cfRule>
    <cfRule type="expression" dxfId="6366" priority="579">
      <formula>D84=$B$142</formula>
    </cfRule>
    <cfRule type="expression" dxfId="6365" priority="580">
      <formula>D84=$B$141</formula>
    </cfRule>
    <cfRule type="expression" dxfId="6364" priority="581">
      <formula>D84=$B$140</formula>
    </cfRule>
    <cfRule type="expression" dxfId="6363" priority="582">
      <formula>D84=$B$139</formula>
    </cfRule>
    <cfRule type="expression" dxfId="6362" priority="583">
      <formula>D84=$B$135</formula>
    </cfRule>
    <cfRule type="expression" dxfId="6361" priority="584">
      <formula>D84=$B$134</formula>
    </cfRule>
    <cfRule type="expression" dxfId="6360" priority="585">
      <formula>D84=$B$133</formula>
    </cfRule>
    <cfRule type="expression" dxfId="6359" priority="586">
      <formula>D84=$B$132</formula>
    </cfRule>
    <cfRule type="expression" dxfId="6358" priority="587">
      <formula>D84=$B$131</formula>
    </cfRule>
    <cfRule type="expression" dxfId="6357" priority="588" stopIfTrue="1">
      <formula>D84=$B$130</formula>
    </cfRule>
    <cfRule type="expression" dxfId="6356" priority="589">
      <formula>D84=$B$129</formula>
    </cfRule>
    <cfRule type="expression" dxfId="6355" priority="590" stopIfTrue="1">
      <formula>D84=$B$128</formula>
    </cfRule>
    <cfRule type="expression" dxfId="6354" priority="591">
      <formula>D84=$B$127</formula>
    </cfRule>
    <cfRule type="expression" dxfId="6353" priority="592">
      <formula>D84=$B$126</formula>
    </cfRule>
    <cfRule type="expression" dxfId="6352" priority="593">
      <formula>D84=$B$125</formula>
    </cfRule>
    <cfRule type="expression" dxfId="6351" priority="594" stopIfTrue="1">
      <formula>D84=$B$123</formula>
    </cfRule>
    <cfRule type="expression" dxfId="6350" priority="595" stopIfTrue="1">
      <formula>D84=$B$122</formula>
    </cfRule>
    <cfRule type="expression" dxfId="6349" priority="596" stopIfTrue="1">
      <formula>D84=$B$121</formula>
    </cfRule>
    <cfRule type="expression" dxfId="6348" priority="597">
      <formula>D84=$B$120</formula>
    </cfRule>
    <cfRule type="expression" dxfId="6347" priority="598">
      <formula>D84=$B$117</formula>
    </cfRule>
    <cfRule type="expression" dxfId="6346" priority="599" stopIfTrue="1">
      <formula>D84=$B$115</formula>
    </cfRule>
    <cfRule type="expression" dxfId="6345" priority="600">
      <formula>D84=$B$114</formula>
    </cfRule>
    <cfRule type="expression" dxfId="6344" priority="601">
      <formula>D84=$B$113</formula>
    </cfRule>
    <cfRule type="expression" dxfId="6343" priority="602">
      <formula>D84=$B$112</formula>
    </cfRule>
    <cfRule type="expression" dxfId="6342" priority="603">
      <formula>D84=$B$110</formula>
    </cfRule>
    <cfRule type="expression" dxfId="6341" priority="604" stopIfTrue="1">
      <formula>D84=$B$111</formula>
    </cfRule>
    <cfRule type="expression" dxfId="6340" priority="605" stopIfTrue="1">
      <formula>D$5=TODAY()</formula>
    </cfRule>
  </conditionalFormatting>
  <conditionalFormatting sqref="D84">
    <cfRule type="expression" dxfId="6339" priority="565">
      <formula>D84=$B$145</formula>
    </cfRule>
  </conditionalFormatting>
  <conditionalFormatting sqref="G100">
    <cfRule type="expression" dxfId="6338" priority="524">
      <formula>G100=$B$145</formula>
    </cfRule>
    <cfRule type="expression" dxfId="6337" priority="525">
      <formula>G100=$B$130</formula>
    </cfRule>
    <cfRule type="expression" dxfId="6336" priority="526">
      <formula>G100=$B$128</formula>
    </cfRule>
    <cfRule type="expression" dxfId="6335" priority="527">
      <formula>G100=$B$124</formula>
    </cfRule>
    <cfRule type="expression" dxfId="6334" priority="528">
      <formula>G100=$B$119</formula>
    </cfRule>
    <cfRule type="expression" dxfId="6333" priority="529">
      <formula>G100=$B$116</formula>
    </cfRule>
    <cfRule type="expression" dxfId="6332" priority="530">
      <formula>G100=$B$113</formula>
    </cfRule>
    <cfRule type="expression" dxfId="6331" priority="531">
      <formula>G100=$B$116</formula>
    </cfRule>
    <cfRule type="expression" dxfId="6330" priority="532">
      <formula>G100=$B$146</formula>
    </cfRule>
    <cfRule type="expression" dxfId="6329" priority="533">
      <formula>G100=$B$118</formula>
    </cfRule>
    <cfRule type="expression" dxfId="6328" priority="534">
      <formula>G100=$B$146</formula>
    </cfRule>
    <cfRule type="expression" dxfId="6327" priority="535">
      <formula>G100=$B$145</formula>
    </cfRule>
    <cfRule type="expression" dxfId="6326" priority="536">
      <formula>G100=$B$144</formula>
    </cfRule>
    <cfRule type="expression" dxfId="6325" priority="537">
      <formula>G100=$B$143</formula>
    </cfRule>
    <cfRule type="expression" dxfId="6324" priority="538">
      <formula>G100=$B$142</formula>
    </cfRule>
    <cfRule type="expression" dxfId="6323" priority="539">
      <formula>G100=$B$141</formula>
    </cfRule>
    <cfRule type="expression" dxfId="6322" priority="540">
      <formula>G100=$B$140</formula>
    </cfRule>
    <cfRule type="expression" dxfId="6321" priority="541">
      <formula>G100=$B$139</formula>
    </cfRule>
    <cfRule type="expression" dxfId="6320" priority="542">
      <formula>G100=$B$135</formula>
    </cfRule>
    <cfRule type="expression" dxfId="6319" priority="543">
      <formula>G100=$B$134</formula>
    </cfRule>
    <cfRule type="expression" dxfId="6318" priority="544">
      <formula>G100=$B$133</formula>
    </cfRule>
    <cfRule type="expression" dxfId="6317" priority="545">
      <formula>G100=$B$132</formula>
    </cfRule>
    <cfRule type="expression" dxfId="6316" priority="546">
      <formula>G100=$B$131</formula>
    </cfRule>
    <cfRule type="expression" dxfId="6315" priority="547" stopIfTrue="1">
      <formula>G100=$B$130</formula>
    </cfRule>
    <cfRule type="expression" dxfId="6314" priority="548">
      <formula>G100=$B$129</formula>
    </cfRule>
    <cfRule type="expression" dxfId="6313" priority="549" stopIfTrue="1">
      <formula>G100=$B$128</formula>
    </cfRule>
    <cfRule type="expression" dxfId="6312" priority="550">
      <formula>G100=$B$127</formula>
    </cfRule>
    <cfRule type="expression" dxfId="6311" priority="551">
      <formula>G100=$B$126</formula>
    </cfRule>
    <cfRule type="expression" dxfId="6310" priority="552">
      <formula>G100=$B$125</formula>
    </cfRule>
    <cfRule type="expression" dxfId="6309" priority="553" stopIfTrue="1">
      <formula>G100=$B$123</formula>
    </cfRule>
    <cfRule type="expression" dxfId="6308" priority="554" stopIfTrue="1">
      <formula>G100=$B$122</formula>
    </cfRule>
    <cfRule type="expression" dxfId="6307" priority="555" stopIfTrue="1">
      <formula>G100=$B$121</formula>
    </cfRule>
    <cfRule type="expression" dxfId="6306" priority="556">
      <formula>G100=$B$120</formula>
    </cfRule>
    <cfRule type="expression" dxfId="6305" priority="557">
      <formula>G100=$B$117</formula>
    </cfRule>
    <cfRule type="expression" dxfId="6304" priority="558" stopIfTrue="1">
      <formula>G100=$B$115</formula>
    </cfRule>
    <cfRule type="expression" dxfId="6303" priority="559">
      <formula>G100=$B$114</formula>
    </cfRule>
    <cfRule type="expression" dxfId="6302" priority="560">
      <formula>G100=$B$113</formula>
    </cfRule>
    <cfRule type="expression" dxfId="6301" priority="561">
      <formula>G100=$B$112</formula>
    </cfRule>
    <cfRule type="expression" dxfId="6300" priority="562">
      <formula>G100=$B$110</formula>
    </cfRule>
    <cfRule type="expression" dxfId="6299" priority="563" stopIfTrue="1">
      <formula>G100=$B$111</formula>
    </cfRule>
    <cfRule type="expression" dxfId="6298" priority="564" stopIfTrue="1">
      <formula>G$5=TODAY()</formula>
    </cfRule>
  </conditionalFormatting>
  <conditionalFormatting sqref="G100">
    <cfRule type="expression" dxfId="6297" priority="521">
      <formula>G100=$B$137</formula>
    </cfRule>
    <cfRule type="expression" dxfId="6296" priority="522">
      <formula>G100=$B$138</formula>
    </cfRule>
    <cfRule type="expression" dxfId="6295" priority="523">
      <formula>G100=$B$136</formula>
    </cfRule>
  </conditionalFormatting>
  <conditionalFormatting sqref="H54">
    <cfRule type="expression" dxfId="6294" priority="480">
      <formula>H54=$B$145</formula>
    </cfRule>
    <cfRule type="expression" dxfId="6293" priority="481">
      <formula>H54=$B$130</formula>
    </cfRule>
    <cfRule type="expression" dxfId="6292" priority="482">
      <formula>H54=$B$128</formula>
    </cfRule>
    <cfRule type="expression" dxfId="6291" priority="483">
      <formula>H54=$B$124</formula>
    </cfRule>
    <cfRule type="expression" dxfId="6290" priority="484">
      <formula>H54=$B$119</formula>
    </cfRule>
    <cfRule type="expression" dxfId="6289" priority="485">
      <formula>H54=$B$116</formula>
    </cfRule>
    <cfRule type="expression" dxfId="6288" priority="486">
      <formula>H54=$B$113</formula>
    </cfRule>
    <cfRule type="expression" dxfId="6287" priority="487">
      <formula>H54=$B$116</formula>
    </cfRule>
    <cfRule type="expression" dxfId="6286" priority="488">
      <formula>H54=$B$146</formula>
    </cfRule>
    <cfRule type="expression" dxfId="6285" priority="489">
      <formula>H54=$B$118</formula>
    </cfRule>
    <cfRule type="expression" dxfId="6284" priority="490">
      <formula>H54=$B$146</formula>
    </cfRule>
    <cfRule type="expression" dxfId="6283" priority="491">
      <formula>H54=$B$145</formula>
    </cfRule>
    <cfRule type="expression" dxfId="6282" priority="492">
      <formula>H54=$B$144</formula>
    </cfRule>
    <cfRule type="expression" dxfId="6281" priority="493">
      <formula>H54=$B$143</formula>
    </cfRule>
    <cfRule type="expression" dxfId="6280" priority="494">
      <formula>H54=$B$142</formula>
    </cfRule>
    <cfRule type="expression" dxfId="6279" priority="495">
      <formula>H54=$B$141</formula>
    </cfRule>
    <cfRule type="expression" dxfId="6278" priority="496">
      <formula>H54=$B$140</formula>
    </cfRule>
    <cfRule type="expression" dxfId="6277" priority="497">
      <formula>H54=$B$139</formula>
    </cfRule>
    <cfRule type="expression" dxfId="6276" priority="498">
      <formula>H54=$B$135</formula>
    </cfRule>
    <cfRule type="expression" dxfId="6275" priority="499">
      <formula>H54=$B$134</formula>
    </cfRule>
    <cfRule type="expression" dxfId="6274" priority="500">
      <formula>H54=$B$133</formula>
    </cfRule>
    <cfRule type="expression" dxfId="6273" priority="501">
      <formula>H54=$B$132</formula>
    </cfRule>
    <cfRule type="expression" dxfId="6272" priority="502">
      <formula>H54=$B$131</formula>
    </cfRule>
    <cfRule type="expression" dxfId="6271" priority="503" stopIfTrue="1">
      <formula>H54=$B$130</formula>
    </cfRule>
    <cfRule type="expression" dxfId="6270" priority="504">
      <formula>H54=$B$129</formula>
    </cfRule>
    <cfRule type="expression" dxfId="6269" priority="505" stopIfTrue="1">
      <formula>H54=$B$128</formula>
    </cfRule>
    <cfRule type="expression" dxfId="6268" priority="506">
      <formula>H54=$B$127</formula>
    </cfRule>
    <cfRule type="expression" dxfId="6267" priority="507">
      <formula>H54=$B$126</formula>
    </cfRule>
    <cfRule type="expression" dxfId="6266" priority="508">
      <formula>H54=$B$125</formula>
    </cfRule>
    <cfRule type="expression" dxfId="6265" priority="509" stopIfTrue="1">
      <formula>H54=$B$123</formula>
    </cfRule>
    <cfRule type="expression" dxfId="6264" priority="510" stopIfTrue="1">
      <formula>H54=$B$122</formula>
    </cfRule>
    <cfRule type="expression" dxfId="6263" priority="511" stopIfTrue="1">
      <formula>H54=$B$121</formula>
    </cfRule>
    <cfRule type="expression" dxfId="6262" priority="512">
      <formula>H54=$B$120</formula>
    </cfRule>
    <cfRule type="expression" dxfId="6261" priority="513">
      <formula>H54=$B$117</formula>
    </cfRule>
    <cfRule type="expression" dxfId="6260" priority="514" stopIfTrue="1">
      <formula>H54=$B$115</formula>
    </cfRule>
    <cfRule type="expression" dxfId="6259" priority="515">
      <formula>H54=$B$114</formula>
    </cfRule>
    <cfRule type="expression" dxfId="6258" priority="516">
      <formula>H54=$B$113</formula>
    </cfRule>
    <cfRule type="expression" dxfId="6257" priority="517">
      <formula>H54=$B$112</formula>
    </cfRule>
    <cfRule type="expression" dxfId="6256" priority="518">
      <formula>H54=$B$110</formula>
    </cfRule>
    <cfRule type="expression" dxfId="6255" priority="519" stopIfTrue="1">
      <formula>H54=$B$111</formula>
    </cfRule>
    <cfRule type="expression" dxfId="6254" priority="520" stopIfTrue="1">
      <formula>H$5=TODAY()</formula>
    </cfRule>
  </conditionalFormatting>
  <conditionalFormatting sqref="H54">
    <cfRule type="expression" dxfId="6253" priority="477">
      <formula>H54=$B$137</formula>
    </cfRule>
    <cfRule type="expression" dxfId="6252" priority="478">
      <formula>H54=$B$138</formula>
    </cfRule>
    <cfRule type="expression" dxfId="6251" priority="479">
      <formula>H54=$B$136</formula>
    </cfRule>
  </conditionalFormatting>
  <conditionalFormatting sqref="G56">
    <cfRule type="expression" dxfId="6250" priority="436">
      <formula>G56=$B$145</formula>
    </cfRule>
    <cfRule type="expression" dxfId="6249" priority="437">
      <formula>G56=$B$130</formula>
    </cfRule>
    <cfRule type="expression" dxfId="6248" priority="438">
      <formula>G56=$B$128</formula>
    </cfRule>
    <cfRule type="expression" dxfId="6247" priority="439">
      <formula>G56=$B$124</formula>
    </cfRule>
    <cfRule type="expression" dxfId="6246" priority="440">
      <formula>G56=$B$119</formula>
    </cfRule>
    <cfRule type="expression" dxfId="6245" priority="441">
      <formula>G56=$B$116</formula>
    </cfRule>
    <cfRule type="expression" dxfId="6244" priority="442">
      <formula>G56=$B$113</formula>
    </cfRule>
    <cfRule type="expression" dxfId="6243" priority="443">
      <formula>G56=$B$116</formula>
    </cfRule>
    <cfRule type="expression" dxfId="6242" priority="444">
      <formula>G56=$B$146</formula>
    </cfRule>
    <cfRule type="expression" dxfId="6241" priority="445">
      <formula>G56=$B$118</formula>
    </cfRule>
    <cfRule type="expression" dxfId="6240" priority="446">
      <formula>G56=$B$146</formula>
    </cfRule>
    <cfRule type="expression" dxfId="6239" priority="447">
      <formula>G56=$B$145</formula>
    </cfRule>
    <cfRule type="expression" dxfId="6238" priority="448">
      <formula>G56=$B$144</formula>
    </cfRule>
    <cfRule type="expression" dxfId="6237" priority="449">
      <formula>G56=$B$143</formula>
    </cfRule>
    <cfRule type="expression" dxfId="6236" priority="450">
      <formula>G56=$B$142</formula>
    </cfRule>
    <cfRule type="expression" dxfId="6235" priority="451">
      <formula>G56=$B$141</formula>
    </cfRule>
    <cfRule type="expression" dxfId="6234" priority="452">
      <formula>G56=$B$140</formula>
    </cfRule>
    <cfRule type="expression" dxfId="6233" priority="453">
      <formula>G56=$B$139</formula>
    </cfRule>
    <cfRule type="expression" dxfId="6232" priority="454">
      <formula>G56=$B$135</formula>
    </cfRule>
    <cfRule type="expression" dxfId="6231" priority="455">
      <formula>G56=$B$134</formula>
    </cfRule>
    <cfRule type="expression" dxfId="6230" priority="456">
      <formula>G56=$B$133</formula>
    </cfRule>
    <cfRule type="expression" dxfId="6229" priority="457">
      <formula>G56=$B$132</formula>
    </cfRule>
    <cfRule type="expression" dxfId="6228" priority="458">
      <formula>G56=$B$131</formula>
    </cfRule>
    <cfRule type="expression" dxfId="6227" priority="459" stopIfTrue="1">
      <formula>G56=$B$130</formula>
    </cfRule>
    <cfRule type="expression" dxfId="6226" priority="460">
      <formula>G56=$B$129</formula>
    </cfRule>
    <cfRule type="expression" dxfId="6225" priority="461" stopIfTrue="1">
      <formula>G56=$B$128</formula>
    </cfRule>
    <cfRule type="expression" dxfId="6224" priority="462">
      <formula>G56=$B$127</formula>
    </cfRule>
    <cfRule type="expression" dxfId="6223" priority="463">
      <formula>G56=$B$126</formula>
    </cfRule>
    <cfRule type="expression" dxfId="6222" priority="464">
      <formula>G56=$B$125</formula>
    </cfRule>
    <cfRule type="expression" dxfId="6221" priority="465" stopIfTrue="1">
      <formula>G56=$B$123</formula>
    </cfRule>
    <cfRule type="expression" dxfId="6220" priority="466" stopIfTrue="1">
      <formula>G56=$B$122</formula>
    </cfRule>
    <cfRule type="expression" dxfId="6219" priority="467" stopIfTrue="1">
      <formula>G56=$B$121</formula>
    </cfRule>
    <cfRule type="expression" dxfId="6218" priority="468">
      <formula>G56=$B$120</formula>
    </cfRule>
    <cfRule type="expression" dxfId="6217" priority="469">
      <formula>G56=$B$117</formula>
    </cfRule>
    <cfRule type="expression" dxfId="6216" priority="470" stopIfTrue="1">
      <formula>G56=$B$115</formula>
    </cfRule>
    <cfRule type="expression" dxfId="6215" priority="471">
      <formula>G56=$B$114</formula>
    </cfRule>
    <cfRule type="expression" dxfId="6214" priority="472">
      <formula>G56=$B$113</formula>
    </cfRule>
    <cfRule type="expression" dxfId="6213" priority="473">
      <formula>G56=$B$112</formula>
    </cfRule>
    <cfRule type="expression" dxfId="6212" priority="474">
      <formula>G56=$B$110</formula>
    </cfRule>
    <cfRule type="expression" dxfId="6211" priority="475" stopIfTrue="1">
      <formula>G56=$B$111</formula>
    </cfRule>
    <cfRule type="expression" dxfId="6210" priority="476" stopIfTrue="1">
      <formula>G$5=TODAY()</formula>
    </cfRule>
  </conditionalFormatting>
  <conditionalFormatting sqref="G56">
    <cfRule type="expression" dxfId="6209" priority="433">
      <formula>G56=$B$137</formula>
    </cfRule>
    <cfRule type="expression" dxfId="6208" priority="434">
      <formula>G56=$B$138</formula>
    </cfRule>
    <cfRule type="expression" dxfId="6207" priority="435">
      <formula>G56=$B$136</formula>
    </cfRule>
  </conditionalFormatting>
  <conditionalFormatting sqref="F100">
    <cfRule type="expression" dxfId="6206" priority="392">
      <formula>F100=$B$145</formula>
    </cfRule>
    <cfRule type="expression" dxfId="6205" priority="393">
      <formula>F100=$B$130</formula>
    </cfRule>
    <cfRule type="expression" dxfId="6204" priority="394">
      <formula>F100=$B$128</formula>
    </cfRule>
    <cfRule type="expression" dxfId="6203" priority="395">
      <formula>F100=$B$124</formula>
    </cfRule>
    <cfRule type="expression" dxfId="6202" priority="396">
      <formula>F100=$B$119</formula>
    </cfRule>
    <cfRule type="expression" dxfId="6201" priority="397">
      <formula>F100=$B$116</formula>
    </cfRule>
    <cfRule type="expression" dxfId="6200" priority="398">
      <formula>F100=$B$113</formula>
    </cfRule>
    <cfRule type="expression" dxfId="6199" priority="399">
      <formula>F100=$B$116</formula>
    </cfRule>
    <cfRule type="expression" dxfId="6198" priority="400">
      <formula>F100=$B$146</formula>
    </cfRule>
    <cfRule type="expression" dxfId="6197" priority="401">
      <formula>F100=$B$118</formula>
    </cfRule>
    <cfRule type="expression" dxfId="6196" priority="402">
      <formula>F100=$B$146</formula>
    </cfRule>
    <cfRule type="expression" dxfId="6195" priority="403">
      <formula>F100=$B$145</formula>
    </cfRule>
    <cfRule type="expression" dxfId="6194" priority="404">
      <formula>F100=$B$144</formula>
    </cfRule>
    <cfRule type="expression" dxfId="6193" priority="405">
      <formula>F100=$B$143</formula>
    </cfRule>
    <cfRule type="expression" dxfId="6192" priority="406">
      <formula>F100=$B$142</formula>
    </cfRule>
    <cfRule type="expression" dxfId="6191" priority="407">
      <formula>F100=$B$141</formula>
    </cfRule>
    <cfRule type="expression" dxfId="6190" priority="408">
      <formula>F100=$B$140</formula>
    </cfRule>
    <cfRule type="expression" dxfId="6189" priority="409">
      <formula>F100=$B$139</formula>
    </cfRule>
    <cfRule type="expression" dxfId="6188" priority="410">
      <formula>F100=$B$135</formula>
    </cfRule>
    <cfRule type="expression" dxfId="6187" priority="411">
      <formula>F100=$B$134</formula>
    </cfRule>
    <cfRule type="expression" dxfId="6186" priority="412">
      <formula>F100=$B$133</formula>
    </cfRule>
    <cfRule type="expression" dxfId="6185" priority="413">
      <formula>F100=$B$132</formula>
    </cfRule>
    <cfRule type="expression" dxfId="6184" priority="414">
      <formula>F100=$B$131</formula>
    </cfRule>
    <cfRule type="expression" dxfId="6183" priority="415" stopIfTrue="1">
      <formula>F100=$B$130</formula>
    </cfRule>
    <cfRule type="expression" dxfId="6182" priority="416">
      <formula>F100=$B$129</formula>
    </cfRule>
    <cfRule type="expression" dxfId="6181" priority="417" stopIfTrue="1">
      <formula>F100=$B$128</formula>
    </cfRule>
    <cfRule type="expression" dxfId="6180" priority="418">
      <formula>F100=$B$127</formula>
    </cfRule>
    <cfRule type="expression" dxfId="6179" priority="419">
      <formula>F100=$B$126</formula>
    </cfRule>
    <cfRule type="expression" dxfId="6178" priority="420">
      <formula>F100=$B$125</formula>
    </cfRule>
    <cfRule type="expression" dxfId="6177" priority="421" stopIfTrue="1">
      <formula>F100=$B$123</formula>
    </cfRule>
    <cfRule type="expression" dxfId="6176" priority="422" stopIfTrue="1">
      <formula>F100=$B$122</formula>
    </cfRule>
    <cfRule type="expression" dxfId="6175" priority="423" stopIfTrue="1">
      <formula>F100=$B$121</formula>
    </cfRule>
    <cfRule type="expression" dxfId="6174" priority="424">
      <formula>F100=$B$120</formula>
    </cfRule>
    <cfRule type="expression" dxfId="6173" priority="425">
      <formula>F100=$B$117</formula>
    </cfRule>
    <cfRule type="expression" dxfId="6172" priority="426" stopIfTrue="1">
      <formula>F100=$B$115</formula>
    </cfRule>
    <cfRule type="expression" dxfId="6171" priority="427">
      <formula>F100=$B$114</formula>
    </cfRule>
    <cfRule type="expression" dxfId="6170" priority="428">
      <formula>F100=$B$113</formula>
    </cfRule>
    <cfRule type="expression" dxfId="6169" priority="429">
      <formula>F100=$B$112</formula>
    </cfRule>
    <cfRule type="expression" dxfId="6168" priority="430">
      <formula>F100=$B$110</formula>
    </cfRule>
    <cfRule type="expression" dxfId="6167" priority="431" stopIfTrue="1">
      <formula>F100=$B$111</formula>
    </cfRule>
    <cfRule type="expression" dxfId="6166" priority="432" stopIfTrue="1">
      <formula>F$5=TODAY()</formula>
    </cfRule>
  </conditionalFormatting>
  <conditionalFormatting sqref="F100">
    <cfRule type="expression" dxfId="6165" priority="389">
      <formula>F100=$B$137</formula>
    </cfRule>
    <cfRule type="expression" dxfId="6164" priority="390">
      <formula>F100=$B$138</formula>
    </cfRule>
    <cfRule type="expression" dxfId="6163" priority="391">
      <formula>F100=$B$136</formula>
    </cfRule>
  </conditionalFormatting>
  <conditionalFormatting sqref="I36">
    <cfRule type="expression" dxfId="6162" priority="349">
      <formula>I36=$B$130</formula>
    </cfRule>
    <cfRule type="expression" dxfId="6161" priority="350">
      <formula>I36=$B$128</formula>
    </cfRule>
    <cfRule type="expression" dxfId="6160" priority="351">
      <formula>I36=$B$124</formula>
    </cfRule>
    <cfRule type="expression" dxfId="6159" priority="352">
      <formula>I36=$B$119</formula>
    </cfRule>
    <cfRule type="expression" dxfId="6158" priority="353">
      <formula>I36=$B$116</formula>
    </cfRule>
    <cfRule type="expression" dxfId="6157" priority="354">
      <formula>I36=$B$113</formula>
    </cfRule>
    <cfRule type="expression" dxfId="6156" priority="355">
      <formula>I36=$B$116</formula>
    </cfRule>
    <cfRule type="expression" dxfId="6155" priority="356">
      <formula>I36=$B$146</formula>
    </cfRule>
    <cfRule type="expression" dxfId="6154" priority="357">
      <formula>I36=$B$118</formula>
    </cfRule>
    <cfRule type="expression" dxfId="6153" priority="358">
      <formula>I36=$B$146</formula>
    </cfRule>
    <cfRule type="expression" dxfId="6152" priority="359">
      <formula>I36=$B$145</formula>
    </cfRule>
    <cfRule type="expression" dxfId="6151" priority="360">
      <formula>I36=$B$144</formula>
    </cfRule>
    <cfRule type="expression" dxfId="6150" priority="361">
      <formula>I36=$B$143</formula>
    </cfRule>
    <cfRule type="expression" dxfId="6149" priority="362">
      <formula>I36=$B$142</formula>
    </cfRule>
    <cfRule type="expression" dxfId="6148" priority="363">
      <formula>I36=$B$141</formula>
    </cfRule>
    <cfRule type="expression" dxfId="6147" priority="364">
      <formula>I36=$B$140</formula>
    </cfRule>
    <cfRule type="expression" dxfId="6146" priority="365">
      <formula>I36=$B$139</formula>
    </cfRule>
    <cfRule type="expression" dxfId="6145" priority="366">
      <formula>I36=$B$135</formula>
    </cfRule>
    <cfRule type="expression" dxfId="6144" priority="367">
      <formula>I36=$B$134</formula>
    </cfRule>
    <cfRule type="expression" dxfId="6143" priority="368">
      <formula>I36=$B$133</formula>
    </cfRule>
    <cfRule type="expression" dxfId="6142" priority="369">
      <formula>I36=$B$132</formula>
    </cfRule>
    <cfRule type="expression" dxfId="6141" priority="370">
      <formula>I36=$B$131</formula>
    </cfRule>
    <cfRule type="expression" dxfId="6140" priority="371" stopIfTrue="1">
      <formula>I36=$B$130</formula>
    </cfRule>
    <cfRule type="expression" dxfId="6139" priority="372">
      <formula>I36=$B$129</formula>
    </cfRule>
    <cfRule type="expression" dxfId="6138" priority="373" stopIfTrue="1">
      <formula>I36=$B$128</formula>
    </cfRule>
    <cfRule type="expression" dxfId="6137" priority="374">
      <formula>I36=$B$127</formula>
    </cfRule>
    <cfRule type="expression" dxfId="6136" priority="375">
      <formula>I36=$B$126</formula>
    </cfRule>
    <cfRule type="expression" dxfId="6135" priority="376">
      <formula>I36=$B$125</formula>
    </cfRule>
    <cfRule type="expression" dxfId="6134" priority="377" stopIfTrue="1">
      <formula>I36=$B$123</formula>
    </cfRule>
    <cfRule type="expression" dxfId="6133" priority="378" stopIfTrue="1">
      <formula>I36=$B$122</formula>
    </cfRule>
    <cfRule type="expression" dxfId="6132" priority="379" stopIfTrue="1">
      <formula>I36=$B$121</formula>
    </cfRule>
    <cfRule type="expression" dxfId="6131" priority="380">
      <formula>I36=$B$120</formula>
    </cfRule>
    <cfRule type="expression" dxfId="6130" priority="381">
      <formula>I36=$B$117</formula>
    </cfRule>
    <cfRule type="expression" dxfId="6129" priority="382" stopIfTrue="1">
      <formula>I36=$B$115</formula>
    </cfRule>
    <cfRule type="expression" dxfId="6128" priority="383">
      <formula>I36=$B$114</formula>
    </cfRule>
    <cfRule type="expression" dxfId="6127" priority="384">
      <formula>I36=$B$113</formula>
    </cfRule>
    <cfRule type="expression" dxfId="6126" priority="385">
      <formula>I36=$B$112</formula>
    </cfRule>
    <cfRule type="expression" dxfId="6125" priority="386">
      <formula>I36=$B$110</formula>
    </cfRule>
    <cfRule type="expression" dxfId="6124" priority="387" stopIfTrue="1">
      <formula>I36=$B$111</formula>
    </cfRule>
    <cfRule type="expression" dxfId="6123" priority="388" stopIfTrue="1">
      <formula>I$5=TODAY()</formula>
    </cfRule>
  </conditionalFormatting>
  <conditionalFormatting sqref="I36">
    <cfRule type="expression" dxfId="6122" priority="346">
      <formula>I36=$B$137</formula>
    </cfRule>
    <cfRule type="expression" dxfId="6121" priority="347">
      <formula>I36=$B$138</formula>
    </cfRule>
    <cfRule type="expression" dxfId="6120" priority="348">
      <formula>I36=$B$136</formula>
    </cfRule>
  </conditionalFormatting>
  <conditionalFormatting sqref="I36">
    <cfRule type="expression" dxfId="6119" priority="305">
      <formula>I36=$B$145</formula>
    </cfRule>
    <cfRule type="expression" dxfId="6118" priority="306">
      <formula>I36=$B$130</formula>
    </cfRule>
    <cfRule type="expression" dxfId="6117" priority="307">
      <formula>I36=$B$128</formula>
    </cfRule>
    <cfRule type="expression" dxfId="6116" priority="308">
      <formula>I36=$B$124</formula>
    </cfRule>
    <cfRule type="expression" dxfId="6115" priority="309">
      <formula>I36=$B$119</formula>
    </cfRule>
    <cfRule type="expression" dxfId="6114" priority="310">
      <formula>I36=$B$116</formula>
    </cfRule>
    <cfRule type="expression" dxfId="6113" priority="311">
      <formula>I36=$B$113</formula>
    </cfRule>
    <cfRule type="expression" dxfId="6112" priority="312">
      <formula>I36=$B$116</formula>
    </cfRule>
    <cfRule type="expression" dxfId="6111" priority="313">
      <formula>I36=$B$146</formula>
    </cfRule>
    <cfRule type="expression" dxfId="6110" priority="314">
      <formula>I36=$B$118</formula>
    </cfRule>
    <cfRule type="expression" dxfId="6109" priority="315">
      <formula>I36=$B$146</formula>
    </cfRule>
    <cfRule type="expression" dxfId="6108" priority="316">
      <formula>I36=$B$145</formula>
    </cfRule>
    <cfRule type="expression" dxfId="6107" priority="317">
      <formula>I36=$B$144</formula>
    </cfRule>
    <cfRule type="expression" dxfId="6106" priority="318">
      <formula>I36=$B$143</formula>
    </cfRule>
    <cfRule type="expression" dxfId="6105" priority="319">
      <formula>I36=$B$142</formula>
    </cfRule>
    <cfRule type="expression" dxfId="6104" priority="320">
      <formula>I36=$B$141</formula>
    </cfRule>
    <cfRule type="expression" dxfId="6103" priority="321">
      <formula>I36=$B$140</formula>
    </cfRule>
    <cfRule type="expression" dxfId="6102" priority="322">
      <formula>I36=$B$139</formula>
    </cfRule>
    <cfRule type="expression" dxfId="6101" priority="323">
      <formula>I36=$B$135</formula>
    </cfRule>
    <cfRule type="expression" dxfId="6100" priority="324">
      <formula>I36=$B$134</formula>
    </cfRule>
    <cfRule type="expression" dxfId="6099" priority="325">
      <formula>I36=$B$133</formula>
    </cfRule>
    <cfRule type="expression" dxfId="6098" priority="326">
      <formula>I36=$B$132</formula>
    </cfRule>
    <cfRule type="expression" dxfId="6097" priority="327">
      <formula>I36=$B$131</formula>
    </cfRule>
    <cfRule type="expression" dxfId="6096" priority="328" stopIfTrue="1">
      <formula>I36=$B$130</formula>
    </cfRule>
    <cfRule type="expression" dxfId="6095" priority="329">
      <formula>I36=$B$129</formula>
    </cfRule>
    <cfRule type="expression" dxfId="6094" priority="330" stopIfTrue="1">
      <formula>I36=$B$128</formula>
    </cfRule>
    <cfRule type="expression" dxfId="6093" priority="331">
      <formula>I36=$B$127</formula>
    </cfRule>
    <cfRule type="expression" dxfId="6092" priority="332">
      <formula>I36=$B$126</formula>
    </cfRule>
    <cfRule type="expression" dxfId="6091" priority="333">
      <formula>I36=$B$125</formula>
    </cfRule>
    <cfRule type="expression" dxfId="6090" priority="334" stopIfTrue="1">
      <formula>I36=$B$123</formula>
    </cfRule>
    <cfRule type="expression" dxfId="6089" priority="335" stopIfTrue="1">
      <formula>I36=$B$122</formula>
    </cfRule>
    <cfRule type="expression" dxfId="6088" priority="336" stopIfTrue="1">
      <formula>I36=$B$121</formula>
    </cfRule>
    <cfRule type="expression" dxfId="6087" priority="337">
      <formula>I36=$B$120</formula>
    </cfRule>
    <cfRule type="expression" dxfId="6086" priority="338">
      <formula>I36=$B$117</formula>
    </cfRule>
    <cfRule type="expression" dxfId="6085" priority="339" stopIfTrue="1">
      <formula>I36=$B$115</formula>
    </cfRule>
    <cfRule type="expression" dxfId="6084" priority="340">
      <formula>I36=$B$114</formula>
    </cfRule>
    <cfRule type="expression" dxfId="6083" priority="341">
      <formula>I36=$B$113</formula>
    </cfRule>
    <cfRule type="expression" dxfId="6082" priority="342">
      <formula>I36=$B$112</formula>
    </cfRule>
    <cfRule type="expression" dxfId="6081" priority="343">
      <formula>I36=$B$110</formula>
    </cfRule>
    <cfRule type="expression" dxfId="6080" priority="344" stopIfTrue="1">
      <formula>I36=$B$111</formula>
    </cfRule>
    <cfRule type="expression" dxfId="6079" priority="345" stopIfTrue="1">
      <formula>I$5=TODAY()</formula>
    </cfRule>
  </conditionalFormatting>
  <conditionalFormatting sqref="H36">
    <cfRule type="expression" dxfId="6078" priority="265">
      <formula>H36=$B$130</formula>
    </cfRule>
    <cfRule type="expression" dxfId="6077" priority="266">
      <formula>H36=$B$128</formula>
    </cfRule>
    <cfRule type="expression" dxfId="6076" priority="267">
      <formula>H36=$B$124</formula>
    </cfRule>
    <cfRule type="expression" dxfId="6075" priority="268">
      <formula>H36=$B$119</formula>
    </cfRule>
    <cfRule type="expression" dxfId="6074" priority="269">
      <formula>H36=$B$116</formula>
    </cfRule>
    <cfRule type="expression" dxfId="6073" priority="270">
      <formula>H36=$B$113</formula>
    </cfRule>
    <cfRule type="expression" dxfId="6072" priority="271">
      <formula>H36=$B$116</formula>
    </cfRule>
    <cfRule type="expression" dxfId="6071" priority="272">
      <formula>H36=$B$146</formula>
    </cfRule>
    <cfRule type="expression" dxfId="6070" priority="273">
      <formula>H36=$B$118</formula>
    </cfRule>
    <cfRule type="expression" dxfId="6069" priority="274">
      <formula>H36=$B$146</formula>
    </cfRule>
    <cfRule type="expression" dxfId="6068" priority="275">
      <formula>H36=$B$145</formula>
    </cfRule>
    <cfRule type="expression" dxfId="6067" priority="276">
      <formula>H36=$B$144</formula>
    </cfRule>
    <cfRule type="expression" dxfId="6066" priority="277">
      <formula>H36=$B$143</formula>
    </cfRule>
    <cfRule type="expression" dxfId="6065" priority="278">
      <formula>H36=$B$142</formula>
    </cfRule>
    <cfRule type="expression" dxfId="6064" priority="279">
      <formula>H36=$B$141</formula>
    </cfRule>
    <cfRule type="expression" dxfId="6063" priority="280">
      <formula>H36=$B$140</formula>
    </cfRule>
    <cfRule type="expression" dxfId="6062" priority="281">
      <formula>H36=$B$139</formula>
    </cfRule>
    <cfRule type="expression" dxfId="6061" priority="282">
      <formula>H36=$B$135</formula>
    </cfRule>
    <cfRule type="expression" dxfId="6060" priority="283">
      <formula>H36=$B$134</formula>
    </cfRule>
    <cfRule type="expression" dxfId="6059" priority="284">
      <formula>H36=$B$133</formula>
    </cfRule>
    <cfRule type="expression" dxfId="6058" priority="285">
      <formula>H36=$B$132</formula>
    </cfRule>
    <cfRule type="expression" dxfId="6057" priority="286">
      <formula>H36=$B$131</formula>
    </cfRule>
    <cfRule type="expression" dxfId="6056" priority="287" stopIfTrue="1">
      <formula>H36=$B$130</formula>
    </cfRule>
    <cfRule type="expression" dxfId="6055" priority="288">
      <formula>H36=$B$129</formula>
    </cfRule>
    <cfRule type="expression" dxfId="6054" priority="289" stopIfTrue="1">
      <formula>H36=$B$128</formula>
    </cfRule>
    <cfRule type="expression" dxfId="6053" priority="290">
      <formula>H36=$B$127</formula>
    </cfRule>
    <cfRule type="expression" dxfId="6052" priority="291">
      <formula>H36=$B$126</formula>
    </cfRule>
    <cfRule type="expression" dxfId="6051" priority="292">
      <formula>H36=$B$125</formula>
    </cfRule>
    <cfRule type="expression" dxfId="6050" priority="293" stopIfTrue="1">
      <formula>H36=$B$123</formula>
    </cfRule>
    <cfRule type="expression" dxfId="6049" priority="294" stopIfTrue="1">
      <formula>H36=$B$122</formula>
    </cfRule>
    <cfRule type="expression" dxfId="6048" priority="295" stopIfTrue="1">
      <formula>H36=$B$121</formula>
    </cfRule>
    <cfRule type="expression" dxfId="6047" priority="296">
      <formula>H36=$B$120</formula>
    </cfRule>
    <cfRule type="expression" dxfId="6046" priority="297">
      <formula>H36=$B$117</formula>
    </cfRule>
    <cfRule type="expression" dxfId="6045" priority="298" stopIfTrue="1">
      <formula>H36=$B$115</formula>
    </cfRule>
    <cfRule type="expression" dxfId="6044" priority="299">
      <formula>H36=$B$114</formula>
    </cfRule>
    <cfRule type="expression" dxfId="6043" priority="300">
      <formula>H36=$B$113</formula>
    </cfRule>
    <cfRule type="expression" dxfId="6042" priority="301">
      <formula>H36=$B$112</formula>
    </cfRule>
    <cfRule type="expression" dxfId="6041" priority="302">
      <formula>H36=$B$110</formula>
    </cfRule>
    <cfRule type="expression" dxfId="6040" priority="303" stopIfTrue="1">
      <formula>H36=$B$111</formula>
    </cfRule>
    <cfRule type="expression" dxfId="6039" priority="304" stopIfTrue="1">
      <formula>H$5=TODAY()</formula>
    </cfRule>
  </conditionalFormatting>
  <conditionalFormatting sqref="H36">
    <cfRule type="expression" dxfId="6038" priority="262">
      <formula>H36=$B$137</formula>
    </cfRule>
    <cfRule type="expression" dxfId="6037" priority="263">
      <formula>H36=$B$138</formula>
    </cfRule>
    <cfRule type="expression" dxfId="6036" priority="264">
      <formula>H36=$B$136</formula>
    </cfRule>
  </conditionalFormatting>
  <conditionalFormatting sqref="I66">
    <cfRule type="expression" dxfId="6035" priority="221">
      <formula>I66=$B$145</formula>
    </cfRule>
    <cfRule type="expression" dxfId="6034" priority="222">
      <formula>I66=$B$130</formula>
    </cfRule>
    <cfRule type="expression" dxfId="6033" priority="223">
      <formula>I66=$B$128</formula>
    </cfRule>
    <cfRule type="expression" dxfId="6032" priority="224">
      <formula>I66=$B$124</formula>
    </cfRule>
    <cfRule type="expression" dxfId="6031" priority="225">
      <formula>I66=$B$119</formula>
    </cfRule>
    <cfRule type="expression" dxfId="6030" priority="226">
      <formula>I66=$B$116</formula>
    </cfRule>
    <cfRule type="expression" dxfId="6029" priority="227">
      <formula>I66=$B$113</formula>
    </cfRule>
    <cfRule type="expression" dxfId="6028" priority="228">
      <formula>I66=$B$116</formula>
    </cfRule>
    <cfRule type="expression" dxfId="6027" priority="229">
      <formula>I66=$B$146</formula>
    </cfRule>
    <cfRule type="expression" dxfId="6026" priority="230">
      <formula>I66=$B$118</formula>
    </cfRule>
    <cfRule type="expression" dxfId="6025" priority="231">
      <formula>I66=$B$146</formula>
    </cfRule>
    <cfRule type="expression" dxfId="6024" priority="232">
      <formula>I66=$B$145</formula>
    </cfRule>
    <cfRule type="expression" dxfId="6023" priority="233">
      <formula>I66=$B$144</formula>
    </cfRule>
    <cfRule type="expression" dxfId="6022" priority="234">
      <formula>I66=$B$143</formula>
    </cfRule>
    <cfRule type="expression" dxfId="6021" priority="235">
      <formula>I66=$B$142</formula>
    </cfRule>
    <cfRule type="expression" dxfId="6020" priority="236">
      <formula>I66=$B$141</formula>
    </cfRule>
    <cfRule type="expression" dxfId="6019" priority="237">
      <formula>I66=$B$140</formula>
    </cfRule>
    <cfRule type="expression" dxfId="6018" priority="238">
      <formula>I66=$B$139</formula>
    </cfRule>
    <cfRule type="expression" dxfId="6017" priority="239">
      <formula>I66=$B$135</formula>
    </cfRule>
    <cfRule type="expression" dxfId="6016" priority="240">
      <formula>I66=$B$134</formula>
    </cfRule>
    <cfRule type="expression" dxfId="6015" priority="241">
      <formula>I66=$B$133</formula>
    </cfRule>
    <cfRule type="expression" dxfId="6014" priority="242">
      <formula>I66=$B$132</formula>
    </cfRule>
    <cfRule type="expression" dxfId="6013" priority="243">
      <formula>I66=$B$131</formula>
    </cfRule>
    <cfRule type="expression" dxfId="6012" priority="244" stopIfTrue="1">
      <formula>I66=$B$130</formula>
    </cfRule>
    <cfRule type="expression" dxfId="6011" priority="245">
      <formula>I66=$B$129</formula>
    </cfRule>
    <cfRule type="expression" dxfId="6010" priority="246" stopIfTrue="1">
      <formula>I66=$B$128</formula>
    </cfRule>
    <cfRule type="expression" dxfId="6009" priority="247">
      <formula>I66=$B$127</formula>
    </cfRule>
    <cfRule type="expression" dxfId="6008" priority="248">
      <formula>I66=$B$126</formula>
    </cfRule>
    <cfRule type="expression" dxfId="6007" priority="249">
      <formula>I66=$B$125</formula>
    </cfRule>
    <cfRule type="expression" dxfId="6006" priority="250" stopIfTrue="1">
      <formula>I66=$B$123</formula>
    </cfRule>
    <cfRule type="expression" dxfId="6005" priority="251" stopIfTrue="1">
      <formula>I66=$B$122</formula>
    </cfRule>
    <cfRule type="expression" dxfId="6004" priority="252" stopIfTrue="1">
      <formula>I66=$B$121</formula>
    </cfRule>
    <cfRule type="expression" dxfId="6003" priority="253">
      <formula>I66=$B$120</formula>
    </cfRule>
    <cfRule type="expression" dxfId="6002" priority="254">
      <formula>I66=$B$117</formula>
    </cfRule>
    <cfRule type="expression" dxfId="6001" priority="255" stopIfTrue="1">
      <formula>I66=$B$115</formula>
    </cfRule>
    <cfRule type="expression" dxfId="6000" priority="256">
      <formula>I66=$B$114</formula>
    </cfRule>
    <cfRule type="expression" dxfId="5999" priority="257">
      <formula>I66=$B$113</formula>
    </cfRule>
    <cfRule type="expression" dxfId="5998" priority="258">
      <formula>I66=$B$112</formula>
    </cfRule>
    <cfRule type="expression" dxfId="5997" priority="259">
      <formula>I66=$B$110</formula>
    </cfRule>
    <cfRule type="expression" dxfId="5996" priority="260" stopIfTrue="1">
      <formula>I66=$B$111</formula>
    </cfRule>
    <cfRule type="expression" dxfId="5995" priority="261" stopIfTrue="1">
      <formula>I$5=TODAY()</formula>
    </cfRule>
  </conditionalFormatting>
  <conditionalFormatting sqref="I66">
    <cfRule type="expression" dxfId="5994" priority="218">
      <formula>I66=$B$137</formula>
    </cfRule>
    <cfRule type="expression" dxfId="5993" priority="219">
      <formula>I66=$B$138</formula>
    </cfRule>
    <cfRule type="expression" dxfId="5992" priority="220">
      <formula>I66=$B$136</formula>
    </cfRule>
  </conditionalFormatting>
  <conditionalFormatting sqref="F74">
    <cfRule type="expression" dxfId="5991" priority="177">
      <formula>F74=$B$145</formula>
    </cfRule>
    <cfRule type="expression" dxfId="5990" priority="178">
      <formula>F74=$B$130</formula>
    </cfRule>
    <cfRule type="expression" dxfId="5989" priority="179">
      <formula>F74=$B$128</formula>
    </cfRule>
    <cfRule type="expression" dxfId="5988" priority="180">
      <formula>F74=$B$124</formula>
    </cfRule>
    <cfRule type="expression" dxfId="5987" priority="181">
      <formula>F74=$B$119</formula>
    </cfRule>
    <cfRule type="expression" dxfId="5986" priority="182">
      <formula>F74=$B$116</formula>
    </cfRule>
    <cfRule type="expression" dxfId="5985" priority="183">
      <formula>F74=$B$113</formula>
    </cfRule>
    <cfRule type="expression" dxfId="5984" priority="184">
      <formula>F74=$B$116</formula>
    </cfRule>
    <cfRule type="expression" dxfId="5983" priority="185">
      <formula>F74=$B$146</formula>
    </cfRule>
    <cfRule type="expression" dxfId="5982" priority="186">
      <formula>F74=$B$118</formula>
    </cfRule>
    <cfRule type="expression" dxfId="5981" priority="187">
      <formula>F74=$B$146</formula>
    </cfRule>
    <cfRule type="expression" dxfId="5980" priority="188">
      <formula>F74=$B$145</formula>
    </cfRule>
    <cfRule type="expression" dxfId="5979" priority="189">
      <formula>F74=$B$144</formula>
    </cfRule>
    <cfRule type="expression" dxfId="5978" priority="190">
      <formula>F74=$B$143</formula>
    </cfRule>
    <cfRule type="expression" dxfId="5977" priority="191">
      <formula>F74=$B$142</formula>
    </cfRule>
    <cfRule type="expression" dxfId="5976" priority="192">
      <formula>F74=$B$141</formula>
    </cfRule>
    <cfRule type="expression" dxfId="5975" priority="193">
      <formula>F74=$B$140</formula>
    </cfRule>
    <cfRule type="expression" dxfId="5974" priority="194">
      <formula>F74=$B$139</formula>
    </cfRule>
    <cfRule type="expression" dxfId="5973" priority="195">
      <formula>F74=$B$135</formula>
    </cfRule>
    <cfRule type="expression" dxfId="5972" priority="196">
      <formula>F74=$B$134</formula>
    </cfRule>
    <cfRule type="expression" dxfId="5971" priority="197">
      <formula>F74=$B$133</formula>
    </cfRule>
    <cfRule type="expression" dxfId="5970" priority="198">
      <formula>F74=$B$132</formula>
    </cfRule>
    <cfRule type="expression" dxfId="5969" priority="199">
      <formula>F74=$B$131</formula>
    </cfRule>
    <cfRule type="expression" dxfId="5968" priority="200" stopIfTrue="1">
      <formula>F74=$B$130</formula>
    </cfRule>
    <cfRule type="expression" dxfId="5967" priority="201">
      <formula>F74=$B$129</formula>
    </cfRule>
    <cfRule type="expression" dxfId="5966" priority="202" stopIfTrue="1">
      <formula>F74=$B$128</formula>
    </cfRule>
    <cfRule type="expression" dxfId="5965" priority="203">
      <formula>F74=$B$127</formula>
    </cfRule>
    <cfRule type="expression" dxfId="5964" priority="204">
      <formula>F74=$B$126</formula>
    </cfRule>
    <cfRule type="expression" dxfId="5963" priority="205">
      <formula>F74=$B$125</formula>
    </cfRule>
    <cfRule type="expression" dxfId="5962" priority="206" stopIfTrue="1">
      <formula>F74=$B$123</formula>
    </cfRule>
    <cfRule type="expression" dxfId="5961" priority="207" stopIfTrue="1">
      <formula>F74=$B$122</formula>
    </cfRule>
    <cfRule type="expression" dxfId="5960" priority="208" stopIfTrue="1">
      <formula>F74=$B$121</formula>
    </cfRule>
    <cfRule type="expression" dxfId="5959" priority="209">
      <formula>F74=$B$120</formula>
    </cfRule>
    <cfRule type="expression" dxfId="5958" priority="210">
      <formula>F74=$B$117</formula>
    </cfRule>
    <cfRule type="expression" dxfId="5957" priority="211" stopIfTrue="1">
      <formula>F74=$B$115</formula>
    </cfRule>
    <cfRule type="expression" dxfId="5956" priority="212">
      <formula>F74=$B$114</formula>
    </cfRule>
    <cfRule type="expression" dxfId="5955" priority="213">
      <formula>F74=$B$113</formula>
    </cfRule>
    <cfRule type="expression" dxfId="5954" priority="214">
      <formula>F74=$B$112</formula>
    </cfRule>
    <cfRule type="expression" dxfId="5953" priority="215">
      <formula>F74=$B$110</formula>
    </cfRule>
    <cfRule type="expression" dxfId="5952" priority="216" stopIfTrue="1">
      <formula>F74=$B$111</formula>
    </cfRule>
    <cfRule type="expression" dxfId="5951" priority="217" stopIfTrue="1">
      <formula>F$5=TODAY()</formula>
    </cfRule>
  </conditionalFormatting>
  <conditionalFormatting sqref="F74">
    <cfRule type="expression" dxfId="5950" priority="174">
      <formula>F74=$B$137</formula>
    </cfRule>
    <cfRule type="expression" dxfId="5949" priority="175">
      <formula>F74=$B$138</formula>
    </cfRule>
    <cfRule type="expression" dxfId="5948" priority="176">
      <formula>F74=$B$136</formula>
    </cfRule>
  </conditionalFormatting>
  <conditionalFormatting sqref="F74">
    <cfRule type="expression" dxfId="5947" priority="134">
      <formula>F74=$B$130</formula>
    </cfRule>
    <cfRule type="expression" dxfId="5946" priority="135">
      <formula>F74=$B$128</formula>
    </cfRule>
    <cfRule type="expression" dxfId="5945" priority="136">
      <formula>F74=$B$124</formula>
    </cfRule>
    <cfRule type="expression" dxfId="5944" priority="137">
      <formula>F74=$B$119</formula>
    </cfRule>
    <cfRule type="expression" dxfId="5943" priority="138">
      <formula>F74=$B$116</formula>
    </cfRule>
    <cfRule type="expression" dxfId="5942" priority="139">
      <formula>F74=$B$113</formula>
    </cfRule>
    <cfRule type="expression" dxfId="5941" priority="140">
      <formula>F74=$B$116</formula>
    </cfRule>
    <cfRule type="expression" dxfId="5940" priority="141">
      <formula>F74=$B$146</formula>
    </cfRule>
    <cfRule type="expression" dxfId="5939" priority="142">
      <formula>F74=$B$118</formula>
    </cfRule>
    <cfRule type="expression" dxfId="5938" priority="143">
      <formula>F74=$B$146</formula>
    </cfRule>
    <cfRule type="expression" dxfId="5937" priority="144">
      <formula>F74=$B$145</formula>
    </cfRule>
    <cfRule type="expression" dxfId="5936" priority="145">
      <formula>F74=$B$144</formula>
    </cfRule>
    <cfRule type="expression" dxfId="5935" priority="146">
      <formula>F74=$B$143</formula>
    </cfRule>
    <cfRule type="expression" dxfId="5934" priority="147">
      <formula>F74=$B$142</formula>
    </cfRule>
    <cfRule type="expression" dxfId="5933" priority="148">
      <formula>F74=$B$141</formula>
    </cfRule>
    <cfRule type="expression" dxfId="5932" priority="149">
      <formula>F74=$B$140</formula>
    </cfRule>
    <cfRule type="expression" dxfId="5931" priority="150">
      <formula>F74=$B$139</formula>
    </cfRule>
    <cfRule type="expression" dxfId="5930" priority="151">
      <formula>F74=$B$135</formula>
    </cfRule>
    <cfRule type="expression" dxfId="5929" priority="152">
      <formula>F74=$B$134</formula>
    </cfRule>
    <cfRule type="expression" dxfId="5928" priority="153">
      <formula>F74=$B$133</formula>
    </cfRule>
    <cfRule type="expression" dxfId="5927" priority="154">
      <formula>F74=$B$132</formula>
    </cfRule>
    <cfRule type="expression" dxfId="5926" priority="155">
      <formula>F74=$B$131</formula>
    </cfRule>
    <cfRule type="expression" dxfId="5925" priority="156" stopIfTrue="1">
      <formula>F74=$B$130</formula>
    </cfRule>
    <cfRule type="expression" dxfId="5924" priority="157">
      <formula>F74=$B$129</formula>
    </cfRule>
    <cfRule type="expression" dxfId="5923" priority="158" stopIfTrue="1">
      <formula>F74=$B$128</formula>
    </cfRule>
    <cfRule type="expression" dxfId="5922" priority="159">
      <formula>F74=$B$127</formula>
    </cfRule>
    <cfRule type="expression" dxfId="5921" priority="160">
      <formula>F74=$B$126</formula>
    </cfRule>
    <cfRule type="expression" dxfId="5920" priority="161">
      <formula>F74=$B$125</formula>
    </cfRule>
    <cfRule type="expression" dxfId="5919" priority="162" stopIfTrue="1">
      <formula>F74=$B$123</formula>
    </cfRule>
    <cfRule type="expression" dxfId="5918" priority="163" stopIfTrue="1">
      <formula>F74=$B$122</formula>
    </cfRule>
    <cfRule type="expression" dxfId="5917" priority="164" stopIfTrue="1">
      <formula>F74=$B$121</formula>
    </cfRule>
    <cfRule type="expression" dxfId="5916" priority="165">
      <formula>F74=$B$120</formula>
    </cfRule>
    <cfRule type="expression" dxfId="5915" priority="166">
      <formula>F74=$B$117</formula>
    </cfRule>
    <cfRule type="expression" dxfId="5914" priority="167" stopIfTrue="1">
      <formula>F74=$B$115</formula>
    </cfRule>
    <cfRule type="expression" dxfId="5913" priority="168">
      <formula>F74=$B$114</formula>
    </cfRule>
    <cfRule type="expression" dxfId="5912" priority="169">
      <formula>F74=$B$113</formula>
    </cfRule>
    <cfRule type="expression" dxfId="5911" priority="170">
      <formula>F74=$B$112</formula>
    </cfRule>
    <cfRule type="expression" dxfId="5910" priority="171">
      <formula>F74=$B$110</formula>
    </cfRule>
    <cfRule type="expression" dxfId="5909" priority="172" stopIfTrue="1">
      <formula>F74=$B$111</formula>
    </cfRule>
    <cfRule type="expression" dxfId="5908" priority="173" stopIfTrue="1">
      <formula>F$5=TODAY()</formula>
    </cfRule>
  </conditionalFormatting>
  <conditionalFormatting sqref="F74">
    <cfRule type="expression" dxfId="5907" priority="133">
      <formula>F74=$B$145</formula>
    </cfRule>
  </conditionalFormatting>
  <conditionalFormatting sqref="E80:G80">
    <cfRule type="expression" dxfId="5906" priority="93">
      <formula>E80=$B$130</formula>
    </cfRule>
    <cfRule type="expression" dxfId="5905" priority="94">
      <formula>E80=$B$128</formula>
    </cfRule>
    <cfRule type="expression" dxfId="5904" priority="95">
      <formula>E80=$B$124</formula>
    </cfRule>
    <cfRule type="expression" dxfId="5903" priority="96">
      <formula>E80=$B$119</formula>
    </cfRule>
    <cfRule type="expression" dxfId="5902" priority="97">
      <formula>E80=$B$116</formula>
    </cfRule>
    <cfRule type="expression" dxfId="5901" priority="98">
      <formula>E80=$B$113</formula>
    </cfRule>
    <cfRule type="expression" dxfId="5900" priority="99">
      <formula>E80=$B$116</formula>
    </cfRule>
    <cfRule type="expression" dxfId="5899" priority="100">
      <formula>E80=$B$146</formula>
    </cfRule>
    <cfRule type="expression" dxfId="5898" priority="101">
      <formula>E80=$B$118</formula>
    </cfRule>
    <cfRule type="expression" dxfId="5897" priority="102">
      <formula>E80=$B$146</formula>
    </cfRule>
    <cfRule type="expression" dxfId="5896" priority="103">
      <formula>E80=$B$145</formula>
    </cfRule>
    <cfRule type="expression" dxfId="5895" priority="104">
      <formula>E80=$B$144</formula>
    </cfRule>
    <cfRule type="expression" dxfId="5894" priority="105">
      <formula>E80=$B$143</formula>
    </cfRule>
    <cfRule type="expression" dxfId="5893" priority="106">
      <formula>E80=$B$142</formula>
    </cfRule>
    <cfRule type="expression" dxfId="5892" priority="107">
      <formula>E80=$B$141</formula>
    </cfRule>
    <cfRule type="expression" dxfId="5891" priority="108">
      <formula>E80=$B$140</formula>
    </cfRule>
    <cfRule type="expression" dxfId="5890" priority="109">
      <formula>E80=$B$139</formula>
    </cfRule>
    <cfRule type="expression" dxfId="5889" priority="110">
      <formula>E80=$B$135</formula>
    </cfRule>
    <cfRule type="expression" dxfId="5888" priority="111">
      <formula>E80=$B$134</formula>
    </cfRule>
    <cfRule type="expression" dxfId="5887" priority="112">
      <formula>E80=$B$133</formula>
    </cfRule>
    <cfRule type="expression" dxfId="5886" priority="113">
      <formula>E80=$B$132</formula>
    </cfRule>
    <cfRule type="expression" dxfId="5885" priority="114">
      <formula>E80=$B$131</formula>
    </cfRule>
    <cfRule type="expression" dxfId="5884" priority="115" stopIfTrue="1">
      <formula>E80=$B$130</formula>
    </cfRule>
    <cfRule type="expression" dxfId="5883" priority="116">
      <formula>E80=$B$129</formula>
    </cfRule>
    <cfRule type="expression" dxfId="5882" priority="117" stopIfTrue="1">
      <formula>E80=$B$128</formula>
    </cfRule>
    <cfRule type="expression" dxfId="5881" priority="118">
      <formula>E80=$B$127</formula>
    </cfRule>
    <cfRule type="expression" dxfId="5880" priority="119">
      <formula>E80=$B$126</formula>
    </cfRule>
    <cfRule type="expression" dxfId="5879" priority="120">
      <formula>E80=$B$125</formula>
    </cfRule>
    <cfRule type="expression" dxfId="5878" priority="121" stopIfTrue="1">
      <formula>E80=$B$123</formula>
    </cfRule>
    <cfRule type="expression" dxfId="5877" priority="122" stopIfTrue="1">
      <formula>E80=$B$122</formula>
    </cfRule>
    <cfRule type="expression" dxfId="5876" priority="123" stopIfTrue="1">
      <formula>E80=$B$121</formula>
    </cfRule>
    <cfRule type="expression" dxfId="5875" priority="124">
      <formula>E80=$B$120</formula>
    </cfRule>
    <cfRule type="expression" dxfId="5874" priority="125">
      <formula>E80=$B$117</formula>
    </cfRule>
    <cfRule type="expression" dxfId="5873" priority="126" stopIfTrue="1">
      <formula>E80=$B$115</formula>
    </cfRule>
    <cfRule type="expression" dxfId="5872" priority="127">
      <formula>E80=$B$114</formula>
    </cfRule>
    <cfRule type="expression" dxfId="5871" priority="128">
      <formula>E80=$B$113</formula>
    </cfRule>
    <cfRule type="expression" dxfId="5870" priority="129">
      <formula>E80=$B$112</formula>
    </cfRule>
    <cfRule type="expression" dxfId="5869" priority="130">
      <formula>E80=$B$110</formula>
    </cfRule>
    <cfRule type="expression" dxfId="5868" priority="131" stopIfTrue="1">
      <formula>E80=$B$111</formula>
    </cfRule>
    <cfRule type="expression" dxfId="5867" priority="132" stopIfTrue="1">
      <formula>E$5=TODAY()</formula>
    </cfRule>
  </conditionalFormatting>
  <conditionalFormatting sqref="E80:G80">
    <cfRule type="expression" dxfId="5866" priority="92">
      <formula>E80=$B$145</formula>
    </cfRule>
  </conditionalFormatting>
  <conditionalFormatting sqref="E80:G80">
    <cfRule type="expression" dxfId="5865" priority="89">
      <formula>E80=$B$137</formula>
    </cfRule>
    <cfRule type="expression" dxfId="5864" priority="90">
      <formula>E80=$B$138</formula>
    </cfRule>
    <cfRule type="expression" dxfId="5863" priority="91">
      <formula>E80=$B$136</formula>
    </cfRule>
  </conditionalFormatting>
  <conditionalFormatting sqref="H80:I80">
    <cfRule type="expression" dxfId="5862" priority="48">
      <formula>H80=$B$145</formula>
    </cfRule>
    <cfRule type="expression" dxfId="5861" priority="49">
      <formula>H80=$B$130</formula>
    </cfRule>
    <cfRule type="expression" dxfId="5860" priority="50">
      <formula>H80=$B$128</formula>
    </cfRule>
    <cfRule type="expression" dxfId="5859" priority="51">
      <formula>H80=$B$124</formula>
    </cfRule>
    <cfRule type="expression" dxfId="5858" priority="52">
      <formula>H80=$B$119</formula>
    </cfRule>
    <cfRule type="expression" dxfId="5857" priority="53">
      <formula>H80=$B$116</formula>
    </cfRule>
    <cfRule type="expression" dxfId="5856" priority="54">
      <formula>H80=$B$113</formula>
    </cfRule>
    <cfRule type="expression" dxfId="5855" priority="55">
      <formula>H80=$B$116</formula>
    </cfRule>
    <cfRule type="expression" dxfId="5854" priority="56">
      <formula>H80=$B$146</formula>
    </cfRule>
    <cfRule type="expression" dxfId="5853" priority="57">
      <formula>H80=$B$118</formula>
    </cfRule>
    <cfRule type="expression" dxfId="5852" priority="58">
      <formula>H80=$B$146</formula>
    </cfRule>
    <cfRule type="expression" dxfId="5851" priority="59">
      <formula>H80=$B$145</formula>
    </cfRule>
    <cfRule type="expression" dxfId="5850" priority="60">
      <formula>H80=$B$144</formula>
    </cfRule>
    <cfRule type="expression" dxfId="5849" priority="61">
      <formula>H80=$B$143</formula>
    </cfRule>
    <cfRule type="expression" dxfId="5848" priority="62">
      <formula>H80=$B$142</formula>
    </cfRule>
    <cfRule type="expression" dxfId="5847" priority="63">
      <formula>H80=$B$141</formula>
    </cfRule>
    <cfRule type="expression" dxfId="5846" priority="64">
      <formula>H80=$B$140</formula>
    </cfRule>
    <cfRule type="expression" dxfId="5845" priority="65">
      <formula>H80=$B$139</formula>
    </cfRule>
    <cfRule type="expression" dxfId="5844" priority="66">
      <formula>H80=$B$135</formula>
    </cfRule>
    <cfRule type="expression" dxfId="5843" priority="67">
      <formula>H80=$B$134</formula>
    </cfRule>
    <cfRule type="expression" dxfId="5842" priority="68">
      <formula>H80=$B$133</formula>
    </cfRule>
    <cfRule type="expression" dxfId="5841" priority="69">
      <formula>H80=$B$132</formula>
    </cfRule>
    <cfRule type="expression" dxfId="5840" priority="70">
      <formula>H80=$B$131</formula>
    </cfRule>
    <cfRule type="expression" dxfId="5839" priority="71" stopIfTrue="1">
      <formula>H80=$B$130</formula>
    </cfRule>
    <cfRule type="expression" dxfId="5838" priority="72">
      <formula>H80=$B$129</formula>
    </cfRule>
    <cfRule type="expression" dxfId="5837" priority="73" stopIfTrue="1">
      <formula>H80=$B$128</formula>
    </cfRule>
    <cfRule type="expression" dxfId="5836" priority="74">
      <formula>H80=$B$127</formula>
    </cfRule>
    <cfRule type="expression" dxfId="5835" priority="75">
      <formula>H80=$B$126</formula>
    </cfRule>
    <cfRule type="expression" dxfId="5834" priority="76">
      <formula>H80=$B$125</formula>
    </cfRule>
    <cfRule type="expression" dxfId="5833" priority="77" stopIfTrue="1">
      <formula>H80=$B$123</formula>
    </cfRule>
    <cfRule type="expression" dxfId="5832" priority="78" stopIfTrue="1">
      <formula>H80=$B$122</formula>
    </cfRule>
    <cfRule type="expression" dxfId="5831" priority="79" stopIfTrue="1">
      <formula>H80=$B$121</formula>
    </cfRule>
    <cfRule type="expression" dxfId="5830" priority="80">
      <formula>H80=$B$120</formula>
    </cfRule>
    <cfRule type="expression" dxfId="5829" priority="81">
      <formula>H80=$B$117</formula>
    </cfRule>
    <cfRule type="expression" dxfId="5828" priority="82" stopIfTrue="1">
      <formula>H80=$B$115</formula>
    </cfRule>
    <cfRule type="expression" dxfId="5827" priority="83">
      <formula>H80=$B$114</formula>
    </cfRule>
    <cfRule type="expression" dxfId="5826" priority="84">
      <formula>H80=$B$113</formula>
    </cfRule>
    <cfRule type="expression" dxfId="5825" priority="85">
      <formula>H80=$B$112</formula>
    </cfRule>
    <cfRule type="expression" dxfId="5824" priority="86">
      <formula>H80=$B$110</formula>
    </cfRule>
    <cfRule type="expression" dxfId="5823" priority="87" stopIfTrue="1">
      <formula>H80=$B$111</formula>
    </cfRule>
    <cfRule type="expression" dxfId="5822" priority="88" stopIfTrue="1">
      <formula>H$5=TODAY()</formula>
    </cfRule>
  </conditionalFormatting>
  <conditionalFormatting sqref="H80:I80">
    <cfRule type="expression" dxfId="5821" priority="45">
      <formula>H80=$B$137</formula>
    </cfRule>
    <cfRule type="expression" dxfId="5820" priority="46">
      <formula>H80=$B$138</formula>
    </cfRule>
    <cfRule type="expression" dxfId="5819" priority="47">
      <formula>H80=$B$136</formula>
    </cfRule>
  </conditionalFormatting>
  <conditionalFormatting sqref="H100">
    <cfRule type="expression" dxfId="5818" priority="4">
      <formula>H100=$B$145</formula>
    </cfRule>
    <cfRule type="expression" dxfId="5817" priority="5">
      <formula>H100=$B$130</formula>
    </cfRule>
    <cfRule type="expression" dxfId="5816" priority="6">
      <formula>H100=$B$128</formula>
    </cfRule>
    <cfRule type="expression" dxfId="5815" priority="7">
      <formula>H100=$B$124</formula>
    </cfRule>
    <cfRule type="expression" dxfId="5814" priority="8">
      <formula>H100=$B$119</formula>
    </cfRule>
    <cfRule type="expression" dxfId="5813" priority="9">
      <formula>H100=$B$116</formula>
    </cfRule>
    <cfRule type="expression" dxfId="5812" priority="10">
      <formula>H100=$B$113</formula>
    </cfRule>
    <cfRule type="expression" dxfId="5811" priority="11">
      <formula>H100=$B$116</formula>
    </cfRule>
    <cfRule type="expression" dxfId="5810" priority="12">
      <formula>H100=$B$146</formula>
    </cfRule>
    <cfRule type="expression" dxfId="5809" priority="13">
      <formula>H100=$B$118</formula>
    </cfRule>
    <cfRule type="expression" dxfId="5808" priority="14">
      <formula>H100=$B$146</formula>
    </cfRule>
    <cfRule type="expression" dxfId="5807" priority="15">
      <formula>H100=$B$145</formula>
    </cfRule>
    <cfRule type="expression" dxfId="5806" priority="16">
      <formula>H100=$B$144</formula>
    </cfRule>
    <cfRule type="expression" dxfId="5805" priority="17">
      <formula>H100=$B$143</formula>
    </cfRule>
    <cfRule type="expression" dxfId="5804" priority="18">
      <formula>H100=$B$142</formula>
    </cfRule>
    <cfRule type="expression" dxfId="5803" priority="19">
      <formula>H100=$B$141</formula>
    </cfRule>
    <cfRule type="expression" dxfId="5802" priority="20">
      <formula>H100=$B$140</formula>
    </cfRule>
    <cfRule type="expression" dxfId="5801" priority="21">
      <formula>H100=$B$139</formula>
    </cfRule>
    <cfRule type="expression" dxfId="5800" priority="22">
      <formula>H100=$B$135</formula>
    </cfRule>
    <cfRule type="expression" dxfId="5799" priority="23">
      <formula>H100=$B$134</formula>
    </cfRule>
    <cfRule type="expression" dxfId="5798" priority="24">
      <formula>H100=$B$133</formula>
    </cfRule>
    <cfRule type="expression" dxfId="5797" priority="25">
      <formula>H100=$B$132</formula>
    </cfRule>
    <cfRule type="expression" dxfId="5796" priority="26">
      <formula>H100=$B$131</formula>
    </cfRule>
    <cfRule type="expression" dxfId="5795" priority="27" stopIfTrue="1">
      <formula>H100=$B$130</formula>
    </cfRule>
    <cfRule type="expression" dxfId="5794" priority="28">
      <formula>H100=$B$129</formula>
    </cfRule>
    <cfRule type="expression" dxfId="5793" priority="29" stopIfTrue="1">
      <formula>H100=$B$128</formula>
    </cfRule>
    <cfRule type="expression" dxfId="5792" priority="30">
      <formula>H100=$B$127</formula>
    </cfRule>
    <cfRule type="expression" dxfId="5791" priority="31">
      <formula>H100=$B$126</formula>
    </cfRule>
    <cfRule type="expression" dxfId="5790" priority="32">
      <formula>H100=$B$125</formula>
    </cfRule>
    <cfRule type="expression" dxfId="5789" priority="33" stopIfTrue="1">
      <formula>H100=$B$123</formula>
    </cfRule>
    <cfRule type="expression" dxfId="5788" priority="34" stopIfTrue="1">
      <formula>H100=$B$122</formula>
    </cfRule>
    <cfRule type="expression" dxfId="5787" priority="35" stopIfTrue="1">
      <formula>H100=$B$121</formula>
    </cfRule>
    <cfRule type="expression" dxfId="5786" priority="36">
      <formula>H100=$B$120</formula>
    </cfRule>
    <cfRule type="expression" dxfId="5785" priority="37">
      <formula>H100=$B$117</formula>
    </cfRule>
    <cfRule type="expression" dxfId="5784" priority="38" stopIfTrue="1">
      <formula>H100=$B$115</formula>
    </cfRule>
    <cfRule type="expression" dxfId="5783" priority="39">
      <formula>H100=$B$114</formula>
    </cfRule>
    <cfRule type="expression" dxfId="5782" priority="40">
      <formula>H100=$B$113</formula>
    </cfRule>
    <cfRule type="expression" dxfId="5781" priority="41">
      <formula>H100=$B$112</formula>
    </cfRule>
    <cfRule type="expression" dxfId="5780" priority="42">
      <formula>H100=$B$110</formula>
    </cfRule>
    <cfRule type="expression" dxfId="5779" priority="43" stopIfTrue="1">
      <formula>H100=$B$111</formula>
    </cfRule>
    <cfRule type="expression" dxfId="5778" priority="44" stopIfTrue="1">
      <formula>H$5=TODAY()</formula>
    </cfRule>
  </conditionalFormatting>
  <conditionalFormatting sqref="H100">
    <cfRule type="expression" dxfId="5777" priority="1">
      <formula>H100=$B$137</formula>
    </cfRule>
    <cfRule type="expression" dxfId="5776" priority="2">
      <formula>H100=$B$138</formula>
    </cfRule>
    <cfRule type="expression" dxfId="5775" priority="3">
      <formula>H100=$B$136</formula>
    </cfRule>
  </conditionalFormatting>
  <conditionalFormatting sqref="J141:J146 J110:J138">
    <cfRule type="cellIs" dxfId="5774" priority="57629" operator="notEqual">
      <formula>#REF!</formula>
    </cfRule>
  </conditionalFormatting>
  <conditionalFormatting sqref="J139:J140">
    <cfRule type="expression" dxfId="5773" priority="57633">
      <formula>$J$139+$J$140&lt;#REF!</formula>
    </cfRule>
  </conditionalFormatting>
  <dataValidations count="1">
    <dataValidation type="list" allowBlank="1" showInputMessage="1" showErrorMessage="1" sqref="C20:I20 C26:I26 C32:I32 C68:I68 C102:I102 C54:I54 C12:I12 C38:I38 C56:I56 C82:H82 C92:I92 C6:I6 C30:I30 C8:I8 C24:I24 C106:I106 C50:I50 C44:I44 C72:I72 C94:I94 C66:I66 C64:I64 C28:I28 C62:I62 E100:I100 C18:I18 C22:I22 C14:I14 C40:I40 C48:I48 C42:I42 F74:I74 C10:I10 C76:I76 C46:I46 C98:I98 C104:I104 C70:I70 C86:I86 C16:I16 C88:I88 C84:I84 C74:D74 C100 C96:I96 C90:I90 C78:I78 C36:I36 C52:I52 C58:I58 C34:I34 C60:I60 C80:I80" xr:uid="{00000000-0002-0000-0000-000000000000}">
      <formula1>Actions</formula1>
    </dataValidation>
  </dataValidations>
  <pageMargins left="0.7" right="0.7" top="0.75" bottom="0.75" header="0.3" footer="0.3"/>
  <pageSetup paperSize="9"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2"/>
  <dimension ref="A1:L147"/>
  <sheetViews>
    <sheetView zoomScale="140" zoomScaleNormal="140" zoomScalePageLayoutView="125" workbookViewId="0">
      <pane ySplit="5" topLeftCell="A6" activePane="bottomLeft" state="frozen"/>
      <selection pane="bottomLeft" activeCell="C102" sqref="C102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7" style="145" bestFit="1" customWidth="1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74"/>
      <c r="B1" s="147" t="s">
        <v>112</v>
      </c>
      <c r="C1" s="75">
        <f t="shared" ref="C1:I1" si="0">COUNTIF(C6:C107,$B$127)+COUNTIF(C6:C107,$B$128)+COUNTIF(C6:C107,$B$129)+COUNTIF(C6:C107,$B$130)</f>
        <v>7</v>
      </c>
      <c r="D1" s="75">
        <f t="shared" si="0"/>
        <v>8</v>
      </c>
      <c r="E1" s="75">
        <f t="shared" si="0"/>
        <v>8</v>
      </c>
      <c r="F1" s="75">
        <f t="shared" si="0"/>
        <v>8</v>
      </c>
      <c r="G1" s="75">
        <f t="shared" si="0"/>
        <v>8</v>
      </c>
      <c r="H1" s="75">
        <f t="shared" si="0"/>
        <v>0</v>
      </c>
      <c r="I1" s="75">
        <f t="shared" si="0"/>
        <v>0</v>
      </c>
      <c r="J1" s="74"/>
      <c r="K1" s="139"/>
      <c r="L1" s="76"/>
    </row>
    <row r="2" spans="1:12" s="24" customFormat="1" ht="15" hidden="1" customHeight="1" x14ac:dyDescent="0.2">
      <c r="A2" s="74"/>
      <c r="B2" s="148" t="s">
        <v>30</v>
      </c>
      <c r="C2" s="149"/>
      <c r="D2" s="149"/>
      <c r="E2" s="149"/>
      <c r="F2" s="149"/>
      <c r="G2" s="149"/>
      <c r="H2" s="149"/>
      <c r="I2" s="149"/>
      <c r="J2" s="74"/>
      <c r="K2" s="139"/>
      <c r="L2" s="76"/>
    </row>
    <row r="3" spans="1:12" s="24" customFormat="1" hidden="1" x14ac:dyDescent="0.15">
      <c r="A3" s="74"/>
      <c r="B3" s="78">
        <v>43108</v>
      </c>
      <c r="C3" s="79">
        <f ca="1">WEEKNUM(TODAY())-1</f>
        <v>9</v>
      </c>
      <c r="D3" s="79">
        <f ca="1">IF($C$3=B4,1,0)</f>
        <v>0</v>
      </c>
      <c r="E3" s="79"/>
      <c r="F3" s="79">
        <f ca="1">IF($C$3=E4,1,0)</f>
        <v>0</v>
      </c>
      <c r="G3" s="79"/>
      <c r="H3" s="79">
        <f ca="1">IF($C$3=G4,1,0)</f>
        <v>0</v>
      </c>
      <c r="I3" s="79"/>
      <c r="J3" s="74"/>
      <c r="K3" s="139"/>
      <c r="L3" s="76"/>
    </row>
    <row r="4" spans="1:12" s="31" customFormat="1" x14ac:dyDescent="0.2">
      <c r="A4" s="80"/>
      <c r="B4" s="81"/>
      <c r="C4" s="149" t="s">
        <v>156</v>
      </c>
      <c r="D4" s="149"/>
      <c r="E4" s="149"/>
      <c r="F4" s="149"/>
      <c r="G4" s="149"/>
      <c r="H4" s="149"/>
      <c r="I4" s="149"/>
      <c r="J4" s="80"/>
      <c r="K4" s="140"/>
      <c r="L4" s="82"/>
    </row>
    <row r="5" spans="1:12" s="24" customFormat="1" ht="15" thickBot="1" x14ac:dyDescent="0.25">
      <c r="A5" s="74"/>
      <c r="B5" s="83"/>
      <c r="C5" s="84">
        <f>B3</f>
        <v>43108</v>
      </c>
      <c r="D5" s="84">
        <f t="shared" ref="D5:I5" si="1">C5+1</f>
        <v>43109</v>
      </c>
      <c r="E5" s="84">
        <f t="shared" si="1"/>
        <v>43110</v>
      </c>
      <c r="F5" s="84">
        <f t="shared" si="1"/>
        <v>43111</v>
      </c>
      <c r="G5" s="84">
        <f t="shared" si="1"/>
        <v>43112</v>
      </c>
      <c r="H5" s="84">
        <f t="shared" si="1"/>
        <v>43113</v>
      </c>
      <c r="I5" s="84">
        <f t="shared" si="1"/>
        <v>43114</v>
      </c>
      <c r="J5" s="85" t="s">
        <v>42</v>
      </c>
      <c r="K5" s="139" t="s">
        <v>159</v>
      </c>
      <c r="L5" s="76"/>
    </row>
    <row r="6" spans="1:12" s="24" customFormat="1" ht="13" customHeight="1" thickTop="1" x14ac:dyDescent="0.2">
      <c r="A6" s="74">
        <f>7-(COUNTIF(C6:I6,"")+COUNTIF(C6:I6,$B$144))</f>
        <v>5</v>
      </c>
      <c r="B6" s="150" t="s">
        <v>0</v>
      </c>
      <c r="C6" s="86" t="s">
        <v>87</v>
      </c>
      <c r="D6" s="86" t="s">
        <v>87</v>
      </c>
      <c r="E6" s="86" t="s">
        <v>87</v>
      </c>
      <c r="F6" s="86" t="s">
        <v>87</v>
      </c>
      <c r="G6" s="86" t="s">
        <v>87</v>
      </c>
      <c r="H6" s="71" t="s">
        <v>95</v>
      </c>
      <c r="I6" s="71" t="s">
        <v>95</v>
      </c>
      <c r="J6" s="152"/>
      <c r="K6" s="139">
        <v>5</v>
      </c>
      <c r="L6" s="76"/>
    </row>
    <row r="7" spans="1:12" s="24" customFormat="1" ht="13" customHeight="1" thickBot="1" x14ac:dyDescent="0.25">
      <c r="A7" s="74"/>
      <c r="B7" s="151"/>
      <c r="C7" s="87" t="str">
        <f t="shared" ref="C7:I7" si="2">IF(ISBLANK(C6),"",VLOOKUP(C6,$B$110:$L$146,11,0))</f>
        <v>08H00-16H30</v>
      </c>
      <c r="D7" s="87" t="str">
        <f t="shared" si="2"/>
        <v>08H00-16H30</v>
      </c>
      <c r="E7" s="87" t="str">
        <f t="shared" si="2"/>
        <v>08H00-16H30</v>
      </c>
      <c r="F7" s="87" t="str">
        <f t="shared" si="2"/>
        <v>08H00-16H30</v>
      </c>
      <c r="G7" s="87" t="str">
        <f t="shared" si="2"/>
        <v>08H00-16H30</v>
      </c>
      <c r="H7" s="88">
        <f t="shared" si="2"/>
        <v>0</v>
      </c>
      <c r="I7" s="88">
        <f t="shared" si="2"/>
        <v>0</v>
      </c>
      <c r="J7" s="153"/>
      <c r="K7" s="139"/>
      <c r="L7" s="89"/>
    </row>
    <row r="8" spans="1:12" ht="13" customHeight="1" thickTop="1" thickBot="1" x14ac:dyDescent="0.25">
      <c r="A8" s="74">
        <f>7-(COUNTIF(C8:I8,"")+COUNTIF(C8:I8,$B$144))</f>
        <v>5</v>
      </c>
      <c r="B8" s="154" t="s">
        <v>1</v>
      </c>
      <c r="C8" s="86" t="s">
        <v>87</v>
      </c>
      <c r="D8" s="86" t="s">
        <v>87</v>
      </c>
      <c r="E8" s="86" t="s">
        <v>87</v>
      </c>
      <c r="F8" s="86" t="s">
        <v>87</v>
      </c>
      <c r="G8" s="86" t="s">
        <v>87</v>
      </c>
      <c r="H8" s="71" t="s">
        <v>95</v>
      </c>
      <c r="I8" s="71" t="s">
        <v>95</v>
      </c>
      <c r="J8" s="156"/>
      <c r="K8" s="139">
        <v>5</v>
      </c>
      <c r="L8" s="91"/>
    </row>
    <row r="9" spans="1:12" ht="13" customHeight="1" thickTop="1" thickBot="1" x14ac:dyDescent="0.25">
      <c r="A9" s="90"/>
      <c r="B9" s="155"/>
      <c r="C9" s="92" t="str">
        <f t="shared" ref="C9:I9" si="3">IF(ISBLANK(C8),"",VLOOKUP(C8,$B$110:$L$146,11,0))</f>
        <v>08H00-16H30</v>
      </c>
      <c r="D9" s="92" t="str">
        <f t="shared" si="3"/>
        <v>08H00-16H30</v>
      </c>
      <c r="E9" s="92" t="str">
        <f t="shared" si="3"/>
        <v>08H00-16H30</v>
      </c>
      <c r="F9" s="92" t="str">
        <f t="shared" si="3"/>
        <v>08H00-16H30</v>
      </c>
      <c r="G9" s="92" t="str">
        <f t="shared" si="3"/>
        <v>08H00-16H30</v>
      </c>
      <c r="H9" s="92">
        <f t="shared" si="3"/>
        <v>0</v>
      </c>
      <c r="I9" s="92">
        <f t="shared" si="3"/>
        <v>0</v>
      </c>
      <c r="J9" s="157"/>
      <c r="K9" s="139"/>
      <c r="L9" s="91"/>
    </row>
    <row r="10" spans="1:12" ht="13" customHeight="1" thickTop="1" x14ac:dyDescent="0.2">
      <c r="A10" s="74">
        <f>7-(COUNTIF(C10:I10,"")+COUNTIF(C10:I10,$B$144))</f>
        <v>5</v>
      </c>
      <c r="B10" s="158" t="s">
        <v>2</v>
      </c>
      <c r="C10" s="86" t="s">
        <v>40</v>
      </c>
      <c r="D10" s="86" t="s">
        <v>87</v>
      </c>
      <c r="E10" s="86" t="s">
        <v>87</v>
      </c>
      <c r="F10" s="86" t="s">
        <v>87</v>
      </c>
      <c r="G10" s="86" t="s">
        <v>87</v>
      </c>
      <c r="H10" s="71" t="s">
        <v>95</v>
      </c>
      <c r="I10" s="71" t="s">
        <v>95</v>
      </c>
      <c r="J10" s="160"/>
      <c r="K10" s="139">
        <v>5</v>
      </c>
      <c r="L10" s="91"/>
    </row>
    <row r="11" spans="1:12" ht="13" customHeight="1" thickBot="1" x14ac:dyDescent="0.25">
      <c r="A11" s="90"/>
      <c r="B11" s="159"/>
      <c r="C11" s="87">
        <f t="shared" ref="C11:I11" si="4">IF(ISBLANK(C10),"",VLOOKUP(C10,$B$110:$L$146,11,0))</f>
        <v>0</v>
      </c>
      <c r="D11" s="87" t="str">
        <f t="shared" si="4"/>
        <v>08H00-16H30</v>
      </c>
      <c r="E11" s="87" t="str">
        <f t="shared" si="4"/>
        <v>08H00-16H30</v>
      </c>
      <c r="F11" s="87" t="str">
        <f t="shared" si="4"/>
        <v>08H00-16H30</v>
      </c>
      <c r="G11" s="87" t="str">
        <f t="shared" si="4"/>
        <v>08H00-16H30</v>
      </c>
      <c r="H11" s="87">
        <f t="shared" si="4"/>
        <v>0</v>
      </c>
      <c r="I11" s="87">
        <f t="shared" si="4"/>
        <v>0</v>
      </c>
      <c r="J11" s="161" t="s">
        <v>44</v>
      </c>
      <c r="K11" s="139"/>
      <c r="L11" s="91"/>
    </row>
    <row r="12" spans="1:12" ht="13" customHeight="1" thickTop="1" x14ac:dyDescent="0.2">
      <c r="A12" s="74">
        <f>7-(COUNTIF(C12:I12,"")+COUNTIF(C12:I12,$B$144))</f>
        <v>5</v>
      </c>
      <c r="B12" s="158" t="s">
        <v>4</v>
      </c>
      <c r="C12" s="86" t="s">
        <v>87</v>
      </c>
      <c r="D12" s="86" t="s">
        <v>87</v>
      </c>
      <c r="E12" s="86" t="s">
        <v>87</v>
      </c>
      <c r="F12" s="86" t="s">
        <v>87</v>
      </c>
      <c r="G12" s="86" t="s">
        <v>87</v>
      </c>
      <c r="H12" s="71" t="s">
        <v>95</v>
      </c>
      <c r="I12" s="71" t="s">
        <v>95</v>
      </c>
      <c r="J12" s="160"/>
      <c r="K12" s="139">
        <v>5</v>
      </c>
      <c r="L12" s="91"/>
    </row>
    <row r="13" spans="1:12" s="39" customFormat="1" ht="13" customHeight="1" thickBot="1" x14ac:dyDescent="0.25">
      <c r="A13" s="90"/>
      <c r="B13" s="159"/>
      <c r="C13" s="87" t="str">
        <f t="shared" ref="C13:I13" si="5">IF(ISBLANK(C12),"",VLOOKUP(C12,$B$110:$L$146,11,0))</f>
        <v>08H00-16H30</v>
      </c>
      <c r="D13" s="87" t="str">
        <f t="shared" si="5"/>
        <v>08H00-16H30</v>
      </c>
      <c r="E13" s="87" t="str">
        <f t="shared" si="5"/>
        <v>08H00-16H30</v>
      </c>
      <c r="F13" s="87" t="str">
        <f t="shared" si="5"/>
        <v>08H00-16H30</v>
      </c>
      <c r="G13" s="87" t="str">
        <f t="shared" si="5"/>
        <v>08H00-16H30</v>
      </c>
      <c r="H13" s="87">
        <f t="shared" si="5"/>
        <v>0</v>
      </c>
      <c r="I13" s="87">
        <f t="shared" si="5"/>
        <v>0</v>
      </c>
      <c r="J13" s="161" t="s">
        <v>45</v>
      </c>
      <c r="K13" s="139"/>
      <c r="L13" s="91"/>
    </row>
    <row r="14" spans="1:12" s="39" customFormat="1" ht="13" customHeight="1" thickTop="1" x14ac:dyDescent="0.2">
      <c r="A14" s="74">
        <f>7-(COUNTIF(C14:I14,"")+COUNTIF(C14:I14,$B$144))</f>
        <v>5</v>
      </c>
      <c r="B14" s="158" t="s">
        <v>5</v>
      </c>
      <c r="C14" s="86" t="s">
        <v>87</v>
      </c>
      <c r="D14" s="86" t="s">
        <v>87</v>
      </c>
      <c r="E14" s="86" t="s">
        <v>87</v>
      </c>
      <c r="F14" s="86" t="s">
        <v>87</v>
      </c>
      <c r="G14" s="86" t="s">
        <v>87</v>
      </c>
      <c r="H14" s="71" t="s">
        <v>95</v>
      </c>
      <c r="I14" s="71" t="s">
        <v>95</v>
      </c>
      <c r="J14" s="160" t="s">
        <v>78</v>
      </c>
      <c r="K14" s="139">
        <v>5</v>
      </c>
      <c r="L14" s="91"/>
    </row>
    <row r="15" spans="1:12" s="39" customFormat="1" ht="13" customHeight="1" thickBot="1" x14ac:dyDescent="0.25">
      <c r="A15" s="90"/>
      <c r="B15" s="159"/>
      <c r="C15" s="87" t="str">
        <f t="shared" ref="C15:I15" si="6">IF(ISBLANK(C14),"",VLOOKUP(C14,$B$110:$L$146,11,0))</f>
        <v>08H00-16H30</v>
      </c>
      <c r="D15" s="87" t="str">
        <f t="shared" si="6"/>
        <v>08H00-16H30</v>
      </c>
      <c r="E15" s="87" t="str">
        <f t="shared" si="6"/>
        <v>08H00-16H30</v>
      </c>
      <c r="F15" s="87" t="str">
        <f t="shared" si="6"/>
        <v>08H00-16H30</v>
      </c>
      <c r="G15" s="87" t="str">
        <f t="shared" si="6"/>
        <v>08H00-16H30</v>
      </c>
      <c r="H15" s="87">
        <f t="shared" si="6"/>
        <v>0</v>
      </c>
      <c r="I15" s="87">
        <f t="shared" si="6"/>
        <v>0</v>
      </c>
      <c r="J15" s="161" t="s">
        <v>45</v>
      </c>
      <c r="K15" s="139"/>
      <c r="L15" s="91"/>
    </row>
    <row r="16" spans="1:12" s="39" customFormat="1" ht="13" customHeight="1" thickTop="1" x14ac:dyDescent="0.2">
      <c r="A16" s="74">
        <f>7-(COUNTIF(C16:I16,"")+COUNTIF(C16:I16,$B$144))</f>
        <v>5</v>
      </c>
      <c r="B16" s="158" t="s">
        <v>6</v>
      </c>
      <c r="C16" s="86" t="s">
        <v>87</v>
      </c>
      <c r="D16" s="86" t="s">
        <v>87</v>
      </c>
      <c r="E16" s="86" t="s">
        <v>87</v>
      </c>
      <c r="F16" s="86" t="s">
        <v>87</v>
      </c>
      <c r="G16" s="86" t="s">
        <v>87</v>
      </c>
      <c r="H16" s="71" t="s">
        <v>95</v>
      </c>
      <c r="I16" s="71" t="s">
        <v>95</v>
      </c>
      <c r="J16" s="160"/>
      <c r="K16" s="139">
        <v>5</v>
      </c>
      <c r="L16" s="91"/>
    </row>
    <row r="17" spans="1:12" s="39" customFormat="1" ht="13" customHeight="1" thickBot="1" x14ac:dyDescent="0.25">
      <c r="A17" s="90"/>
      <c r="B17" s="159"/>
      <c r="C17" s="87" t="str">
        <f t="shared" ref="C17:I17" si="7">IF(ISBLANK(C16),"",VLOOKUP(C16,$B$110:$L$146,11,0))</f>
        <v>08H00-16H30</v>
      </c>
      <c r="D17" s="87" t="str">
        <f t="shared" si="7"/>
        <v>08H00-16H30</v>
      </c>
      <c r="E17" s="87" t="str">
        <f t="shared" si="7"/>
        <v>08H00-16H30</v>
      </c>
      <c r="F17" s="87" t="str">
        <f t="shared" si="7"/>
        <v>08H00-16H30</v>
      </c>
      <c r="G17" s="87" t="str">
        <f t="shared" si="7"/>
        <v>08H00-16H30</v>
      </c>
      <c r="H17" s="87">
        <f t="shared" si="7"/>
        <v>0</v>
      </c>
      <c r="I17" s="87">
        <f t="shared" si="7"/>
        <v>0</v>
      </c>
      <c r="J17" s="161"/>
      <c r="K17" s="139"/>
      <c r="L17" s="91"/>
    </row>
    <row r="18" spans="1:12" s="39" customFormat="1" ht="13" customHeight="1" thickTop="1" x14ac:dyDescent="0.2">
      <c r="A18" s="74">
        <f>7-(COUNTIF(C18:I18,"")+COUNTIF(C18:I18,$B$144))</f>
        <v>5</v>
      </c>
      <c r="B18" s="151" t="s">
        <v>7</v>
      </c>
      <c r="C18" s="88" t="s">
        <v>89</v>
      </c>
      <c r="D18" s="88" t="s">
        <v>89</v>
      </c>
      <c r="E18" s="88" t="s">
        <v>89</v>
      </c>
      <c r="F18" s="88" t="s">
        <v>89</v>
      </c>
      <c r="G18" s="88" t="s">
        <v>89</v>
      </c>
      <c r="H18" s="71" t="s">
        <v>95</v>
      </c>
      <c r="I18" s="71" t="s">
        <v>95</v>
      </c>
      <c r="J18" s="153"/>
      <c r="K18" s="139">
        <v>2.5</v>
      </c>
      <c r="L18" s="91"/>
    </row>
    <row r="19" spans="1:12" s="39" customFormat="1" ht="13" customHeight="1" thickBot="1" x14ac:dyDescent="0.25">
      <c r="A19" s="90"/>
      <c r="B19" s="151"/>
      <c r="C19" s="88" t="str">
        <f t="shared" ref="C19:I19" si="8">IF(ISBLANK(C18),"",VLOOKUP(C18,$B$110:$L$146,11,0))</f>
        <v>18H00-22H00</v>
      </c>
      <c r="D19" s="88" t="str">
        <f t="shared" si="8"/>
        <v>18H00-22H00</v>
      </c>
      <c r="E19" s="88" t="str">
        <f t="shared" si="8"/>
        <v>18H00-22H00</v>
      </c>
      <c r="F19" s="88" t="str">
        <f t="shared" si="8"/>
        <v>18H00-22H00</v>
      </c>
      <c r="G19" s="88" t="str">
        <f t="shared" si="8"/>
        <v>18H00-22H00</v>
      </c>
      <c r="H19" s="88">
        <f t="shared" si="8"/>
        <v>0</v>
      </c>
      <c r="I19" s="88">
        <f t="shared" si="8"/>
        <v>0</v>
      </c>
      <c r="J19" s="153"/>
      <c r="K19" s="139"/>
      <c r="L19" s="91"/>
    </row>
    <row r="20" spans="1:12" s="39" customFormat="1" ht="13" customHeight="1" thickTop="1" x14ac:dyDescent="0.2">
      <c r="A20" s="74">
        <f>7-(COUNTIF(C20:I20,"")+COUNTIF(C20:I20,$B$144))</f>
        <v>4</v>
      </c>
      <c r="B20" s="158" t="s">
        <v>111</v>
      </c>
      <c r="C20" s="71"/>
      <c r="D20" s="71" t="s">
        <v>154</v>
      </c>
      <c r="E20" s="71"/>
      <c r="F20" s="71" t="s">
        <v>149</v>
      </c>
      <c r="G20" s="71" t="s">
        <v>152</v>
      </c>
      <c r="H20" s="71"/>
      <c r="I20" s="71" t="s">
        <v>82</v>
      </c>
      <c r="J20" s="160" t="s">
        <v>64</v>
      </c>
      <c r="K20" s="139">
        <v>4</v>
      </c>
      <c r="L20" s="91"/>
    </row>
    <row r="21" spans="1:12" s="39" customFormat="1" ht="13" customHeight="1" thickBot="1" x14ac:dyDescent="0.25">
      <c r="A21" s="90"/>
      <c r="B21" s="159"/>
      <c r="C21" s="87" t="str">
        <f t="shared" ref="C21:I21" si="9">IF(ISBLANK(C20),"",VLOOKUP(C20,$B$110:$L$146,11,0))</f>
        <v/>
      </c>
      <c r="D21" s="87" t="str">
        <f t="shared" si="9"/>
        <v>13H00-21H30</v>
      </c>
      <c r="E21" s="87" t="str">
        <f t="shared" si="9"/>
        <v/>
      </c>
      <c r="F21" s="87" t="str">
        <f t="shared" si="9"/>
        <v>09H00-17H30</v>
      </c>
      <c r="G21" s="87" t="str">
        <f t="shared" si="9"/>
        <v>08H30-17H00</v>
      </c>
      <c r="H21" s="87" t="str">
        <f t="shared" si="9"/>
        <v/>
      </c>
      <c r="I21" s="87" t="str">
        <f t="shared" si="9"/>
        <v>06H00-14H30</v>
      </c>
      <c r="J21" s="161"/>
      <c r="K21" s="139"/>
      <c r="L21" s="91"/>
    </row>
    <row r="22" spans="1:12" ht="13" customHeight="1" thickTop="1" x14ac:dyDescent="0.2">
      <c r="A22" s="74">
        <f>7-(COUNTIF(C22:I22,"")+COUNTIF(C22:I22,$B$144))</f>
        <v>5</v>
      </c>
      <c r="B22" s="164" t="s">
        <v>3</v>
      </c>
      <c r="C22" s="88" t="s">
        <v>95</v>
      </c>
      <c r="D22" s="88" t="s">
        <v>122</v>
      </c>
      <c r="E22" s="88" t="s">
        <v>90</v>
      </c>
      <c r="F22" s="88" t="s">
        <v>84</v>
      </c>
      <c r="G22" s="71" t="s">
        <v>92</v>
      </c>
      <c r="H22" s="88" t="s">
        <v>139</v>
      </c>
      <c r="I22" s="88" t="s">
        <v>95</v>
      </c>
      <c r="J22" s="160" t="s">
        <v>44</v>
      </c>
      <c r="K22" s="139">
        <v>5</v>
      </c>
      <c r="L22" s="91"/>
    </row>
    <row r="23" spans="1:12" ht="13" customHeight="1" thickBot="1" x14ac:dyDescent="0.25">
      <c r="A23" s="90"/>
      <c r="B23" s="165"/>
      <c r="C23" s="87">
        <f t="shared" ref="C23:I23" si="10">IF(ISBLANK(C22),"",VLOOKUP(C22,$B$110:$L$146,11,0))</f>
        <v>0</v>
      </c>
      <c r="D23" s="87" t="str">
        <f t="shared" si="10"/>
        <v>06H00-14H30</v>
      </c>
      <c r="E23" s="87" t="str">
        <f t="shared" si="10"/>
        <v>06H00-14H30</v>
      </c>
      <c r="F23" s="87" t="str">
        <f t="shared" si="10"/>
        <v>13H30-22H00</v>
      </c>
      <c r="G23" s="87" t="str">
        <f t="shared" si="10"/>
        <v>10H00-18H30</v>
      </c>
      <c r="H23" s="87" t="str">
        <f t="shared" si="10"/>
        <v>14H00-22H30</v>
      </c>
      <c r="I23" s="87">
        <f t="shared" si="10"/>
        <v>0</v>
      </c>
      <c r="J23" s="161"/>
      <c r="K23" s="139"/>
      <c r="L23" s="91"/>
    </row>
    <row r="24" spans="1:12" s="39" customFormat="1" ht="13" customHeight="1" thickTop="1" x14ac:dyDescent="0.2">
      <c r="A24" s="74">
        <f>7-(COUNTIF(C24:I24,"")+COUNTIF(C24:I24,$B$144))</f>
        <v>4</v>
      </c>
      <c r="B24" s="166" t="s">
        <v>8</v>
      </c>
      <c r="C24" s="71"/>
      <c r="D24" s="71" t="s">
        <v>31</v>
      </c>
      <c r="E24" s="71"/>
      <c r="F24" s="71"/>
      <c r="G24" s="71" t="s">
        <v>122</v>
      </c>
      <c r="H24" s="71" t="s">
        <v>83</v>
      </c>
      <c r="I24" s="71" t="s">
        <v>139</v>
      </c>
      <c r="J24" s="152" t="s">
        <v>46</v>
      </c>
      <c r="K24" s="139">
        <v>4</v>
      </c>
      <c r="L24" s="91"/>
    </row>
    <row r="25" spans="1:12" s="39" customFormat="1" ht="13" customHeight="1" thickBot="1" x14ac:dyDescent="0.25">
      <c r="A25" s="90"/>
      <c r="B25" s="163"/>
      <c r="C25" s="87" t="str">
        <f t="shared" ref="C25:I25" si="11">IF(ISBLANK(C24),"",VLOOKUP(C24,$B$110:$L$146,11,0))</f>
        <v/>
      </c>
      <c r="D25" s="87" t="str">
        <f t="shared" si="11"/>
        <v>06H00-14H30</v>
      </c>
      <c r="E25" s="87" t="str">
        <f t="shared" si="11"/>
        <v/>
      </c>
      <c r="F25" s="87" t="str">
        <f t="shared" si="11"/>
        <v/>
      </c>
      <c r="G25" s="87" t="str">
        <f t="shared" si="11"/>
        <v>06H00-14H30</v>
      </c>
      <c r="H25" s="87" t="str">
        <f t="shared" si="11"/>
        <v>09H00-17H30</v>
      </c>
      <c r="I25" s="87" t="str">
        <f t="shared" si="11"/>
        <v>14H00-22H30</v>
      </c>
      <c r="J25" s="161" t="s">
        <v>46</v>
      </c>
      <c r="K25" s="139"/>
      <c r="L25" s="91"/>
    </row>
    <row r="26" spans="1:12" s="39" customFormat="1" ht="13" customHeight="1" thickTop="1" x14ac:dyDescent="0.2">
      <c r="A26" s="74">
        <f>7-(COUNTIF(C26:I26,"")+COUNTIF(C26:I26,$B$144))</f>
        <v>5</v>
      </c>
      <c r="B26" s="158" t="s">
        <v>9</v>
      </c>
      <c r="C26" s="71" t="s">
        <v>31</v>
      </c>
      <c r="D26" s="71" t="s">
        <v>82</v>
      </c>
      <c r="E26" s="71" t="s">
        <v>84</v>
      </c>
      <c r="F26" s="71" t="s">
        <v>92</v>
      </c>
      <c r="G26" s="71" t="s">
        <v>139</v>
      </c>
      <c r="H26" s="71" t="s">
        <v>95</v>
      </c>
      <c r="I26" s="71" t="s">
        <v>95</v>
      </c>
      <c r="J26" s="160" t="s">
        <v>47</v>
      </c>
      <c r="K26" s="139">
        <v>5</v>
      </c>
      <c r="L26" s="91"/>
    </row>
    <row r="27" spans="1:12" s="39" customFormat="1" ht="13" customHeight="1" thickBot="1" x14ac:dyDescent="0.25">
      <c r="A27" s="90"/>
      <c r="B27" s="159"/>
      <c r="C27" s="87" t="str">
        <f t="shared" ref="C27:I27" si="12">IF(ISBLANK(C26),"",VLOOKUP(C26,$B$110:$L$146,11,0))</f>
        <v>06H00-14H30</v>
      </c>
      <c r="D27" s="87" t="str">
        <f t="shared" si="12"/>
        <v>06H00-14H30</v>
      </c>
      <c r="E27" s="87" t="str">
        <f t="shared" si="12"/>
        <v>13H30-22H00</v>
      </c>
      <c r="F27" s="87" t="str">
        <f t="shared" si="12"/>
        <v>10H00-18H30</v>
      </c>
      <c r="G27" s="87" t="str">
        <f t="shared" si="12"/>
        <v>14H00-22H30</v>
      </c>
      <c r="H27" s="87">
        <f t="shared" si="12"/>
        <v>0</v>
      </c>
      <c r="I27" s="87">
        <f t="shared" si="12"/>
        <v>0</v>
      </c>
      <c r="J27" s="161" t="s">
        <v>47</v>
      </c>
      <c r="K27" s="139"/>
      <c r="L27" s="91"/>
    </row>
    <row r="28" spans="1:12" s="39" customFormat="1" ht="13" customHeight="1" thickTop="1" x14ac:dyDescent="0.2">
      <c r="A28" s="74">
        <f>7-(COUNTIF(C28:I28,"")+COUNTIF(C28:I28,$B$144))</f>
        <v>4</v>
      </c>
      <c r="B28" s="158" t="s">
        <v>10</v>
      </c>
      <c r="C28" s="71" t="s">
        <v>110</v>
      </c>
      <c r="D28" s="71"/>
      <c r="E28" s="71"/>
      <c r="F28" s="71" t="s">
        <v>91</v>
      </c>
      <c r="G28" s="71" t="s">
        <v>110</v>
      </c>
      <c r="H28" s="71" t="s">
        <v>138</v>
      </c>
      <c r="I28" s="71"/>
      <c r="J28" s="160" t="s">
        <v>48</v>
      </c>
      <c r="K28" s="139">
        <v>3</v>
      </c>
      <c r="L28" s="91"/>
    </row>
    <row r="29" spans="1:12" s="39" customFormat="1" ht="13" customHeight="1" thickBot="1" x14ac:dyDescent="0.25">
      <c r="A29" s="90"/>
      <c r="B29" s="159"/>
      <c r="C29" s="87" t="str">
        <f t="shared" ref="C29:I29" si="13">IF(ISBLANK(C28),"",VLOOKUP(C28,$B$110:$L$146,11,0))</f>
        <v>21H45-06H15</v>
      </c>
      <c r="D29" s="87" t="str">
        <f t="shared" si="13"/>
        <v/>
      </c>
      <c r="E29" s="87" t="str">
        <f t="shared" si="13"/>
        <v/>
      </c>
      <c r="F29" s="87" t="str">
        <f t="shared" si="13"/>
        <v>06H00-14H30</v>
      </c>
      <c r="G29" s="87" t="str">
        <f t="shared" si="13"/>
        <v>21H45-06H15</v>
      </c>
      <c r="H29" s="87" t="str">
        <f t="shared" si="13"/>
        <v>22H00-06H30</v>
      </c>
      <c r="I29" s="87" t="str">
        <f t="shared" si="13"/>
        <v/>
      </c>
      <c r="J29" s="161" t="s">
        <v>48</v>
      </c>
      <c r="K29" s="139"/>
      <c r="L29" s="91"/>
    </row>
    <row r="30" spans="1:12" s="39" customFormat="1" ht="13" customHeight="1" thickTop="1" x14ac:dyDescent="0.2">
      <c r="A30" s="74">
        <f>7-(COUNTIF(C30:I30,"")+COUNTIF(C30:I30,$B$144))</f>
        <v>5</v>
      </c>
      <c r="B30" s="158" t="s">
        <v>11</v>
      </c>
      <c r="C30" s="71" t="s">
        <v>79</v>
      </c>
      <c r="D30" s="71" t="s">
        <v>82</v>
      </c>
      <c r="E30" s="71"/>
      <c r="F30" s="71" t="s">
        <v>81</v>
      </c>
      <c r="G30" s="71" t="s">
        <v>40</v>
      </c>
      <c r="H30" s="71" t="s">
        <v>40</v>
      </c>
      <c r="I30" s="71" t="s">
        <v>95</v>
      </c>
      <c r="J30" s="160" t="s">
        <v>49</v>
      </c>
      <c r="K30" s="139">
        <v>5</v>
      </c>
      <c r="L30" s="91"/>
    </row>
    <row r="31" spans="1:12" s="39" customFormat="1" ht="13" customHeight="1" thickBot="1" x14ac:dyDescent="0.25">
      <c r="A31" s="74"/>
      <c r="B31" s="159"/>
      <c r="C31" s="87" t="str">
        <f t="shared" ref="C31:I31" si="14">IF(ISBLANK(C30),"",VLOOKUP(C30,$B$110:$L$146,11,0))</f>
        <v>09H00-17H30</v>
      </c>
      <c r="D31" s="87" t="str">
        <f t="shared" si="14"/>
        <v>06H00-14H30</v>
      </c>
      <c r="E31" s="87" t="str">
        <f t="shared" si="14"/>
        <v/>
      </c>
      <c r="F31" s="87" t="str">
        <f t="shared" si="14"/>
        <v>14H30-23H00</v>
      </c>
      <c r="G31" s="87">
        <f t="shared" si="14"/>
        <v>0</v>
      </c>
      <c r="H31" s="87">
        <f t="shared" si="14"/>
        <v>0</v>
      </c>
      <c r="I31" s="87">
        <f t="shared" si="14"/>
        <v>0</v>
      </c>
      <c r="J31" s="161" t="s">
        <v>49</v>
      </c>
      <c r="K31" s="139"/>
      <c r="L31" s="91"/>
    </row>
    <row r="32" spans="1:12" s="39" customFormat="1" ht="13" customHeight="1" thickTop="1" x14ac:dyDescent="0.2">
      <c r="A32" s="74">
        <f>7-(COUNTIF(C32:I32,"")+COUNTIF(C32:I32,$B$144))</f>
        <v>5</v>
      </c>
      <c r="B32" s="162" t="s">
        <v>12</v>
      </c>
      <c r="C32" s="71"/>
      <c r="D32" s="71" t="s">
        <v>137</v>
      </c>
      <c r="E32" s="71" t="s">
        <v>152</v>
      </c>
      <c r="F32" s="71" t="s">
        <v>82</v>
      </c>
      <c r="G32" s="71"/>
      <c r="H32" s="71" t="s">
        <v>81</v>
      </c>
      <c r="I32" s="71" t="s">
        <v>79</v>
      </c>
      <c r="J32" s="160" t="s">
        <v>50</v>
      </c>
      <c r="K32" s="139">
        <v>5</v>
      </c>
      <c r="L32" s="91"/>
    </row>
    <row r="33" spans="1:12" s="39" customFormat="1" ht="13" customHeight="1" thickBot="1" x14ac:dyDescent="0.25">
      <c r="A33" s="90"/>
      <c r="B33" s="163"/>
      <c r="C33" s="87" t="str">
        <f t="shared" ref="C33:I33" si="15">IF(ISBLANK(C32),"",VLOOKUP(C32,$B$110:$L$146,11,0))</f>
        <v/>
      </c>
      <c r="D33" s="87" t="str">
        <f t="shared" si="15"/>
        <v>06H00-14H30</v>
      </c>
      <c r="E33" s="87" t="str">
        <f t="shared" si="15"/>
        <v>08H30-17H00</v>
      </c>
      <c r="F33" s="87" t="str">
        <f t="shared" si="15"/>
        <v>06H00-14H30</v>
      </c>
      <c r="G33" s="87" t="str">
        <f t="shared" si="15"/>
        <v/>
      </c>
      <c r="H33" s="87" t="str">
        <f t="shared" si="15"/>
        <v>14H30-23H00</v>
      </c>
      <c r="I33" s="87" t="str">
        <f t="shared" si="15"/>
        <v>09H00-17H30</v>
      </c>
      <c r="J33" s="161" t="s">
        <v>50</v>
      </c>
      <c r="K33" s="139"/>
      <c r="L33" s="91"/>
    </row>
    <row r="34" spans="1:12" s="39" customFormat="1" ht="13" customHeight="1" thickTop="1" x14ac:dyDescent="0.2">
      <c r="A34" s="74">
        <f>7-(COUNTIF(C34:I34,"")+COUNTIF(C34:I34,$B$144))</f>
        <v>5</v>
      </c>
      <c r="B34" s="164" t="s">
        <v>13</v>
      </c>
      <c r="C34" s="71" t="s">
        <v>40</v>
      </c>
      <c r="D34" s="71" t="s">
        <v>40</v>
      </c>
      <c r="E34" s="71" t="s">
        <v>40</v>
      </c>
      <c r="F34" s="71" t="s">
        <v>40</v>
      </c>
      <c r="G34" s="71" t="s">
        <v>40</v>
      </c>
      <c r="H34" s="71" t="s">
        <v>95</v>
      </c>
      <c r="I34" s="71" t="s">
        <v>95</v>
      </c>
      <c r="J34" s="160" t="s">
        <v>51</v>
      </c>
      <c r="K34" s="139">
        <v>3</v>
      </c>
      <c r="L34" s="91"/>
    </row>
    <row r="35" spans="1:12" s="39" customFormat="1" ht="13" customHeight="1" thickBot="1" x14ac:dyDescent="0.25">
      <c r="A35" s="90"/>
      <c r="B35" s="165"/>
      <c r="C35" s="87">
        <f t="shared" ref="C35:I35" si="16">IF(ISBLANK(C34),"",VLOOKUP(C34,$B$110:$L$146,11,0))</f>
        <v>0</v>
      </c>
      <c r="D35" s="87">
        <f t="shared" si="16"/>
        <v>0</v>
      </c>
      <c r="E35" s="87">
        <f t="shared" si="16"/>
        <v>0</v>
      </c>
      <c r="F35" s="87">
        <f t="shared" si="16"/>
        <v>0</v>
      </c>
      <c r="G35" s="87">
        <f t="shared" si="16"/>
        <v>0</v>
      </c>
      <c r="H35" s="87">
        <f t="shared" si="16"/>
        <v>0</v>
      </c>
      <c r="I35" s="87">
        <f t="shared" si="16"/>
        <v>0</v>
      </c>
      <c r="J35" s="161" t="s">
        <v>51</v>
      </c>
      <c r="K35" s="139"/>
      <c r="L35" s="91"/>
    </row>
    <row r="36" spans="1:12" s="39" customFormat="1" ht="13" customHeight="1" thickTop="1" x14ac:dyDescent="0.2">
      <c r="A36" s="74">
        <f>7-(COUNTIF(C36:I36,"")+COUNTIF(C36:I36,$B$144))</f>
        <v>5</v>
      </c>
      <c r="B36" s="171" t="s">
        <v>43</v>
      </c>
      <c r="C36" s="71" t="s">
        <v>138</v>
      </c>
      <c r="D36" s="71"/>
      <c r="E36" s="71" t="s">
        <v>93</v>
      </c>
      <c r="F36" s="71" t="s">
        <v>80</v>
      </c>
      <c r="G36" s="71" t="s">
        <v>138</v>
      </c>
      <c r="H36" s="71" t="s">
        <v>110</v>
      </c>
      <c r="I36" s="71"/>
      <c r="J36" s="160" t="s">
        <v>114</v>
      </c>
      <c r="K36" s="139">
        <v>5</v>
      </c>
      <c r="L36" s="91"/>
    </row>
    <row r="37" spans="1:12" s="39" customFormat="1" ht="13" customHeight="1" thickBot="1" x14ac:dyDescent="0.25">
      <c r="A37" s="90"/>
      <c r="B37" s="172"/>
      <c r="C37" s="87" t="str">
        <f t="shared" ref="C37:I37" si="17">IF(ISBLANK(C36),"",VLOOKUP(C36,$B$110:$L$146,11,0))</f>
        <v>22H00-06H30</v>
      </c>
      <c r="D37" s="87" t="str">
        <f t="shared" si="17"/>
        <v/>
      </c>
      <c r="E37" s="87" t="str">
        <f t="shared" si="17"/>
        <v>06H00-14H30</v>
      </c>
      <c r="F37" s="87" t="str">
        <f t="shared" si="17"/>
        <v>06H00-14H30</v>
      </c>
      <c r="G37" s="87" t="str">
        <f t="shared" si="17"/>
        <v>22H00-06H30</v>
      </c>
      <c r="H37" s="87" t="str">
        <f t="shared" si="17"/>
        <v>21H45-06H15</v>
      </c>
      <c r="I37" s="87" t="str">
        <f t="shared" si="17"/>
        <v/>
      </c>
      <c r="J37" s="161"/>
      <c r="K37" s="139"/>
      <c r="L37" s="91"/>
    </row>
    <row r="38" spans="1:12" s="39" customFormat="1" ht="13" customHeight="1" thickTop="1" x14ac:dyDescent="0.2">
      <c r="A38" s="74">
        <f>7-(COUNTIF(C38:I38,"")+COUNTIF(C38:I38,$B$144))</f>
        <v>4</v>
      </c>
      <c r="B38" s="158" t="s">
        <v>14</v>
      </c>
      <c r="C38" s="71"/>
      <c r="D38" s="86" t="s">
        <v>149</v>
      </c>
      <c r="E38" s="71" t="s">
        <v>82</v>
      </c>
      <c r="F38" s="71"/>
      <c r="G38" s="71" t="s">
        <v>85</v>
      </c>
      <c r="H38" s="71"/>
      <c r="I38" s="71" t="s">
        <v>90</v>
      </c>
      <c r="J38" s="160" t="s">
        <v>52</v>
      </c>
      <c r="K38" s="139">
        <v>4</v>
      </c>
      <c r="L38" s="91"/>
    </row>
    <row r="39" spans="1:12" s="39" customFormat="1" ht="13" customHeight="1" thickBot="1" x14ac:dyDescent="0.25">
      <c r="A39" s="90"/>
      <c r="B39" s="159"/>
      <c r="C39" s="87" t="str">
        <f t="shared" ref="C39:I39" si="18">IF(ISBLANK(C38),"",VLOOKUP(C38,$B$110:$L$146,11,0))</f>
        <v/>
      </c>
      <c r="D39" s="87" t="str">
        <f t="shared" si="18"/>
        <v>09H00-17H30</v>
      </c>
      <c r="E39" s="87" t="str">
        <f t="shared" si="18"/>
        <v>06H00-14H30</v>
      </c>
      <c r="F39" s="87" t="str">
        <f t="shared" si="18"/>
        <v/>
      </c>
      <c r="G39" s="87" t="str">
        <f t="shared" si="18"/>
        <v>14H30-23H00</v>
      </c>
      <c r="H39" s="87" t="str">
        <f t="shared" si="18"/>
        <v/>
      </c>
      <c r="I39" s="87" t="str">
        <f t="shared" si="18"/>
        <v>06H00-14H30</v>
      </c>
      <c r="J39" s="161" t="s">
        <v>52</v>
      </c>
      <c r="K39" s="139"/>
      <c r="L39" s="91"/>
    </row>
    <row r="40" spans="1:12" s="39" customFormat="1" ht="13" customHeight="1" thickTop="1" x14ac:dyDescent="0.2">
      <c r="A40" s="74">
        <f>7-(COUNTIF(C40:I40,"")+COUNTIF(C40:I40,$B$144))</f>
        <v>5</v>
      </c>
      <c r="B40" s="162" t="s">
        <v>15</v>
      </c>
      <c r="C40" s="71" t="s">
        <v>40</v>
      </c>
      <c r="D40" s="71" t="s">
        <v>40</v>
      </c>
      <c r="E40" s="71" t="s">
        <v>40</v>
      </c>
      <c r="F40" s="71" t="s">
        <v>154</v>
      </c>
      <c r="G40" s="71" t="s">
        <v>79</v>
      </c>
      <c r="H40" s="71" t="s">
        <v>95</v>
      </c>
      <c r="I40" s="71" t="s">
        <v>95</v>
      </c>
      <c r="J40" s="160" t="s">
        <v>53</v>
      </c>
      <c r="K40" s="139">
        <v>5</v>
      </c>
      <c r="L40" s="91"/>
    </row>
    <row r="41" spans="1:12" s="39" customFormat="1" ht="13" customHeight="1" thickBot="1" x14ac:dyDescent="0.25">
      <c r="A41" s="90"/>
      <c r="B41" s="163"/>
      <c r="C41" s="87">
        <f t="shared" ref="C41:I41" si="19">IF(ISBLANK(C40),"",VLOOKUP(C40,$B$110:$L$146,11,0))</f>
        <v>0</v>
      </c>
      <c r="D41" s="87">
        <f t="shared" si="19"/>
        <v>0</v>
      </c>
      <c r="E41" s="87">
        <f t="shared" si="19"/>
        <v>0</v>
      </c>
      <c r="F41" s="87" t="str">
        <f t="shared" si="19"/>
        <v>13H00-21H30</v>
      </c>
      <c r="G41" s="87" t="str">
        <f t="shared" si="19"/>
        <v>09H00-17H30</v>
      </c>
      <c r="H41" s="87">
        <f t="shared" si="19"/>
        <v>0</v>
      </c>
      <c r="I41" s="87">
        <f t="shared" si="19"/>
        <v>0</v>
      </c>
      <c r="J41" s="161" t="s">
        <v>54</v>
      </c>
      <c r="K41" s="139"/>
      <c r="L41" s="91"/>
    </row>
    <row r="42" spans="1:12" s="39" customFormat="1" ht="13" customHeight="1" thickTop="1" x14ac:dyDescent="0.2">
      <c r="A42" s="74">
        <f>7-(COUNTIF(C42:I42,"")+COUNTIF(C42:I42,$B$144))</f>
        <v>5</v>
      </c>
      <c r="B42" s="151" t="s">
        <v>119</v>
      </c>
      <c r="C42" s="88" t="s">
        <v>91</v>
      </c>
      <c r="D42" s="88" t="s">
        <v>83</v>
      </c>
      <c r="E42" s="71" t="s">
        <v>80</v>
      </c>
      <c r="F42" s="88" t="s">
        <v>139</v>
      </c>
      <c r="G42" s="71" t="s">
        <v>84</v>
      </c>
      <c r="H42" s="71" t="s">
        <v>95</v>
      </c>
      <c r="I42" s="71" t="s">
        <v>95</v>
      </c>
      <c r="J42" s="153" t="s">
        <v>73</v>
      </c>
      <c r="K42" s="139">
        <v>5</v>
      </c>
      <c r="L42" s="91"/>
    </row>
    <row r="43" spans="1:12" s="39" customFormat="1" ht="13" customHeight="1" thickBot="1" x14ac:dyDescent="0.25">
      <c r="A43" s="90"/>
      <c r="B43" s="167"/>
      <c r="C43" s="93" t="str">
        <f t="shared" ref="C43:I43" si="20">IF(ISBLANK(C42),"",VLOOKUP(C42,$B$110:$L$146,11,0))</f>
        <v>06H00-14H30</v>
      </c>
      <c r="D43" s="93" t="str">
        <f t="shared" si="20"/>
        <v>09H00-17H30</v>
      </c>
      <c r="E43" s="93" t="str">
        <f t="shared" si="20"/>
        <v>06H00-14H30</v>
      </c>
      <c r="F43" s="93" t="str">
        <f t="shared" si="20"/>
        <v>14H00-22H30</v>
      </c>
      <c r="G43" s="93" t="str">
        <f t="shared" si="20"/>
        <v>13H30-22H00</v>
      </c>
      <c r="H43" s="93">
        <f t="shared" si="20"/>
        <v>0</v>
      </c>
      <c r="I43" s="93">
        <f t="shared" si="20"/>
        <v>0</v>
      </c>
      <c r="J43" s="168"/>
      <c r="K43" s="139"/>
      <c r="L43" s="91"/>
    </row>
    <row r="44" spans="1:12" s="39" customFormat="1" ht="13" customHeight="1" thickTop="1" x14ac:dyDescent="0.2">
      <c r="A44" s="74">
        <f>7-(COUNTIF(C44:I44,"")+COUNTIF(C44:I44,$B$144))</f>
        <v>5</v>
      </c>
      <c r="B44" s="158" t="s">
        <v>16</v>
      </c>
      <c r="C44" s="71" t="s">
        <v>81</v>
      </c>
      <c r="D44" s="71" t="s">
        <v>92</v>
      </c>
      <c r="E44" s="71"/>
      <c r="F44" s="71" t="s">
        <v>84</v>
      </c>
      <c r="G44" s="71"/>
      <c r="H44" s="71" t="s">
        <v>91</v>
      </c>
      <c r="I44" s="71" t="s">
        <v>31</v>
      </c>
      <c r="J44" s="160" t="s">
        <v>54</v>
      </c>
      <c r="K44" s="139">
        <v>5</v>
      </c>
      <c r="L44" s="91"/>
    </row>
    <row r="45" spans="1:12" s="39" customFormat="1" ht="13" customHeight="1" thickBot="1" x14ac:dyDescent="0.25">
      <c r="A45" s="90"/>
      <c r="B45" s="159"/>
      <c r="C45" s="87" t="str">
        <f t="shared" ref="C45:I45" si="21">IF(ISBLANK(C44),"",VLOOKUP(C44,$B$110:$L$146,11,0))</f>
        <v>14H30-23H00</v>
      </c>
      <c r="D45" s="87" t="str">
        <f t="shared" si="21"/>
        <v>10H00-18H30</v>
      </c>
      <c r="E45" s="87" t="str">
        <f t="shared" si="21"/>
        <v/>
      </c>
      <c r="F45" s="87" t="str">
        <f t="shared" si="21"/>
        <v>13H30-22H00</v>
      </c>
      <c r="G45" s="87" t="str">
        <f t="shared" si="21"/>
        <v/>
      </c>
      <c r="H45" s="87" t="str">
        <f t="shared" si="21"/>
        <v>06H00-14H30</v>
      </c>
      <c r="I45" s="87" t="str">
        <f t="shared" si="21"/>
        <v>06H00-14H30</v>
      </c>
      <c r="J45" s="161" t="s">
        <v>55</v>
      </c>
      <c r="K45" s="139"/>
      <c r="L45" s="91"/>
    </row>
    <row r="46" spans="1:12" s="39" customFormat="1" ht="13" customHeight="1" thickTop="1" x14ac:dyDescent="0.2">
      <c r="A46" s="74">
        <f>7-(COUNTIF(C46:I46,"")+COUNTIF(C46:I46,$B$144))</f>
        <v>5</v>
      </c>
      <c r="B46" s="158" t="s">
        <v>102</v>
      </c>
      <c r="C46" s="71"/>
      <c r="D46" s="71" t="s">
        <v>81</v>
      </c>
      <c r="E46" s="71" t="s">
        <v>79</v>
      </c>
      <c r="F46" s="71" t="s">
        <v>152</v>
      </c>
      <c r="G46" s="71" t="s">
        <v>149</v>
      </c>
      <c r="H46" s="71" t="s">
        <v>154</v>
      </c>
      <c r="I46" s="71"/>
      <c r="J46" s="160" t="s">
        <v>55</v>
      </c>
      <c r="K46" s="139">
        <v>5</v>
      </c>
      <c r="L46" s="91"/>
    </row>
    <row r="47" spans="1:12" s="39" customFormat="1" ht="13" customHeight="1" thickBot="1" x14ac:dyDescent="0.25">
      <c r="A47" s="74"/>
      <c r="B47" s="159"/>
      <c r="C47" s="87" t="str">
        <f t="shared" ref="C47:I47" si="22">IF(ISBLANK(C46),"",VLOOKUP(C46,$B$110:$L$146,11,0))</f>
        <v/>
      </c>
      <c r="D47" s="87" t="str">
        <f t="shared" si="22"/>
        <v>14H30-23H00</v>
      </c>
      <c r="E47" s="87" t="str">
        <f t="shared" si="22"/>
        <v>09H00-17H30</v>
      </c>
      <c r="F47" s="87" t="str">
        <f t="shared" si="22"/>
        <v>08H30-17H00</v>
      </c>
      <c r="G47" s="87" t="str">
        <f t="shared" si="22"/>
        <v>09H00-17H30</v>
      </c>
      <c r="H47" s="87" t="str">
        <f t="shared" si="22"/>
        <v>13H00-21H30</v>
      </c>
      <c r="I47" s="87" t="str">
        <f t="shared" si="22"/>
        <v/>
      </c>
      <c r="J47" s="161" t="s">
        <v>56</v>
      </c>
      <c r="K47" s="139"/>
      <c r="L47" s="91"/>
    </row>
    <row r="48" spans="1:12" s="39" customFormat="1" ht="13" customHeight="1" thickTop="1" x14ac:dyDescent="0.2">
      <c r="A48" s="74">
        <f>7-(COUNTIF(C48:I48,"")+COUNTIF(C48:I48,$B$144))</f>
        <v>5</v>
      </c>
      <c r="B48" s="158" t="s">
        <v>132</v>
      </c>
      <c r="C48" s="71"/>
      <c r="D48" s="71" t="s">
        <v>91</v>
      </c>
      <c r="E48" s="71" t="s">
        <v>122</v>
      </c>
      <c r="F48" s="71" t="s">
        <v>84</v>
      </c>
      <c r="G48" s="71"/>
      <c r="H48" s="71" t="s">
        <v>149</v>
      </c>
      <c r="I48" s="71" t="s">
        <v>81</v>
      </c>
      <c r="J48" s="160" t="s">
        <v>57</v>
      </c>
      <c r="K48" s="139">
        <v>4</v>
      </c>
      <c r="L48" s="91"/>
    </row>
    <row r="49" spans="1:12" ht="13" customHeight="1" thickBot="1" x14ac:dyDescent="0.25">
      <c r="A49" s="90"/>
      <c r="B49" s="159"/>
      <c r="C49" s="87" t="str">
        <f t="shared" ref="C49:I49" si="23">IF(ISBLANK(C48),"",VLOOKUP(C48,$B$110:$L$146,11,0))</f>
        <v/>
      </c>
      <c r="D49" s="87" t="str">
        <f t="shared" si="23"/>
        <v>06H00-14H30</v>
      </c>
      <c r="E49" s="87" t="str">
        <f t="shared" si="23"/>
        <v>06H00-14H30</v>
      </c>
      <c r="F49" s="87" t="str">
        <f t="shared" si="23"/>
        <v>13H30-22H00</v>
      </c>
      <c r="G49" s="87" t="str">
        <f t="shared" si="23"/>
        <v/>
      </c>
      <c r="H49" s="87" t="str">
        <f t="shared" si="23"/>
        <v>09H00-17H30</v>
      </c>
      <c r="I49" s="87" t="str">
        <f t="shared" si="23"/>
        <v>14H30-23H00</v>
      </c>
      <c r="J49" s="161" t="s">
        <v>57</v>
      </c>
      <c r="K49" s="139"/>
      <c r="L49" s="91"/>
    </row>
    <row r="50" spans="1:12" s="39" customFormat="1" ht="13" customHeight="1" thickTop="1" x14ac:dyDescent="0.2">
      <c r="A50" s="74">
        <f>7-(COUNTIF(C50:I50,"")+COUNTIF(C50:I50,$B$144))</f>
        <v>5</v>
      </c>
      <c r="B50" s="162" t="s">
        <v>17</v>
      </c>
      <c r="C50" s="71" t="s">
        <v>122</v>
      </c>
      <c r="D50" s="71"/>
      <c r="E50" s="71" t="s">
        <v>110</v>
      </c>
      <c r="F50" s="71" t="s">
        <v>138</v>
      </c>
      <c r="G50" s="71"/>
      <c r="H50" s="71" t="s">
        <v>79</v>
      </c>
      <c r="I50" s="71" t="s">
        <v>138</v>
      </c>
      <c r="J50" s="160" t="s">
        <v>56</v>
      </c>
      <c r="K50" s="139">
        <v>5</v>
      </c>
      <c r="L50" s="91"/>
    </row>
    <row r="51" spans="1:12" ht="13" customHeight="1" thickBot="1" x14ac:dyDescent="0.25">
      <c r="A51" s="90"/>
      <c r="B51" s="163"/>
      <c r="C51" s="87" t="str">
        <f t="shared" ref="C51:I51" si="24">IF(ISBLANK(C50),"",VLOOKUP(C50,$B$110:$L$146,11,0))</f>
        <v>06H00-14H30</v>
      </c>
      <c r="D51" s="87" t="str">
        <f t="shared" si="24"/>
        <v/>
      </c>
      <c r="E51" s="87" t="str">
        <f t="shared" si="24"/>
        <v>21H45-06H15</v>
      </c>
      <c r="F51" s="87" t="str">
        <f t="shared" si="24"/>
        <v>22H00-06H30</v>
      </c>
      <c r="G51" s="87" t="str">
        <f t="shared" si="24"/>
        <v/>
      </c>
      <c r="H51" s="87" t="str">
        <f t="shared" si="24"/>
        <v>09H00-17H30</v>
      </c>
      <c r="I51" s="87" t="str">
        <f t="shared" si="24"/>
        <v>22H00-06H30</v>
      </c>
      <c r="J51" s="161" t="s">
        <v>57</v>
      </c>
      <c r="K51" s="139"/>
      <c r="L51" s="91"/>
    </row>
    <row r="52" spans="1:12" s="39" customFormat="1" ht="13" customHeight="1" thickTop="1" x14ac:dyDescent="0.2">
      <c r="A52" s="74">
        <f>7-(COUNTIF(C52:I52,"")+COUNTIF(C52:I52,$B$144))</f>
        <v>4</v>
      </c>
      <c r="B52" s="158" t="s">
        <v>127</v>
      </c>
      <c r="C52" s="71" t="s">
        <v>139</v>
      </c>
      <c r="D52" s="71" t="s">
        <v>95</v>
      </c>
      <c r="E52" s="71" t="s">
        <v>95</v>
      </c>
      <c r="F52" s="71" t="s">
        <v>31</v>
      </c>
      <c r="G52" s="71" t="s">
        <v>82</v>
      </c>
      <c r="H52" s="71" t="s">
        <v>82</v>
      </c>
      <c r="I52" s="71"/>
      <c r="J52" s="160" t="s">
        <v>130</v>
      </c>
      <c r="K52" s="139">
        <v>4</v>
      </c>
      <c r="L52" s="91"/>
    </row>
    <row r="53" spans="1:12" s="39" customFormat="1" ht="13" customHeight="1" thickBot="1" x14ac:dyDescent="0.25">
      <c r="A53" s="90"/>
      <c r="B53" s="159"/>
      <c r="C53" s="87" t="str">
        <f t="shared" ref="C53:I53" si="25">IF(ISBLANK(C52),"",VLOOKUP(C52,$B$110:$L$146,11,0))</f>
        <v>14H00-22H30</v>
      </c>
      <c r="D53" s="87">
        <f t="shared" si="25"/>
        <v>0</v>
      </c>
      <c r="E53" s="87">
        <f t="shared" si="25"/>
        <v>0</v>
      </c>
      <c r="F53" s="87" t="str">
        <f t="shared" si="25"/>
        <v>06H00-14H30</v>
      </c>
      <c r="G53" s="87" t="str">
        <f t="shared" si="25"/>
        <v>06H00-14H30</v>
      </c>
      <c r="H53" s="87" t="str">
        <f t="shared" si="25"/>
        <v>06H00-14H30</v>
      </c>
      <c r="I53" s="87" t="str">
        <f t="shared" si="25"/>
        <v/>
      </c>
      <c r="J53" s="161" t="s">
        <v>45</v>
      </c>
      <c r="K53" s="139"/>
      <c r="L53" s="91"/>
    </row>
    <row r="54" spans="1:12" s="39" customFormat="1" ht="13" customHeight="1" thickTop="1" x14ac:dyDescent="0.2">
      <c r="A54" s="74">
        <f>7-(COUNTIF(C54:I54,"")+COUNTIF(C54:I54,$B$144))</f>
        <v>4</v>
      </c>
      <c r="B54" s="162" t="s">
        <v>18</v>
      </c>
      <c r="C54" s="71"/>
      <c r="D54" s="71" t="s">
        <v>138</v>
      </c>
      <c r="E54" s="71"/>
      <c r="F54" s="71" t="s">
        <v>110</v>
      </c>
      <c r="G54" s="71"/>
      <c r="H54" s="71" t="s">
        <v>84</v>
      </c>
      <c r="I54" s="71" t="s">
        <v>84</v>
      </c>
      <c r="J54" s="160" t="s">
        <v>58</v>
      </c>
      <c r="K54" s="139">
        <v>4</v>
      </c>
      <c r="L54" s="91"/>
    </row>
    <row r="55" spans="1:12" s="39" customFormat="1" ht="13" customHeight="1" thickBot="1" x14ac:dyDescent="0.25">
      <c r="A55" s="90"/>
      <c r="B55" s="163"/>
      <c r="C55" s="87" t="str">
        <f t="shared" ref="C55:I55" si="26">IF(ISBLANK(C54),"",VLOOKUP(C54,$B$110:$L$146,11,0))</f>
        <v/>
      </c>
      <c r="D55" s="87" t="str">
        <f t="shared" si="26"/>
        <v>22H00-06H30</v>
      </c>
      <c r="E55" s="87" t="str">
        <f t="shared" si="26"/>
        <v/>
      </c>
      <c r="F55" s="87" t="str">
        <f t="shared" si="26"/>
        <v>21H45-06H15</v>
      </c>
      <c r="G55" s="87" t="str">
        <f t="shared" si="26"/>
        <v/>
      </c>
      <c r="H55" s="87" t="str">
        <f t="shared" si="26"/>
        <v>13H30-22H00</v>
      </c>
      <c r="I55" s="87" t="str">
        <f t="shared" si="26"/>
        <v>13H30-22H00</v>
      </c>
      <c r="J55" s="161" t="s">
        <v>59</v>
      </c>
      <c r="K55" s="139"/>
      <c r="L55" s="91"/>
    </row>
    <row r="56" spans="1:12" s="39" customFormat="1" ht="13" customHeight="1" thickTop="1" x14ac:dyDescent="0.2">
      <c r="A56" s="74">
        <f>7-(COUNTIF(C56:I56,"")+COUNTIF(C56:I56,$B$144))</f>
        <v>5</v>
      </c>
      <c r="B56" s="158" t="s">
        <v>19</v>
      </c>
      <c r="C56" s="71" t="s">
        <v>137</v>
      </c>
      <c r="D56" s="71" t="s">
        <v>85</v>
      </c>
      <c r="E56" s="71"/>
      <c r="F56" s="71"/>
      <c r="G56" s="71" t="s">
        <v>83</v>
      </c>
      <c r="H56" s="71" t="s">
        <v>31</v>
      </c>
      <c r="I56" s="71" t="s">
        <v>83</v>
      </c>
      <c r="J56" s="160" t="s">
        <v>59</v>
      </c>
      <c r="K56" s="139">
        <v>5</v>
      </c>
      <c r="L56" s="91"/>
    </row>
    <row r="57" spans="1:12" s="39" customFormat="1" ht="13" customHeight="1" thickBot="1" x14ac:dyDescent="0.25">
      <c r="A57" s="90"/>
      <c r="B57" s="159"/>
      <c r="C57" s="87" t="str">
        <f t="shared" ref="C57:I57" si="27">IF(ISBLANK(C56),"",VLOOKUP(C56,$B$110:$L$146,11,0))</f>
        <v>06H00-14H30</v>
      </c>
      <c r="D57" s="87" t="str">
        <f t="shared" si="27"/>
        <v>14H30-23H00</v>
      </c>
      <c r="E57" s="87" t="str">
        <f t="shared" si="27"/>
        <v/>
      </c>
      <c r="F57" s="87" t="str">
        <f t="shared" si="27"/>
        <v/>
      </c>
      <c r="G57" s="87" t="str">
        <f t="shared" si="27"/>
        <v>09H00-17H30</v>
      </c>
      <c r="H57" s="87" t="str">
        <f t="shared" si="27"/>
        <v>06H00-14H30</v>
      </c>
      <c r="I57" s="87" t="str">
        <f t="shared" si="27"/>
        <v>09H00-17H30</v>
      </c>
      <c r="J57" s="161" t="s">
        <v>60</v>
      </c>
      <c r="K57" s="139"/>
      <c r="L57" s="91"/>
    </row>
    <row r="58" spans="1:12" s="39" customFormat="1" ht="13" customHeight="1" thickTop="1" x14ac:dyDescent="0.2">
      <c r="A58" s="74">
        <f>7-(COUNTIF(C58:I58,"")+COUNTIF(C58:I58,$B$144))</f>
        <v>5</v>
      </c>
      <c r="B58" s="158" t="s">
        <v>20</v>
      </c>
      <c r="C58" s="71" t="s">
        <v>83</v>
      </c>
      <c r="D58" s="71" t="s">
        <v>93</v>
      </c>
      <c r="E58" s="71" t="s">
        <v>84</v>
      </c>
      <c r="F58" s="71"/>
      <c r="G58" s="71" t="s">
        <v>90</v>
      </c>
      <c r="H58" s="71" t="s">
        <v>85</v>
      </c>
      <c r="I58" s="71" t="s">
        <v>95</v>
      </c>
      <c r="J58" s="160" t="s">
        <v>60</v>
      </c>
      <c r="K58" s="139">
        <v>4</v>
      </c>
      <c r="L58" s="91"/>
    </row>
    <row r="59" spans="1:12" s="39" customFormat="1" ht="13" customHeight="1" thickBot="1" x14ac:dyDescent="0.25">
      <c r="A59" s="90"/>
      <c r="B59" s="151"/>
      <c r="C59" s="88" t="str">
        <f t="shared" ref="C59:I59" si="28">IF(ISBLANK(C58),"",VLOOKUP(C58,$B$110:$L$146,11,0))</f>
        <v>09H00-17H30</v>
      </c>
      <c r="D59" s="88" t="str">
        <f t="shared" si="28"/>
        <v>06H00-14H30</v>
      </c>
      <c r="E59" s="88" t="str">
        <f t="shared" si="28"/>
        <v>13H30-22H00</v>
      </c>
      <c r="F59" s="88" t="str">
        <f t="shared" si="28"/>
        <v/>
      </c>
      <c r="G59" s="88" t="str">
        <f t="shared" si="28"/>
        <v>06H00-14H30</v>
      </c>
      <c r="H59" s="88" t="str">
        <f t="shared" si="28"/>
        <v>14H30-23H00</v>
      </c>
      <c r="I59" s="88">
        <f t="shared" si="28"/>
        <v>0</v>
      </c>
      <c r="J59" s="153" t="s">
        <v>61</v>
      </c>
      <c r="K59" s="139"/>
      <c r="L59" s="91"/>
    </row>
    <row r="60" spans="1:12" ht="13" customHeight="1" thickTop="1" x14ac:dyDescent="0.2">
      <c r="A60" s="74">
        <f>7-(COUNTIF(C60:I60,"")+COUNTIF(C60:I60,$B$144))</f>
        <v>5</v>
      </c>
      <c r="B60" s="164" t="s">
        <v>133</v>
      </c>
      <c r="C60" s="71" t="s">
        <v>92</v>
      </c>
      <c r="D60" s="71"/>
      <c r="E60" s="71" t="s">
        <v>85</v>
      </c>
      <c r="F60" s="71" t="s">
        <v>83</v>
      </c>
      <c r="G60" s="71"/>
      <c r="H60" s="71" t="s">
        <v>90</v>
      </c>
      <c r="I60" s="71" t="s">
        <v>80</v>
      </c>
      <c r="J60" s="160" t="s">
        <v>134</v>
      </c>
      <c r="K60" s="139">
        <v>4</v>
      </c>
      <c r="L60" s="91"/>
    </row>
    <row r="61" spans="1:12" ht="13" customHeight="1" thickBot="1" x14ac:dyDescent="0.25">
      <c r="A61" s="90"/>
      <c r="B61" s="165"/>
      <c r="C61" s="87" t="str">
        <f t="shared" ref="C61:I61" si="29">IF(ISBLANK(C60),"",VLOOKUP(C60,$B$110:$L$146,11,0))</f>
        <v>10H00-18H30</v>
      </c>
      <c r="D61" s="87" t="str">
        <f t="shared" si="29"/>
        <v/>
      </c>
      <c r="E61" s="87" t="str">
        <f t="shared" si="29"/>
        <v>14H30-23H00</v>
      </c>
      <c r="F61" s="87" t="str">
        <f t="shared" si="29"/>
        <v>09H00-17H30</v>
      </c>
      <c r="G61" s="87" t="str">
        <f t="shared" si="29"/>
        <v/>
      </c>
      <c r="H61" s="87" t="str">
        <f t="shared" si="29"/>
        <v>06H00-14H30</v>
      </c>
      <c r="I61" s="87" t="str">
        <f t="shared" si="29"/>
        <v>06H00-14H30</v>
      </c>
      <c r="J61" s="161"/>
      <c r="K61" s="139"/>
      <c r="L61" s="91"/>
    </row>
    <row r="62" spans="1:12" s="39" customFormat="1" ht="13" customHeight="1" thickTop="1" x14ac:dyDescent="0.2">
      <c r="A62" s="74">
        <f>7-(COUNTIF(C62:I62,"")+COUNTIF(C62:I62,$B$144))</f>
        <v>5</v>
      </c>
      <c r="B62" s="158" t="s">
        <v>21</v>
      </c>
      <c r="C62" s="71" t="s">
        <v>90</v>
      </c>
      <c r="D62" s="71" t="s">
        <v>139</v>
      </c>
      <c r="E62" s="71"/>
      <c r="F62" s="71" t="s">
        <v>82</v>
      </c>
      <c r="G62" s="71" t="s">
        <v>84</v>
      </c>
      <c r="H62" s="71"/>
      <c r="I62" s="71" t="s">
        <v>91</v>
      </c>
      <c r="J62" s="160" t="s">
        <v>61</v>
      </c>
      <c r="K62" s="139">
        <v>5</v>
      </c>
      <c r="L62" s="91"/>
    </row>
    <row r="63" spans="1:12" s="39" customFormat="1" ht="13" customHeight="1" thickBot="1" x14ac:dyDescent="0.25">
      <c r="A63" s="90"/>
      <c r="B63" s="159"/>
      <c r="C63" s="87" t="str">
        <f t="shared" ref="C63:I63" si="30">IF(ISBLANK(C62),"",VLOOKUP(C62,$B$110:$L$146,11,0))</f>
        <v>06H00-14H30</v>
      </c>
      <c r="D63" s="87" t="str">
        <f t="shared" si="30"/>
        <v>14H00-22H30</v>
      </c>
      <c r="E63" s="87" t="str">
        <f t="shared" si="30"/>
        <v/>
      </c>
      <c r="F63" s="87" t="str">
        <f t="shared" si="30"/>
        <v>06H00-14H30</v>
      </c>
      <c r="G63" s="87" t="str">
        <f t="shared" si="30"/>
        <v>13H30-22H00</v>
      </c>
      <c r="H63" s="87" t="str">
        <f t="shared" si="30"/>
        <v/>
      </c>
      <c r="I63" s="87" t="str">
        <f t="shared" si="30"/>
        <v>06H00-14H30</v>
      </c>
      <c r="J63" s="161" t="s">
        <v>62</v>
      </c>
      <c r="K63" s="139"/>
      <c r="L63" s="91"/>
    </row>
    <row r="64" spans="1:12" s="39" customFormat="1" ht="13" customHeight="1" thickTop="1" x14ac:dyDescent="0.2">
      <c r="A64" s="74">
        <f>7-(COUNTIF(C64:I64,"")+COUNTIF(C64:I64,$B$144))</f>
        <v>5</v>
      </c>
      <c r="B64" s="164" t="s">
        <v>131</v>
      </c>
      <c r="C64" s="88"/>
      <c r="D64" s="71" t="s">
        <v>123</v>
      </c>
      <c r="E64" s="71" t="s">
        <v>83</v>
      </c>
      <c r="F64" s="71"/>
      <c r="G64" s="71" t="s">
        <v>91</v>
      </c>
      <c r="H64" s="71" t="s">
        <v>84</v>
      </c>
      <c r="I64" s="71" t="s">
        <v>93</v>
      </c>
      <c r="J64" s="160" t="s">
        <v>129</v>
      </c>
      <c r="K64" s="139">
        <v>4</v>
      </c>
      <c r="L64" s="91"/>
    </row>
    <row r="65" spans="1:12" s="39" customFormat="1" ht="13" customHeight="1" thickBot="1" x14ac:dyDescent="0.25">
      <c r="A65" s="90"/>
      <c r="B65" s="165"/>
      <c r="C65" s="87" t="str">
        <f t="shared" ref="C65:I65" si="31">IF(ISBLANK(C64),"",VLOOKUP(C64,$B$110:$L$146,11,0))</f>
        <v/>
      </c>
      <c r="D65" s="87" t="str">
        <f t="shared" si="31"/>
        <v>14H30-23H00</v>
      </c>
      <c r="E65" s="87" t="str">
        <f t="shared" si="31"/>
        <v>09H00-17H30</v>
      </c>
      <c r="F65" s="87" t="str">
        <f t="shared" si="31"/>
        <v/>
      </c>
      <c r="G65" s="87" t="str">
        <f t="shared" si="31"/>
        <v>06H00-14H30</v>
      </c>
      <c r="H65" s="87" t="str">
        <f t="shared" si="31"/>
        <v>13H30-22H00</v>
      </c>
      <c r="I65" s="87" t="str">
        <f t="shared" si="31"/>
        <v>06H00-14H30</v>
      </c>
      <c r="J65" s="161" t="s">
        <v>66</v>
      </c>
      <c r="K65" s="139"/>
      <c r="L65" s="91"/>
    </row>
    <row r="66" spans="1:12" s="39" customFormat="1" ht="13" customHeight="1" thickTop="1" x14ac:dyDescent="0.2">
      <c r="A66" s="74">
        <f>7-(COUNTIF(C66:I66,"")+COUNTIF(C66:I66,$B$144))</f>
        <v>4</v>
      </c>
      <c r="B66" s="158" t="s">
        <v>124</v>
      </c>
      <c r="C66" s="88"/>
      <c r="D66" s="71" t="s">
        <v>80</v>
      </c>
      <c r="E66" s="71" t="s">
        <v>137</v>
      </c>
      <c r="F66" s="71" t="s">
        <v>93</v>
      </c>
      <c r="G66" s="71" t="s">
        <v>123</v>
      </c>
      <c r="H66" s="138" t="s">
        <v>95</v>
      </c>
      <c r="I66" s="138" t="s">
        <v>95</v>
      </c>
      <c r="J66" s="160" t="s">
        <v>77</v>
      </c>
      <c r="K66" s="139">
        <v>4</v>
      </c>
      <c r="L66" s="91"/>
    </row>
    <row r="67" spans="1:12" s="39" customFormat="1" ht="13" customHeight="1" thickBot="1" x14ac:dyDescent="0.25">
      <c r="A67" s="90"/>
      <c r="B67" s="159"/>
      <c r="C67" s="87" t="str">
        <f t="shared" ref="C67:I67" si="32">IF(ISBLANK(C66),"",VLOOKUP(C66,$B$110:$L$146,11,0))</f>
        <v/>
      </c>
      <c r="D67" s="87" t="str">
        <f t="shared" si="32"/>
        <v>06H00-14H30</v>
      </c>
      <c r="E67" s="87" t="str">
        <f t="shared" si="32"/>
        <v>06H00-14H30</v>
      </c>
      <c r="F67" s="87" t="str">
        <f t="shared" si="32"/>
        <v>06H00-14H30</v>
      </c>
      <c r="G67" s="87" t="str">
        <f t="shared" si="32"/>
        <v>14H30-23H00</v>
      </c>
      <c r="H67" s="87">
        <f t="shared" si="32"/>
        <v>0</v>
      </c>
      <c r="I67" s="87">
        <f t="shared" si="32"/>
        <v>0</v>
      </c>
      <c r="J67" s="161" t="s">
        <v>78</v>
      </c>
      <c r="K67" s="139"/>
      <c r="L67" s="91"/>
    </row>
    <row r="68" spans="1:12" s="39" customFormat="1" ht="13" customHeight="1" thickTop="1" x14ac:dyDescent="0.2">
      <c r="A68" s="74">
        <f>7-(COUNTIF(C68:I68,"")+COUNTIF(C68:I68,$B$144))</f>
        <v>5</v>
      </c>
      <c r="B68" s="151" t="s">
        <v>146</v>
      </c>
      <c r="C68" s="88" t="s">
        <v>149</v>
      </c>
      <c r="D68" s="71"/>
      <c r="E68" s="71" t="s">
        <v>123</v>
      </c>
      <c r="F68" s="88" t="s">
        <v>150</v>
      </c>
      <c r="G68" s="71" t="s">
        <v>82</v>
      </c>
      <c r="H68" s="71"/>
      <c r="I68" s="71" t="s">
        <v>84</v>
      </c>
      <c r="J68" s="160" t="s">
        <v>65</v>
      </c>
      <c r="K68" s="139">
        <v>4</v>
      </c>
      <c r="L68" s="91"/>
    </row>
    <row r="69" spans="1:12" s="39" customFormat="1" ht="13" customHeight="1" thickBot="1" x14ac:dyDescent="0.25">
      <c r="A69" s="74"/>
      <c r="B69" s="167"/>
      <c r="C69" s="87" t="str">
        <f t="shared" ref="C69:I69" si="33">IF(ISBLANK(C68),"",VLOOKUP(C68,$B$110:$L$146,11,0))</f>
        <v>09H00-17H30</v>
      </c>
      <c r="D69" s="87" t="str">
        <f t="shared" si="33"/>
        <v/>
      </c>
      <c r="E69" s="87" t="str">
        <f t="shared" si="33"/>
        <v>14H30-23H00</v>
      </c>
      <c r="F69" s="87" t="str">
        <f t="shared" si="33"/>
        <v>09H00-17H30</v>
      </c>
      <c r="G69" s="87" t="str">
        <f t="shared" si="33"/>
        <v>06H00-14H30</v>
      </c>
      <c r="H69" s="87" t="str">
        <f t="shared" si="33"/>
        <v/>
      </c>
      <c r="I69" s="87" t="str">
        <f t="shared" si="33"/>
        <v>13H30-22H00</v>
      </c>
      <c r="J69" s="161" t="s">
        <v>66</v>
      </c>
      <c r="K69" s="139"/>
      <c r="L69" s="91"/>
    </row>
    <row r="70" spans="1:12" s="39" customFormat="1" ht="13" customHeight="1" thickTop="1" x14ac:dyDescent="0.2">
      <c r="A70" s="74">
        <f>7-(COUNTIF(C70:I70,"")+COUNTIF(C70:I70,$B$144))</f>
        <v>5</v>
      </c>
      <c r="B70" s="158" t="s">
        <v>104</v>
      </c>
      <c r="C70" s="71" t="s">
        <v>123</v>
      </c>
      <c r="D70" s="88"/>
      <c r="E70" s="71" t="s">
        <v>31</v>
      </c>
      <c r="F70" s="71" t="s">
        <v>90</v>
      </c>
      <c r="G70" s="137"/>
      <c r="H70" s="88" t="s">
        <v>150</v>
      </c>
      <c r="I70" s="88" t="s">
        <v>82</v>
      </c>
      <c r="J70" s="160" t="s">
        <v>66</v>
      </c>
      <c r="K70" s="139">
        <v>5</v>
      </c>
      <c r="L70" s="91"/>
    </row>
    <row r="71" spans="1:12" s="39" customFormat="1" ht="13" customHeight="1" thickBot="1" x14ac:dyDescent="0.25">
      <c r="A71" s="90"/>
      <c r="B71" s="159"/>
      <c r="C71" s="87" t="str">
        <f t="shared" ref="C71:I71" si="34">IF(ISBLANK(C70),"",VLOOKUP(C70,$B$110:$L$146,11,0))</f>
        <v>14H30-23H00</v>
      </c>
      <c r="D71" s="87" t="str">
        <f t="shared" si="34"/>
        <v/>
      </c>
      <c r="E71" s="87" t="str">
        <f t="shared" si="34"/>
        <v>06H00-14H30</v>
      </c>
      <c r="F71" s="87" t="str">
        <f t="shared" si="34"/>
        <v>06H00-14H30</v>
      </c>
      <c r="G71" s="87" t="str">
        <f t="shared" si="34"/>
        <v/>
      </c>
      <c r="H71" s="87" t="str">
        <f t="shared" si="34"/>
        <v>09H00-17H30</v>
      </c>
      <c r="I71" s="87" t="str">
        <f t="shared" si="34"/>
        <v>06H00-14H30</v>
      </c>
      <c r="J71" s="161" t="s">
        <v>67</v>
      </c>
      <c r="K71" s="139"/>
      <c r="L71" s="91"/>
    </row>
    <row r="72" spans="1:12" s="39" customFormat="1" ht="13" customHeight="1" thickTop="1" x14ac:dyDescent="0.2">
      <c r="A72" s="74">
        <f>7-(COUNTIF(C72:I72,"")+COUNTIF(C72:I72,$B$144))</f>
        <v>5</v>
      </c>
      <c r="B72" s="158" t="s">
        <v>22</v>
      </c>
      <c r="C72" s="71" t="s">
        <v>99</v>
      </c>
      <c r="D72" s="71" t="s">
        <v>99</v>
      </c>
      <c r="E72" s="71" t="s">
        <v>99</v>
      </c>
      <c r="F72" s="71" t="s">
        <v>99</v>
      </c>
      <c r="G72" s="71" t="s">
        <v>99</v>
      </c>
      <c r="H72" s="71" t="s">
        <v>95</v>
      </c>
      <c r="I72" s="71" t="s">
        <v>95</v>
      </c>
      <c r="J72" s="160" t="s">
        <v>67</v>
      </c>
      <c r="K72" s="139">
        <v>3</v>
      </c>
      <c r="L72" s="91"/>
    </row>
    <row r="73" spans="1:12" s="39" customFormat="1" ht="13" customHeight="1" thickBot="1" x14ac:dyDescent="0.25">
      <c r="A73" s="90"/>
      <c r="B73" s="159"/>
      <c r="C73" s="87">
        <f t="shared" ref="C73:I73" si="35">IF(ISBLANK(C72),"",VLOOKUP(C72,$B$110:$L$146,11,0))</f>
        <v>0</v>
      </c>
      <c r="D73" s="87">
        <f t="shared" si="35"/>
        <v>0</v>
      </c>
      <c r="E73" s="87">
        <f t="shared" si="35"/>
        <v>0</v>
      </c>
      <c r="F73" s="87">
        <f t="shared" si="35"/>
        <v>0</v>
      </c>
      <c r="G73" s="87">
        <f t="shared" si="35"/>
        <v>0</v>
      </c>
      <c r="H73" s="87">
        <f t="shared" si="35"/>
        <v>0</v>
      </c>
      <c r="I73" s="87">
        <f t="shared" si="35"/>
        <v>0</v>
      </c>
      <c r="J73" s="161" t="s">
        <v>68</v>
      </c>
      <c r="K73" s="139"/>
      <c r="L73" s="91"/>
    </row>
    <row r="74" spans="1:12" s="39" customFormat="1" ht="13" customHeight="1" thickTop="1" x14ac:dyDescent="0.2">
      <c r="A74" s="74">
        <f>7-(COUNTIF(C74:I74,"")+COUNTIF(C74:I74,$B$144))</f>
        <v>5</v>
      </c>
      <c r="B74" s="162" t="s">
        <v>23</v>
      </c>
      <c r="C74" s="71" t="s">
        <v>150</v>
      </c>
      <c r="D74" s="71" t="s">
        <v>84</v>
      </c>
      <c r="E74" s="71"/>
      <c r="F74" s="71"/>
      <c r="G74" s="88" t="s">
        <v>137</v>
      </c>
      <c r="H74" s="71" t="s">
        <v>82</v>
      </c>
      <c r="I74" s="71" t="s">
        <v>123</v>
      </c>
      <c r="J74" s="160" t="s">
        <v>68</v>
      </c>
      <c r="K74" s="139">
        <v>5</v>
      </c>
      <c r="L74" s="91"/>
    </row>
    <row r="75" spans="1:12" s="39" customFormat="1" ht="13" customHeight="1" thickBot="1" x14ac:dyDescent="0.25">
      <c r="A75" s="90"/>
      <c r="B75" s="163"/>
      <c r="C75" s="87" t="str">
        <f t="shared" ref="C75:I75" si="36">IF(ISBLANK(C74),"",VLOOKUP(C74,$B$110:$L$146,11,0))</f>
        <v>09H00-17H30</v>
      </c>
      <c r="D75" s="87" t="str">
        <f t="shared" si="36"/>
        <v>13H30-22H00</v>
      </c>
      <c r="E75" s="87" t="str">
        <f t="shared" si="36"/>
        <v/>
      </c>
      <c r="F75" s="87" t="str">
        <f t="shared" si="36"/>
        <v/>
      </c>
      <c r="G75" s="87" t="str">
        <f t="shared" si="36"/>
        <v>06H00-14H30</v>
      </c>
      <c r="H75" s="87" t="str">
        <f t="shared" si="36"/>
        <v>06H00-14H30</v>
      </c>
      <c r="I75" s="87" t="str">
        <f t="shared" si="36"/>
        <v>14H30-23H00</v>
      </c>
      <c r="J75" s="161" t="s">
        <v>69</v>
      </c>
      <c r="K75" s="139"/>
      <c r="L75" s="91"/>
    </row>
    <row r="76" spans="1:12" s="39" customFormat="1" ht="13" customHeight="1" thickTop="1" x14ac:dyDescent="0.2">
      <c r="A76" s="74">
        <f>7-(COUNTIF(C76:I76,"")+COUNTIF(C76:I76,$B$144))</f>
        <v>4</v>
      </c>
      <c r="B76" s="164" t="s">
        <v>120</v>
      </c>
      <c r="C76" s="71" t="s">
        <v>82</v>
      </c>
      <c r="D76" s="137"/>
      <c r="E76" s="71"/>
      <c r="F76" s="71"/>
      <c r="G76" s="71" t="s">
        <v>80</v>
      </c>
      <c r="H76" s="71" t="s">
        <v>123</v>
      </c>
      <c r="I76" s="71" t="s">
        <v>150</v>
      </c>
      <c r="J76" s="160" t="s">
        <v>121</v>
      </c>
      <c r="K76" s="139">
        <v>4</v>
      </c>
      <c r="L76" s="91"/>
    </row>
    <row r="77" spans="1:12" s="39" customFormat="1" ht="13" customHeight="1" thickBot="1" x14ac:dyDescent="0.25">
      <c r="A77" s="90"/>
      <c r="B77" s="165"/>
      <c r="C77" s="87" t="str">
        <f t="shared" ref="C77:I77" si="37">IF(ISBLANK(C76),"",VLOOKUP(C76,$B$110:$L$146,11,0))</f>
        <v>06H00-14H30</v>
      </c>
      <c r="D77" s="87" t="str">
        <f t="shared" si="37"/>
        <v/>
      </c>
      <c r="E77" s="87" t="str">
        <f t="shared" si="37"/>
        <v/>
      </c>
      <c r="F77" s="87" t="str">
        <f t="shared" si="37"/>
        <v/>
      </c>
      <c r="G77" s="87" t="str">
        <f t="shared" si="37"/>
        <v>06H00-14H30</v>
      </c>
      <c r="H77" s="87" t="str">
        <f t="shared" si="37"/>
        <v>14H30-23H00</v>
      </c>
      <c r="I77" s="87" t="str">
        <f t="shared" si="37"/>
        <v>09H00-17H30</v>
      </c>
      <c r="J77" s="161" t="s">
        <v>63</v>
      </c>
      <c r="K77" s="139"/>
      <c r="L77" s="91"/>
    </row>
    <row r="78" spans="1:12" s="39" customFormat="1" ht="13" customHeight="1" thickTop="1" x14ac:dyDescent="0.2">
      <c r="A78" s="74">
        <f>7-(COUNTIF(C78:I78,"")+COUNTIF(C78:I78,$B$144))</f>
        <v>5</v>
      </c>
      <c r="B78" s="158" t="s">
        <v>113</v>
      </c>
      <c r="C78" s="71" t="s">
        <v>85</v>
      </c>
      <c r="D78" s="71" t="s">
        <v>84</v>
      </c>
      <c r="E78" s="88" t="s">
        <v>150</v>
      </c>
      <c r="F78" s="71"/>
      <c r="G78" s="71"/>
      <c r="H78" s="71" t="s">
        <v>122</v>
      </c>
      <c r="I78" s="71" t="s">
        <v>137</v>
      </c>
      <c r="J78" s="160" t="s">
        <v>45</v>
      </c>
      <c r="K78" s="139">
        <v>5</v>
      </c>
      <c r="L78" s="91"/>
    </row>
    <row r="79" spans="1:12" s="39" customFormat="1" ht="13" customHeight="1" thickBot="1" x14ac:dyDescent="0.25">
      <c r="A79" s="90"/>
      <c r="B79" s="167"/>
      <c r="C79" s="87" t="str">
        <f t="shared" ref="C79:I79" si="38">IF(ISBLANK(C78),"",VLOOKUP(C78,$B$110:$L$146,11,0))</f>
        <v>14H30-23H00</v>
      </c>
      <c r="D79" s="87" t="str">
        <f t="shared" si="38"/>
        <v>13H30-22H00</v>
      </c>
      <c r="E79" s="87" t="str">
        <f t="shared" si="38"/>
        <v>09H00-17H30</v>
      </c>
      <c r="F79" s="87" t="str">
        <f t="shared" si="38"/>
        <v/>
      </c>
      <c r="G79" s="87" t="str">
        <f t="shared" si="38"/>
        <v/>
      </c>
      <c r="H79" s="87" t="str">
        <f t="shared" si="38"/>
        <v>06H00-14H30</v>
      </c>
      <c r="I79" s="87" t="str">
        <f t="shared" si="38"/>
        <v>06H00-14H30</v>
      </c>
      <c r="J79" s="161" t="s">
        <v>44</v>
      </c>
      <c r="K79" s="139"/>
      <c r="L79" s="91"/>
    </row>
    <row r="80" spans="1:12" s="39" customFormat="1" ht="13" customHeight="1" thickTop="1" x14ac:dyDescent="0.2">
      <c r="A80" s="74">
        <f>7-(COUNTIF(C80:I80,"")+COUNTIF(C80:I80,$B$144))</f>
        <v>3</v>
      </c>
      <c r="B80" s="173" t="s">
        <v>24</v>
      </c>
      <c r="C80" s="71" t="s">
        <v>95</v>
      </c>
      <c r="D80" s="71" t="s">
        <v>95</v>
      </c>
      <c r="E80" s="71" t="s">
        <v>40</v>
      </c>
      <c r="F80" s="71" t="s">
        <v>40</v>
      </c>
      <c r="G80" s="71" t="s">
        <v>40</v>
      </c>
      <c r="H80" s="71" t="s">
        <v>95</v>
      </c>
      <c r="I80" s="71" t="s">
        <v>95</v>
      </c>
      <c r="J80" s="160" t="s">
        <v>69</v>
      </c>
      <c r="K80" s="139">
        <v>3</v>
      </c>
      <c r="L80" s="91"/>
    </row>
    <row r="81" spans="1:12" s="39" customFormat="1" ht="13" customHeight="1" thickBot="1" x14ac:dyDescent="0.25">
      <c r="A81" s="90"/>
      <c r="B81" s="174"/>
      <c r="C81" s="87">
        <f t="shared" ref="C81:I81" si="39">IF(ISBLANK(C80),"",VLOOKUP(C80,$B$110:$L$146,11,0))</f>
        <v>0</v>
      </c>
      <c r="D81" s="87">
        <f t="shared" si="39"/>
        <v>0</v>
      </c>
      <c r="E81" s="87">
        <f t="shared" si="39"/>
        <v>0</v>
      </c>
      <c r="F81" s="87">
        <f t="shared" si="39"/>
        <v>0</v>
      </c>
      <c r="G81" s="87">
        <f t="shared" si="39"/>
        <v>0</v>
      </c>
      <c r="H81" s="87">
        <f t="shared" si="39"/>
        <v>0</v>
      </c>
      <c r="I81" s="87">
        <f t="shared" si="39"/>
        <v>0</v>
      </c>
      <c r="J81" s="161" t="s">
        <v>70</v>
      </c>
      <c r="K81" s="139"/>
      <c r="L81" s="91"/>
    </row>
    <row r="82" spans="1:12" s="39" customFormat="1" ht="13" customHeight="1" thickTop="1" x14ac:dyDescent="0.2">
      <c r="A82" s="74">
        <f>7-(COUNTIF(C82:I82,"")+COUNTIF(C82:I82,$B$144))</f>
        <v>5</v>
      </c>
      <c r="B82" s="175" t="s">
        <v>25</v>
      </c>
      <c r="C82" s="71" t="s">
        <v>152</v>
      </c>
      <c r="D82" s="71" t="s">
        <v>90</v>
      </c>
      <c r="E82" s="71" t="s">
        <v>139</v>
      </c>
      <c r="F82" s="71"/>
      <c r="G82" s="71" t="s">
        <v>84</v>
      </c>
      <c r="H82" s="88"/>
      <c r="I82" s="88" t="s">
        <v>122</v>
      </c>
      <c r="J82" s="160" t="s">
        <v>70</v>
      </c>
      <c r="K82" s="139">
        <v>5</v>
      </c>
      <c r="L82" s="91"/>
    </row>
    <row r="83" spans="1:12" s="39" customFormat="1" ht="13" customHeight="1" thickBot="1" x14ac:dyDescent="0.25">
      <c r="A83" s="90"/>
      <c r="B83" s="176"/>
      <c r="C83" s="88" t="str">
        <f t="shared" ref="C83:I83" si="40">IF(ISBLANK(C82),"",VLOOKUP(C82,$B$110:$L$146,11,0))</f>
        <v>08H30-17H00</v>
      </c>
      <c r="D83" s="88" t="str">
        <f t="shared" si="40"/>
        <v>06H00-14H30</v>
      </c>
      <c r="E83" s="88" t="str">
        <f t="shared" si="40"/>
        <v>14H00-22H30</v>
      </c>
      <c r="F83" s="88" t="str">
        <f t="shared" si="40"/>
        <v/>
      </c>
      <c r="G83" s="88" t="str">
        <f t="shared" si="40"/>
        <v>13H30-22H00</v>
      </c>
      <c r="H83" s="88" t="str">
        <f t="shared" si="40"/>
        <v/>
      </c>
      <c r="I83" s="88" t="str">
        <f t="shared" si="40"/>
        <v>06H00-14H30</v>
      </c>
      <c r="J83" s="153" t="s">
        <v>71</v>
      </c>
      <c r="K83" s="139"/>
      <c r="L83" s="91"/>
    </row>
    <row r="84" spans="1:12" s="39" customFormat="1" ht="13" customHeight="1" thickTop="1" x14ac:dyDescent="0.2">
      <c r="A84" s="74">
        <f>7-(COUNTIF(C84:I84,"")+COUNTIF(C84:I84,$B$144))</f>
        <v>5</v>
      </c>
      <c r="B84" s="158" t="s">
        <v>105</v>
      </c>
      <c r="C84" s="71"/>
      <c r="D84" s="71" t="s">
        <v>152</v>
      </c>
      <c r="E84" s="71" t="s">
        <v>154</v>
      </c>
      <c r="F84" s="71" t="s">
        <v>79</v>
      </c>
      <c r="G84" s="71" t="s">
        <v>40</v>
      </c>
      <c r="H84" s="71" t="s">
        <v>40</v>
      </c>
      <c r="I84" s="71" t="s">
        <v>95</v>
      </c>
      <c r="J84" s="160" t="s">
        <v>71</v>
      </c>
      <c r="K84" s="139">
        <v>5</v>
      </c>
      <c r="L84" s="91"/>
    </row>
    <row r="85" spans="1:12" s="39" customFormat="1" ht="13" customHeight="1" thickBot="1" x14ac:dyDescent="0.25">
      <c r="A85" s="90"/>
      <c r="B85" s="159"/>
      <c r="C85" s="87" t="str">
        <f t="shared" ref="C85:I85" si="41">IF(ISBLANK(C84),"",VLOOKUP(C84,$B$110:$L$146,11,0))</f>
        <v/>
      </c>
      <c r="D85" s="87" t="str">
        <f t="shared" si="41"/>
        <v>08H30-17H00</v>
      </c>
      <c r="E85" s="87" t="str">
        <f t="shared" si="41"/>
        <v>13H00-21H30</v>
      </c>
      <c r="F85" s="87" t="str">
        <f t="shared" si="41"/>
        <v>09H00-17H30</v>
      </c>
      <c r="G85" s="87">
        <f t="shared" si="41"/>
        <v>0</v>
      </c>
      <c r="H85" s="87">
        <f t="shared" si="41"/>
        <v>0</v>
      </c>
      <c r="I85" s="87">
        <f t="shared" si="41"/>
        <v>0</v>
      </c>
      <c r="J85" s="161" t="s">
        <v>72</v>
      </c>
      <c r="K85" s="139"/>
      <c r="L85" s="91"/>
    </row>
    <row r="86" spans="1:12" s="39" customFormat="1" ht="13" customHeight="1" thickTop="1" x14ac:dyDescent="0.2">
      <c r="A86" s="74">
        <f>7-(COUNTIF(C86:I86,"")+COUNTIF(C86:I86,$B$144))</f>
        <v>5</v>
      </c>
      <c r="B86" s="158" t="s">
        <v>143</v>
      </c>
      <c r="C86" s="88" t="s">
        <v>84</v>
      </c>
      <c r="D86" s="71"/>
      <c r="E86" s="71" t="s">
        <v>92</v>
      </c>
      <c r="F86" s="71"/>
      <c r="G86" s="71" t="s">
        <v>150</v>
      </c>
      <c r="H86" s="71" t="s">
        <v>93</v>
      </c>
      <c r="I86" s="71" t="s">
        <v>85</v>
      </c>
      <c r="J86" s="160" t="s">
        <v>142</v>
      </c>
      <c r="K86" s="139">
        <v>4</v>
      </c>
      <c r="L86" s="91"/>
    </row>
    <row r="87" spans="1:12" ht="13" customHeight="1" thickBot="1" x14ac:dyDescent="0.25">
      <c r="A87" s="94"/>
      <c r="B87" s="159"/>
      <c r="C87" s="87" t="str">
        <f t="shared" ref="C87:I87" si="42">IF(ISBLANK(C86),"",VLOOKUP(C86,$B$110:$L$146,11,0))</f>
        <v>13H30-22H00</v>
      </c>
      <c r="D87" s="87" t="str">
        <f t="shared" si="42"/>
        <v/>
      </c>
      <c r="E87" s="87" t="str">
        <f t="shared" si="42"/>
        <v>10H00-18H30</v>
      </c>
      <c r="F87" s="87" t="str">
        <f t="shared" si="42"/>
        <v/>
      </c>
      <c r="G87" s="87" t="str">
        <f t="shared" si="42"/>
        <v>09H00-17H30</v>
      </c>
      <c r="H87" s="87" t="str">
        <f t="shared" si="42"/>
        <v>06H00-14H30</v>
      </c>
      <c r="I87" s="87" t="str">
        <f t="shared" si="42"/>
        <v>14H30-23H00</v>
      </c>
      <c r="J87" s="161" t="s">
        <v>57</v>
      </c>
      <c r="K87" s="139"/>
      <c r="L87" s="91"/>
    </row>
    <row r="88" spans="1:12" s="39" customFormat="1" ht="13" customHeight="1" thickTop="1" x14ac:dyDescent="0.2">
      <c r="A88" s="74">
        <f>7-(COUNTIF(C88:I88,"")+COUNTIF(C88:I88,$B$144))</f>
        <v>5</v>
      </c>
      <c r="B88" s="162" t="s">
        <v>26</v>
      </c>
      <c r="C88" s="88" t="s">
        <v>95</v>
      </c>
      <c r="D88" s="71" t="s">
        <v>84</v>
      </c>
      <c r="E88" s="71" t="s">
        <v>149</v>
      </c>
      <c r="F88" s="71" t="s">
        <v>137</v>
      </c>
      <c r="G88" s="71" t="s">
        <v>154</v>
      </c>
      <c r="H88" s="71"/>
      <c r="I88" s="71" t="s">
        <v>151</v>
      </c>
      <c r="J88" s="160" t="s">
        <v>72</v>
      </c>
      <c r="K88" s="139">
        <v>5</v>
      </c>
      <c r="L88" s="91"/>
    </row>
    <row r="89" spans="1:12" s="39" customFormat="1" ht="13" customHeight="1" thickBot="1" x14ac:dyDescent="0.25">
      <c r="A89" s="90"/>
      <c r="B89" s="163"/>
      <c r="C89" s="87">
        <f t="shared" ref="C89:I89" si="43">IF(ISBLANK(C88),"",VLOOKUP(C88,$B$110:$L$146,11,0))</f>
        <v>0</v>
      </c>
      <c r="D89" s="87" t="str">
        <f t="shared" si="43"/>
        <v>13H30-22H00</v>
      </c>
      <c r="E89" s="87" t="str">
        <f t="shared" si="43"/>
        <v>09H00-17H30</v>
      </c>
      <c r="F89" s="87" t="str">
        <f t="shared" si="43"/>
        <v>06H00-14H30</v>
      </c>
      <c r="G89" s="87" t="str">
        <f t="shared" si="43"/>
        <v>13H00-21H30</v>
      </c>
      <c r="H89" s="87" t="str">
        <f t="shared" si="43"/>
        <v/>
      </c>
      <c r="I89" s="87" t="str">
        <f t="shared" si="43"/>
        <v>08H30-17H00</v>
      </c>
      <c r="J89" s="161" t="s">
        <v>73</v>
      </c>
      <c r="K89" s="139"/>
      <c r="L89" s="91"/>
    </row>
    <row r="90" spans="1:12" s="39" customFormat="1" ht="13" customHeight="1" thickTop="1" x14ac:dyDescent="0.2">
      <c r="A90" s="74">
        <f>7-(COUNTIF(C90:I90,"")+COUNTIF(C90:I90,$B$144))</f>
        <v>5</v>
      </c>
      <c r="B90" s="162" t="s">
        <v>27</v>
      </c>
      <c r="C90" s="71" t="s">
        <v>93</v>
      </c>
      <c r="D90" s="71" t="s">
        <v>150</v>
      </c>
      <c r="E90" s="71"/>
      <c r="F90" s="71" t="s">
        <v>123</v>
      </c>
      <c r="G90" s="71"/>
      <c r="H90" s="88" t="s">
        <v>80</v>
      </c>
      <c r="I90" s="88" t="s">
        <v>84</v>
      </c>
      <c r="J90" s="160" t="s">
        <v>74</v>
      </c>
      <c r="K90" s="139">
        <v>5</v>
      </c>
      <c r="L90" s="91"/>
    </row>
    <row r="91" spans="1:12" s="39" customFormat="1" ht="13" customHeight="1" thickBot="1" x14ac:dyDescent="0.25">
      <c r="A91" s="90"/>
      <c r="B91" s="163"/>
      <c r="C91" s="87" t="str">
        <f t="shared" ref="C91:I91" si="44">IF(ISBLANK(C90),"",VLOOKUP(C90,$B$110:$L$146,11,0))</f>
        <v>06H00-14H30</v>
      </c>
      <c r="D91" s="87" t="str">
        <f t="shared" si="44"/>
        <v>09H00-17H30</v>
      </c>
      <c r="E91" s="87" t="str">
        <f t="shared" si="44"/>
        <v/>
      </c>
      <c r="F91" s="87" t="str">
        <f t="shared" si="44"/>
        <v>14H30-23H00</v>
      </c>
      <c r="G91" s="87" t="str">
        <f t="shared" si="44"/>
        <v/>
      </c>
      <c r="H91" s="87" t="str">
        <f t="shared" si="44"/>
        <v>06H00-14H30</v>
      </c>
      <c r="I91" s="87" t="str">
        <f t="shared" si="44"/>
        <v>13H30-22H00</v>
      </c>
      <c r="J91" s="161" t="s">
        <v>75</v>
      </c>
      <c r="K91" s="139"/>
      <c r="L91" s="91"/>
    </row>
    <row r="92" spans="1:12" s="39" customFormat="1" ht="13" customHeight="1" thickTop="1" x14ac:dyDescent="0.2">
      <c r="A92" s="74">
        <f>7-(COUNTIF(C92:I92,"")+COUNTIF(C92:I92,$B$144))</f>
        <v>5</v>
      </c>
      <c r="B92" s="164" t="s">
        <v>115</v>
      </c>
      <c r="C92" s="88" t="s">
        <v>80</v>
      </c>
      <c r="D92" s="71"/>
      <c r="E92" s="71" t="s">
        <v>84</v>
      </c>
      <c r="F92" s="88" t="s">
        <v>85</v>
      </c>
      <c r="G92" s="88"/>
      <c r="H92" s="71" t="s">
        <v>137</v>
      </c>
      <c r="I92" s="88" t="s">
        <v>92</v>
      </c>
      <c r="J92" s="153" t="s">
        <v>63</v>
      </c>
      <c r="K92" s="139">
        <v>5</v>
      </c>
      <c r="L92" s="91"/>
    </row>
    <row r="93" spans="1:12" s="39" customFormat="1" ht="13" customHeight="1" thickBot="1" x14ac:dyDescent="0.25">
      <c r="A93" s="90"/>
      <c r="B93" s="177"/>
      <c r="C93" s="93" t="str">
        <f t="shared" ref="C93:I93" si="45">IF(ISBLANK(C92),"",VLOOKUP(C92,$B$110:$L$146,11,0))</f>
        <v>06H00-14H30</v>
      </c>
      <c r="D93" s="93" t="str">
        <f t="shared" si="45"/>
        <v/>
      </c>
      <c r="E93" s="93" t="str">
        <f t="shared" si="45"/>
        <v>13H30-22H00</v>
      </c>
      <c r="F93" s="93" t="str">
        <f t="shared" si="45"/>
        <v>14H30-23H00</v>
      </c>
      <c r="G93" s="93" t="str">
        <f t="shared" si="45"/>
        <v/>
      </c>
      <c r="H93" s="93" t="str">
        <f t="shared" si="45"/>
        <v>06H00-14H30</v>
      </c>
      <c r="I93" s="93" t="str">
        <f t="shared" si="45"/>
        <v>10H00-18H30</v>
      </c>
      <c r="J93" s="168"/>
      <c r="K93" s="139"/>
      <c r="L93" s="91"/>
    </row>
    <row r="94" spans="1:12" s="39" customFormat="1" ht="13" customHeight="1" thickTop="1" x14ac:dyDescent="0.2">
      <c r="A94" s="74">
        <f>7-(COUNTIF(C94:I94,"")+COUNTIF(C94:I94,$B$144))</f>
        <v>4</v>
      </c>
      <c r="B94" s="158" t="s">
        <v>148</v>
      </c>
      <c r="C94" s="71" t="s">
        <v>84</v>
      </c>
      <c r="D94" s="71"/>
      <c r="E94" s="71" t="s">
        <v>81</v>
      </c>
      <c r="F94" s="71"/>
      <c r="G94" s="71"/>
      <c r="H94" s="71" t="s">
        <v>84</v>
      </c>
      <c r="I94" s="71" t="s">
        <v>149</v>
      </c>
      <c r="J94" s="160" t="s">
        <v>144</v>
      </c>
      <c r="K94" s="139">
        <v>4</v>
      </c>
      <c r="L94" s="91"/>
    </row>
    <row r="95" spans="1:12" ht="13" customHeight="1" thickBot="1" x14ac:dyDescent="0.25">
      <c r="A95" s="94"/>
      <c r="B95" s="159"/>
      <c r="C95" s="87" t="str">
        <f t="shared" ref="C95:I95" si="46">IF(ISBLANK(C94),"",VLOOKUP(C94,$B$110:$L$146,11,0))</f>
        <v>13H30-22H00</v>
      </c>
      <c r="D95" s="87" t="str">
        <f t="shared" si="46"/>
        <v/>
      </c>
      <c r="E95" s="87" t="str">
        <f t="shared" si="46"/>
        <v>14H30-23H00</v>
      </c>
      <c r="F95" s="87" t="str">
        <f t="shared" si="46"/>
        <v/>
      </c>
      <c r="G95" s="87" t="str">
        <f t="shared" si="46"/>
        <v/>
      </c>
      <c r="H95" s="87" t="str">
        <f t="shared" si="46"/>
        <v>13H30-22H00</v>
      </c>
      <c r="I95" s="87" t="str">
        <f t="shared" si="46"/>
        <v>09H00-17H30</v>
      </c>
      <c r="J95" s="161" t="s">
        <v>57</v>
      </c>
      <c r="K95" s="139"/>
      <c r="L95" s="91"/>
    </row>
    <row r="96" spans="1:12" s="39" customFormat="1" ht="13" customHeight="1" thickTop="1" x14ac:dyDescent="0.2">
      <c r="A96" s="74">
        <f>7-(COUNTIF(C96:I96,"")+COUNTIF(C96:I96,$B$144))</f>
        <v>5</v>
      </c>
      <c r="B96" s="158" t="s">
        <v>147</v>
      </c>
      <c r="C96" s="71" t="s">
        <v>82</v>
      </c>
      <c r="D96" s="71" t="s">
        <v>110</v>
      </c>
      <c r="E96" s="71" t="s">
        <v>138</v>
      </c>
      <c r="F96" s="71"/>
      <c r="G96" s="71" t="s">
        <v>93</v>
      </c>
      <c r="H96" s="71"/>
      <c r="I96" s="71" t="s">
        <v>110</v>
      </c>
      <c r="J96" s="160" t="s">
        <v>145</v>
      </c>
      <c r="K96" s="139">
        <v>4</v>
      </c>
      <c r="L96" s="91"/>
    </row>
    <row r="97" spans="1:12" ht="13" customHeight="1" thickBot="1" x14ac:dyDescent="0.25">
      <c r="A97" s="94"/>
      <c r="B97" s="159"/>
      <c r="C97" s="87" t="str">
        <f t="shared" ref="C97:I97" si="47">IF(ISBLANK(C96),"",VLOOKUP(C96,$B$110:$L$146,11,0))</f>
        <v>06H00-14H30</v>
      </c>
      <c r="D97" s="87" t="str">
        <f t="shared" si="47"/>
        <v>21H45-06H15</v>
      </c>
      <c r="E97" s="87" t="str">
        <f t="shared" si="47"/>
        <v>22H00-06H30</v>
      </c>
      <c r="F97" s="87" t="str">
        <f t="shared" si="47"/>
        <v/>
      </c>
      <c r="G97" s="87" t="str">
        <f t="shared" si="47"/>
        <v>06H00-14H30</v>
      </c>
      <c r="H97" s="87" t="str">
        <f t="shared" si="47"/>
        <v/>
      </c>
      <c r="I97" s="87" t="str">
        <f t="shared" si="47"/>
        <v>21H45-06H15</v>
      </c>
      <c r="J97" s="161" t="s">
        <v>57</v>
      </c>
      <c r="K97" s="139"/>
      <c r="L97" s="91"/>
    </row>
    <row r="98" spans="1:12" s="39" customFormat="1" ht="13" customHeight="1" thickTop="1" x14ac:dyDescent="0.2">
      <c r="A98" s="74">
        <f>7-(COUNTIF(C98:I98,"")+COUNTIF(C98:I98,$B$144))</f>
        <v>5</v>
      </c>
      <c r="B98" s="162" t="s">
        <v>106</v>
      </c>
      <c r="C98" s="71" t="s">
        <v>154</v>
      </c>
      <c r="D98" s="71" t="s">
        <v>79</v>
      </c>
      <c r="E98" s="71" t="s">
        <v>82</v>
      </c>
      <c r="F98" s="71"/>
      <c r="G98" s="71" t="s">
        <v>31</v>
      </c>
      <c r="H98" s="71" t="s">
        <v>151</v>
      </c>
      <c r="I98" s="71"/>
      <c r="J98" s="160" t="s">
        <v>75</v>
      </c>
      <c r="K98" s="139">
        <v>5</v>
      </c>
      <c r="L98" s="91"/>
    </row>
    <row r="99" spans="1:12" s="39" customFormat="1" ht="13" customHeight="1" thickBot="1" x14ac:dyDescent="0.25">
      <c r="A99" s="90"/>
      <c r="B99" s="163"/>
      <c r="C99" s="87" t="str">
        <f t="shared" ref="C99:I99" si="48">IF(ISBLANK(C98),"",VLOOKUP(C98,$B$110:$L$146,11,0))</f>
        <v>13H00-21H30</v>
      </c>
      <c r="D99" s="87" t="str">
        <f t="shared" si="48"/>
        <v>09H00-17H30</v>
      </c>
      <c r="E99" s="87" t="str">
        <f t="shared" si="48"/>
        <v>06H00-14H30</v>
      </c>
      <c r="F99" s="87" t="str">
        <f t="shared" si="48"/>
        <v/>
      </c>
      <c r="G99" s="87" t="str">
        <f t="shared" si="48"/>
        <v>06H00-14H30</v>
      </c>
      <c r="H99" s="87" t="str">
        <f t="shared" si="48"/>
        <v>08H30-17H00</v>
      </c>
      <c r="I99" s="87" t="str">
        <f t="shared" si="48"/>
        <v/>
      </c>
      <c r="J99" s="161" t="s">
        <v>76</v>
      </c>
      <c r="K99" s="139"/>
      <c r="L99" s="91"/>
    </row>
    <row r="100" spans="1:12" s="39" customFormat="1" ht="13" customHeight="1" thickTop="1" x14ac:dyDescent="0.2">
      <c r="A100" s="74">
        <f>7-(COUNTIF(C100:I100,"")+COUNTIF(C100:I100,$B$144))</f>
        <v>5</v>
      </c>
      <c r="B100" s="158" t="s">
        <v>28</v>
      </c>
      <c r="C100" s="88" t="s">
        <v>84</v>
      </c>
      <c r="D100" s="88"/>
      <c r="E100" s="88" t="s">
        <v>91</v>
      </c>
      <c r="F100" s="88" t="s">
        <v>122</v>
      </c>
      <c r="G100" s="88" t="s">
        <v>81</v>
      </c>
      <c r="H100" s="88" t="s">
        <v>92</v>
      </c>
      <c r="I100" s="88"/>
      <c r="J100" s="160" t="s">
        <v>76</v>
      </c>
      <c r="K100" s="139">
        <v>5</v>
      </c>
      <c r="L100" s="91"/>
    </row>
    <row r="101" spans="1:12" s="39" customFormat="1" ht="13" customHeight="1" thickBot="1" x14ac:dyDescent="0.25">
      <c r="A101" s="90"/>
      <c r="B101" s="159"/>
      <c r="C101" s="87" t="str">
        <f t="shared" ref="C101:I101" si="49">IF(ISBLANK(C100),"",VLOOKUP(C100,$B$110:$L$146,11,0))</f>
        <v>13H30-22H00</v>
      </c>
      <c r="D101" s="87" t="str">
        <f t="shared" si="49"/>
        <v/>
      </c>
      <c r="E101" s="87" t="str">
        <f t="shared" si="49"/>
        <v>06H00-14H30</v>
      </c>
      <c r="F101" s="87" t="str">
        <f t="shared" si="49"/>
        <v>06H00-14H30</v>
      </c>
      <c r="G101" s="87" t="str">
        <f t="shared" si="49"/>
        <v>14H30-23H00</v>
      </c>
      <c r="H101" s="87" t="str">
        <f t="shared" si="49"/>
        <v>10H00-18H30</v>
      </c>
      <c r="I101" s="87" t="str">
        <f t="shared" si="49"/>
        <v/>
      </c>
      <c r="J101" s="161" t="s">
        <v>77</v>
      </c>
      <c r="K101" s="139"/>
      <c r="L101" s="91"/>
    </row>
    <row r="102" spans="1:12" s="39" customFormat="1" ht="13" customHeight="1" thickTop="1" x14ac:dyDescent="0.2">
      <c r="A102" s="74"/>
      <c r="B102" s="158" t="s">
        <v>136</v>
      </c>
      <c r="C102" s="71"/>
      <c r="D102" s="86" t="s">
        <v>95</v>
      </c>
      <c r="E102" s="71"/>
      <c r="F102" s="86" t="s">
        <v>95</v>
      </c>
      <c r="G102" s="86" t="s">
        <v>95</v>
      </c>
      <c r="H102" s="86" t="s">
        <v>95</v>
      </c>
      <c r="I102" s="86" t="s">
        <v>95</v>
      </c>
      <c r="J102" s="160"/>
      <c r="K102" s="139">
        <v>2</v>
      </c>
      <c r="L102" s="91"/>
    </row>
    <row r="103" spans="1:12" ht="13" customHeight="1" thickBot="1" x14ac:dyDescent="0.25">
      <c r="A103" s="94"/>
      <c r="B103" s="159"/>
      <c r="C103" s="87" t="str">
        <f t="shared" ref="C103:I103" si="50">IF(ISBLANK(C102),"",VLOOKUP(C102,$B$110:$L$146,11,0))</f>
        <v/>
      </c>
      <c r="D103" s="87">
        <f t="shared" si="50"/>
        <v>0</v>
      </c>
      <c r="E103" s="87" t="str">
        <f t="shared" si="50"/>
        <v/>
      </c>
      <c r="F103" s="87">
        <f t="shared" si="50"/>
        <v>0</v>
      </c>
      <c r="G103" s="87">
        <f t="shared" si="50"/>
        <v>0</v>
      </c>
      <c r="H103" s="87">
        <f t="shared" si="50"/>
        <v>0</v>
      </c>
      <c r="I103" s="87">
        <f t="shared" si="50"/>
        <v>0</v>
      </c>
      <c r="J103" s="161" t="s">
        <v>57</v>
      </c>
      <c r="K103" s="139"/>
      <c r="L103" s="91"/>
    </row>
    <row r="104" spans="1:12" s="39" customFormat="1" ht="13" customHeight="1" thickTop="1" x14ac:dyDescent="0.2">
      <c r="A104" s="74"/>
      <c r="B104" s="158" t="s">
        <v>135</v>
      </c>
      <c r="C104" s="71"/>
      <c r="D104" s="86"/>
      <c r="E104" s="71" t="s">
        <v>95</v>
      </c>
      <c r="F104" s="86"/>
      <c r="G104" s="71"/>
      <c r="H104" s="86" t="s">
        <v>95</v>
      </c>
      <c r="I104" s="86" t="s">
        <v>95</v>
      </c>
      <c r="J104" s="160"/>
      <c r="K104" s="139">
        <v>4</v>
      </c>
      <c r="L104" s="91"/>
    </row>
    <row r="105" spans="1:12" ht="13" customHeight="1" thickBot="1" x14ac:dyDescent="0.25">
      <c r="A105" s="94"/>
      <c r="B105" s="159"/>
      <c r="C105" s="87" t="str">
        <f t="shared" ref="C105:I105" si="51">IF(ISBLANK(C104),"",VLOOKUP(C104,$B$110:$L$146,11,0))</f>
        <v/>
      </c>
      <c r="D105" s="87" t="str">
        <f t="shared" si="51"/>
        <v/>
      </c>
      <c r="E105" s="87">
        <f t="shared" si="51"/>
        <v>0</v>
      </c>
      <c r="F105" s="87" t="str">
        <f t="shared" si="51"/>
        <v/>
      </c>
      <c r="G105" s="87" t="str">
        <f t="shared" si="51"/>
        <v/>
      </c>
      <c r="H105" s="87">
        <f t="shared" si="51"/>
        <v>0</v>
      </c>
      <c r="I105" s="87">
        <f t="shared" si="51"/>
        <v>0</v>
      </c>
      <c r="J105" s="161" t="s">
        <v>57</v>
      </c>
      <c r="K105" s="139"/>
      <c r="L105" s="91"/>
    </row>
    <row r="106" spans="1:12" s="39" customFormat="1" ht="13" customHeight="1" thickTop="1" x14ac:dyDescent="0.2">
      <c r="A106" s="74">
        <f>7-(COUNTIF(C106:I106,"")+COUNTIF(C106:I106,$B$144))</f>
        <v>5</v>
      </c>
      <c r="B106" s="158" t="s">
        <v>29</v>
      </c>
      <c r="C106" s="86" t="s">
        <v>87</v>
      </c>
      <c r="D106" s="86" t="s">
        <v>87</v>
      </c>
      <c r="E106" s="86" t="s">
        <v>87</v>
      </c>
      <c r="F106" s="86" t="s">
        <v>87</v>
      </c>
      <c r="G106" s="86" t="s">
        <v>87</v>
      </c>
      <c r="H106" s="86" t="s">
        <v>95</v>
      </c>
      <c r="I106" s="86" t="s">
        <v>95</v>
      </c>
      <c r="J106" s="160"/>
      <c r="K106" s="139">
        <v>5</v>
      </c>
      <c r="L106" s="91"/>
    </row>
    <row r="107" spans="1:12" s="39" customFormat="1" ht="13" customHeight="1" thickBot="1" x14ac:dyDescent="0.25">
      <c r="A107" s="90"/>
      <c r="B107" s="167"/>
      <c r="C107" s="93" t="str">
        <f t="shared" ref="C107:I107" si="52">IF(ISBLANK(C106),"",VLOOKUP(C106,$B$110:$L$146,11,0))</f>
        <v>08H00-16H30</v>
      </c>
      <c r="D107" s="93" t="str">
        <f t="shared" si="52"/>
        <v>08H00-16H30</v>
      </c>
      <c r="E107" s="93" t="str">
        <f t="shared" si="52"/>
        <v>08H00-16H30</v>
      </c>
      <c r="F107" s="93" t="str">
        <f t="shared" si="52"/>
        <v>08H00-16H30</v>
      </c>
      <c r="G107" s="93" t="str">
        <f t="shared" si="52"/>
        <v>08H00-16H30</v>
      </c>
      <c r="H107" s="93">
        <f t="shared" si="52"/>
        <v>0</v>
      </c>
      <c r="I107" s="93">
        <f t="shared" si="52"/>
        <v>0</v>
      </c>
      <c r="J107" s="168"/>
      <c r="K107" s="139"/>
      <c r="L107" s="91"/>
    </row>
    <row r="108" spans="1:12" s="39" customFormat="1" ht="13" customHeight="1" thickTop="1" x14ac:dyDescent="0.2">
      <c r="A108" s="90"/>
      <c r="B108" s="90"/>
      <c r="C108" s="95">
        <f>C5</f>
        <v>43108</v>
      </c>
      <c r="D108" s="95">
        <f t="shared" ref="D108:I108" si="53">C108+1</f>
        <v>43109</v>
      </c>
      <c r="E108" s="95">
        <f t="shared" si="53"/>
        <v>43110</v>
      </c>
      <c r="F108" s="95">
        <f t="shared" si="53"/>
        <v>43111</v>
      </c>
      <c r="G108" s="95">
        <f t="shared" si="53"/>
        <v>43112</v>
      </c>
      <c r="H108" s="95">
        <f t="shared" si="53"/>
        <v>43113</v>
      </c>
      <c r="I108" s="95">
        <f t="shared" si="53"/>
        <v>43114</v>
      </c>
      <c r="J108" s="90"/>
      <c r="K108" s="141"/>
      <c r="L108" s="91"/>
    </row>
    <row r="109" spans="1:12" ht="13" customHeight="1" x14ac:dyDescent="0.2">
      <c r="A109" s="94"/>
      <c r="B109" s="96" t="s">
        <v>39</v>
      </c>
      <c r="C109" s="97"/>
      <c r="D109" s="97"/>
      <c r="E109" s="97"/>
      <c r="F109" s="97"/>
      <c r="G109" s="90"/>
      <c r="H109" s="90"/>
      <c r="I109" s="90"/>
      <c r="J109" s="98" t="s">
        <v>98</v>
      </c>
      <c r="K109" s="141" t="s">
        <v>107</v>
      </c>
      <c r="L109" s="100" t="s">
        <v>97</v>
      </c>
    </row>
    <row r="110" spans="1:12" ht="13" customHeight="1" x14ac:dyDescent="0.2">
      <c r="A110" s="94"/>
      <c r="B110" s="101" t="s">
        <v>117</v>
      </c>
      <c r="C110" s="102">
        <f t="shared" ref="C110:I119" si="54">COUNTIF(C$6:C$107,$B110)</f>
        <v>0</v>
      </c>
      <c r="D110" s="102">
        <f t="shared" si="54"/>
        <v>0</v>
      </c>
      <c r="E110" s="102">
        <f t="shared" si="54"/>
        <v>0</v>
      </c>
      <c r="F110" s="102">
        <f t="shared" si="54"/>
        <v>0</v>
      </c>
      <c r="G110" s="102">
        <f t="shared" si="54"/>
        <v>0</v>
      </c>
      <c r="H110" s="102">
        <f t="shared" si="54"/>
        <v>0</v>
      </c>
      <c r="I110" s="102">
        <f t="shared" si="54"/>
        <v>0</v>
      </c>
      <c r="J110" s="103">
        <f t="shared" ref="J110:J146" si="55">SUM(C110:I110)</f>
        <v>0</v>
      </c>
      <c r="K110" s="141"/>
      <c r="L110" s="104" t="s">
        <v>118</v>
      </c>
    </row>
    <row r="111" spans="1:12" ht="13" customHeight="1" x14ac:dyDescent="0.2">
      <c r="A111" s="94"/>
      <c r="B111" s="54" t="s">
        <v>160</v>
      </c>
      <c r="C111" s="102">
        <f t="shared" si="54"/>
        <v>0</v>
      </c>
      <c r="D111" s="102">
        <f t="shared" si="54"/>
        <v>0</v>
      </c>
      <c r="E111" s="102">
        <f t="shared" si="54"/>
        <v>0</v>
      </c>
      <c r="F111" s="102">
        <f t="shared" si="54"/>
        <v>0</v>
      </c>
      <c r="G111" s="102">
        <f t="shared" si="54"/>
        <v>0</v>
      </c>
      <c r="H111" s="102">
        <f t="shared" si="54"/>
        <v>0</v>
      </c>
      <c r="I111" s="102">
        <f t="shared" si="54"/>
        <v>0</v>
      </c>
      <c r="J111" s="103"/>
      <c r="K111" s="141"/>
      <c r="L111" s="104" t="s">
        <v>116</v>
      </c>
    </row>
    <row r="112" spans="1:12" ht="13" customHeight="1" x14ac:dyDescent="0.2">
      <c r="A112" s="94"/>
      <c r="B112" s="105" t="s">
        <v>79</v>
      </c>
      <c r="C112" s="102">
        <f t="shared" si="54"/>
        <v>1</v>
      </c>
      <c r="D112" s="102">
        <f t="shared" si="54"/>
        <v>1</v>
      </c>
      <c r="E112" s="102">
        <f t="shared" si="54"/>
        <v>1</v>
      </c>
      <c r="F112" s="102">
        <f t="shared" si="54"/>
        <v>1</v>
      </c>
      <c r="G112" s="102">
        <f t="shared" si="54"/>
        <v>1</v>
      </c>
      <c r="H112" s="102">
        <f t="shared" si="54"/>
        <v>1</v>
      </c>
      <c r="I112" s="102">
        <f t="shared" si="54"/>
        <v>1</v>
      </c>
      <c r="J112" s="103">
        <f t="shared" si="55"/>
        <v>7</v>
      </c>
      <c r="K112" s="141">
        <v>7</v>
      </c>
      <c r="L112" s="104" t="s">
        <v>34</v>
      </c>
    </row>
    <row r="113" spans="1:12" ht="13" customHeight="1" x14ac:dyDescent="0.2">
      <c r="A113" s="94"/>
      <c r="B113" s="70" t="s">
        <v>150</v>
      </c>
      <c r="C113" s="102">
        <f t="shared" si="54"/>
        <v>1</v>
      </c>
      <c r="D113" s="102">
        <f t="shared" si="54"/>
        <v>1</v>
      </c>
      <c r="E113" s="102">
        <f t="shared" si="54"/>
        <v>1</v>
      </c>
      <c r="F113" s="102">
        <f t="shared" si="54"/>
        <v>1</v>
      </c>
      <c r="G113" s="102">
        <f t="shared" si="54"/>
        <v>1</v>
      </c>
      <c r="H113" s="102">
        <f t="shared" si="54"/>
        <v>1</v>
      </c>
      <c r="I113" s="102">
        <f t="shared" si="54"/>
        <v>1</v>
      </c>
      <c r="J113" s="103">
        <f t="shared" si="55"/>
        <v>7</v>
      </c>
      <c r="K113" s="141">
        <v>7</v>
      </c>
      <c r="L113" s="104" t="s">
        <v>34</v>
      </c>
    </row>
    <row r="114" spans="1:12" ht="13" customHeight="1" x14ac:dyDescent="0.2">
      <c r="A114" s="94"/>
      <c r="B114" s="106" t="s">
        <v>80</v>
      </c>
      <c r="C114" s="102">
        <f t="shared" si="54"/>
        <v>1</v>
      </c>
      <c r="D114" s="102">
        <f t="shared" si="54"/>
        <v>1</v>
      </c>
      <c r="E114" s="102">
        <f t="shared" si="54"/>
        <v>1</v>
      </c>
      <c r="F114" s="102">
        <f t="shared" si="54"/>
        <v>1</v>
      </c>
      <c r="G114" s="102">
        <f t="shared" si="54"/>
        <v>1</v>
      </c>
      <c r="H114" s="102">
        <f t="shared" si="54"/>
        <v>1</v>
      </c>
      <c r="I114" s="102">
        <f t="shared" si="54"/>
        <v>1</v>
      </c>
      <c r="J114" s="103">
        <f t="shared" si="55"/>
        <v>7</v>
      </c>
      <c r="K114" s="141">
        <v>7</v>
      </c>
      <c r="L114" s="104" t="s">
        <v>32</v>
      </c>
    </row>
    <row r="115" spans="1:12" ht="13" customHeight="1" x14ac:dyDescent="0.2">
      <c r="A115" s="94"/>
      <c r="B115" s="107" t="s">
        <v>81</v>
      </c>
      <c r="C115" s="102">
        <f t="shared" si="54"/>
        <v>1</v>
      </c>
      <c r="D115" s="102">
        <f t="shared" si="54"/>
        <v>1</v>
      </c>
      <c r="E115" s="102">
        <f t="shared" si="54"/>
        <v>1</v>
      </c>
      <c r="F115" s="102">
        <f t="shared" si="54"/>
        <v>1</v>
      </c>
      <c r="G115" s="102">
        <f t="shared" si="54"/>
        <v>1</v>
      </c>
      <c r="H115" s="102">
        <f t="shared" si="54"/>
        <v>1</v>
      </c>
      <c r="I115" s="102">
        <f t="shared" si="54"/>
        <v>1</v>
      </c>
      <c r="J115" s="103">
        <f t="shared" si="55"/>
        <v>7</v>
      </c>
      <c r="K115" s="141">
        <v>7</v>
      </c>
      <c r="L115" s="104" t="s">
        <v>36</v>
      </c>
    </row>
    <row r="116" spans="1:12" ht="13" customHeight="1" x14ac:dyDescent="0.2">
      <c r="A116" s="90"/>
      <c r="B116" s="73" t="s">
        <v>154</v>
      </c>
      <c r="C116" s="102">
        <f t="shared" si="54"/>
        <v>1</v>
      </c>
      <c r="D116" s="102">
        <f t="shared" si="54"/>
        <v>1</v>
      </c>
      <c r="E116" s="102">
        <f t="shared" si="54"/>
        <v>1</v>
      </c>
      <c r="F116" s="102">
        <f t="shared" si="54"/>
        <v>1</v>
      </c>
      <c r="G116" s="102">
        <f t="shared" si="54"/>
        <v>1</v>
      </c>
      <c r="H116" s="102">
        <f t="shared" si="54"/>
        <v>1</v>
      </c>
      <c r="I116" s="102">
        <f t="shared" si="54"/>
        <v>0</v>
      </c>
      <c r="J116" s="103">
        <f t="shared" si="55"/>
        <v>6</v>
      </c>
      <c r="K116" s="141">
        <v>7</v>
      </c>
      <c r="L116" s="104" t="s">
        <v>125</v>
      </c>
    </row>
    <row r="117" spans="1:12" ht="13" customHeight="1" x14ac:dyDescent="0.2">
      <c r="A117" s="94"/>
      <c r="B117" s="108" t="s">
        <v>103</v>
      </c>
      <c r="C117" s="102">
        <f t="shared" si="54"/>
        <v>0</v>
      </c>
      <c r="D117" s="102">
        <f t="shared" si="54"/>
        <v>0</v>
      </c>
      <c r="E117" s="102">
        <f t="shared" si="54"/>
        <v>0</v>
      </c>
      <c r="F117" s="102">
        <f t="shared" si="54"/>
        <v>0</v>
      </c>
      <c r="G117" s="102">
        <f t="shared" si="54"/>
        <v>0</v>
      </c>
      <c r="H117" s="102">
        <f t="shared" si="54"/>
        <v>0</v>
      </c>
      <c r="I117" s="102">
        <f t="shared" si="54"/>
        <v>0</v>
      </c>
      <c r="J117" s="103">
        <f t="shared" si="55"/>
        <v>0</v>
      </c>
      <c r="K117" s="141">
        <v>0</v>
      </c>
      <c r="L117" s="104" t="s">
        <v>38</v>
      </c>
    </row>
    <row r="118" spans="1:12" ht="13" customHeight="1" x14ac:dyDescent="0.2">
      <c r="A118" s="94"/>
      <c r="B118" s="109" t="s">
        <v>149</v>
      </c>
      <c r="C118" s="102">
        <f t="shared" si="54"/>
        <v>1</v>
      </c>
      <c r="D118" s="102">
        <f t="shared" si="54"/>
        <v>1</v>
      </c>
      <c r="E118" s="102">
        <f t="shared" si="54"/>
        <v>1</v>
      </c>
      <c r="F118" s="102">
        <f t="shared" si="54"/>
        <v>1</v>
      </c>
      <c r="G118" s="102">
        <f t="shared" si="54"/>
        <v>1</v>
      </c>
      <c r="H118" s="102">
        <f t="shared" si="54"/>
        <v>1</v>
      </c>
      <c r="I118" s="102">
        <f t="shared" si="54"/>
        <v>1</v>
      </c>
      <c r="J118" s="103">
        <f t="shared" si="55"/>
        <v>7</v>
      </c>
      <c r="K118" s="141">
        <v>7</v>
      </c>
      <c r="L118" s="104" t="s">
        <v>34</v>
      </c>
    </row>
    <row r="119" spans="1:12" ht="13" customHeight="1" x14ac:dyDescent="0.2">
      <c r="A119" s="94"/>
      <c r="B119" s="110" t="s">
        <v>122</v>
      </c>
      <c r="C119" s="102">
        <f t="shared" si="54"/>
        <v>1</v>
      </c>
      <c r="D119" s="102">
        <f t="shared" si="54"/>
        <v>1</v>
      </c>
      <c r="E119" s="102">
        <f t="shared" si="54"/>
        <v>1</v>
      </c>
      <c r="F119" s="102">
        <f t="shared" si="54"/>
        <v>1</v>
      </c>
      <c r="G119" s="102">
        <f t="shared" si="54"/>
        <v>1</v>
      </c>
      <c r="H119" s="102">
        <f t="shared" si="54"/>
        <v>1</v>
      </c>
      <c r="I119" s="102">
        <f t="shared" si="54"/>
        <v>1</v>
      </c>
      <c r="J119" s="103">
        <f>SUM(C119:I119)</f>
        <v>7</v>
      </c>
      <c r="K119" s="141">
        <v>7</v>
      </c>
      <c r="L119" s="104" t="s">
        <v>32</v>
      </c>
    </row>
    <row r="120" spans="1:12" ht="13" customHeight="1" x14ac:dyDescent="0.2">
      <c r="A120" s="94"/>
      <c r="B120" s="111" t="s">
        <v>82</v>
      </c>
      <c r="C120" s="102">
        <f t="shared" ref="C120:I129" si="56">COUNTIF(C$6:C$107,$B120)</f>
        <v>2</v>
      </c>
      <c r="D120" s="102">
        <f t="shared" si="56"/>
        <v>2</v>
      </c>
      <c r="E120" s="102">
        <f t="shared" si="56"/>
        <v>2</v>
      </c>
      <c r="F120" s="102">
        <f t="shared" si="56"/>
        <v>2</v>
      </c>
      <c r="G120" s="102">
        <f t="shared" si="56"/>
        <v>2</v>
      </c>
      <c r="H120" s="102">
        <f t="shared" si="56"/>
        <v>2</v>
      </c>
      <c r="I120" s="102">
        <f t="shared" si="56"/>
        <v>2</v>
      </c>
      <c r="J120" s="103">
        <f t="shared" si="55"/>
        <v>14</v>
      </c>
      <c r="K120" s="141">
        <v>14</v>
      </c>
      <c r="L120" s="104" t="s">
        <v>32</v>
      </c>
    </row>
    <row r="121" spans="1:12" ht="13" customHeight="1" x14ac:dyDescent="0.2">
      <c r="A121" s="94"/>
      <c r="B121" s="111" t="s">
        <v>83</v>
      </c>
      <c r="C121" s="102">
        <f t="shared" si="56"/>
        <v>1</v>
      </c>
      <c r="D121" s="102">
        <f t="shared" si="56"/>
        <v>1</v>
      </c>
      <c r="E121" s="102">
        <f t="shared" si="56"/>
        <v>1</v>
      </c>
      <c r="F121" s="102">
        <f t="shared" si="56"/>
        <v>1</v>
      </c>
      <c r="G121" s="102">
        <f t="shared" si="56"/>
        <v>1</v>
      </c>
      <c r="H121" s="102">
        <f t="shared" si="56"/>
        <v>1</v>
      </c>
      <c r="I121" s="102">
        <f t="shared" si="56"/>
        <v>1</v>
      </c>
      <c r="J121" s="103">
        <f t="shared" si="55"/>
        <v>7</v>
      </c>
      <c r="K121" s="141">
        <v>7</v>
      </c>
      <c r="L121" s="104" t="s">
        <v>34</v>
      </c>
    </row>
    <row r="122" spans="1:12" ht="13" customHeight="1" x14ac:dyDescent="0.2">
      <c r="A122" s="94"/>
      <c r="B122" s="111" t="s">
        <v>109</v>
      </c>
      <c r="C122" s="102">
        <f t="shared" si="56"/>
        <v>0</v>
      </c>
      <c r="D122" s="102">
        <f t="shared" si="56"/>
        <v>0</v>
      </c>
      <c r="E122" s="102">
        <f t="shared" si="56"/>
        <v>0</v>
      </c>
      <c r="F122" s="102">
        <f t="shared" si="56"/>
        <v>0</v>
      </c>
      <c r="G122" s="102">
        <f t="shared" si="56"/>
        <v>0</v>
      </c>
      <c r="H122" s="102">
        <f t="shared" si="56"/>
        <v>0</v>
      </c>
      <c r="I122" s="102">
        <f t="shared" si="56"/>
        <v>0</v>
      </c>
      <c r="J122" s="103">
        <f t="shared" si="55"/>
        <v>0</v>
      </c>
      <c r="K122" s="141"/>
      <c r="L122" s="104" t="s">
        <v>126</v>
      </c>
    </row>
    <row r="123" spans="1:12" ht="13" customHeight="1" x14ac:dyDescent="0.2">
      <c r="A123" s="94"/>
      <c r="B123" s="112" t="s">
        <v>84</v>
      </c>
      <c r="C123" s="102">
        <f t="shared" si="56"/>
        <v>3</v>
      </c>
      <c r="D123" s="102">
        <f t="shared" si="56"/>
        <v>3</v>
      </c>
      <c r="E123" s="102">
        <f t="shared" si="56"/>
        <v>3</v>
      </c>
      <c r="F123" s="102">
        <f t="shared" si="56"/>
        <v>3</v>
      </c>
      <c r="G123" s="102">
        <f t="shared" si="56"/>
        <v>3</v>
      </c>
      <c r="H123" s="102">
        <f t="shared" si="56"/>
        <v>3</v>
      </c>
      <c r="I123" s="102">
        <f t="shared" si="56"/>
        <v>3</v>
      </c>
      <c r="J123" s="103">
        <f t="shared" si="55"/>
        <v>21</v>
      </c>
      <c r="K123" s="141">
        <v>21</v>
      </c>
      <c r="L123" s="104" t="s">
        <v>35</v>
      </c>
    </row>
    <row r="124" spans="1:12" ht="13" customHeight="1" x14ac:dyDescent="0.2">
      <c r="A124" s="94"/>
      <c r="B124" s="113" t="s">
        <v>123</v>
      </c>
      <c r="C124" s="102">
        <f t="shared" si="56"/>
        <v>1</v>
      </c>
      <c r="D124" s="102">
        <f t="shared" si="56"/>
        <v>1</v>
      </c>
      <c r="E124" s="102">
        <f t="shared" si="56"/>
        <v>1</v>
      </c>
      <c r="F124" s="102">
        <f t="shared" si="56"/>
        <v>1</v>
      </c>
      <c r="G124" s="102">
        <f t="shared" si="56"/>
        <v>1</v>
      </c>
      <c r="H124" s="102">
        <f t="shared" si="56"/>
        <v>1</v>
      </c>
      <c r="I124" s="102">
        <f t="shared" si="56"/>
        <v>1</v>
      </c>
      <c r="J124" s="103">
        <f>SUM(C124:I124)</f>
        <v>7</v>
      </c>
      <c r="K124" s="141">
        <v>7</v>
      </c>
      <c r="L124" s="104" t="s">
        <v>36</v>
      </c>
    </row>
    <row r="125" spans="1:12" ht="13" customHeight="1" x14ac:dyDescent="0.2">
      <c r="A125" s="94"/>
      <c r="B125" s="112" t="s">
        <v>85</v>
      </c>
      <c r="C125" s="102">
        <f t="shared" si="56"/>
        <v>1</v>
      </c>
      <c r="D125" s="102">
        <f t="shared" si="56"/>
        <v>1</v>
      </c>
      <c r="E125" s="102">
        <f t="shared" si="56"/>
        <v>1</v>
      </c>
      <c r="F125" s="102">
        <f t="shared" si="56"/>
        <v>1</v>
      </c>
      <c r="G125" s="102">
        <f t="shared" si="56"/>
        <v>1</v>
      </c>
      <c r="H125" s="102">
        <f t="shared" si="56"/>
        <v>1</v>
      </c>
      <c r="I125" s="102">
        <f t="shared" si="56"/>
        <v>1</v>
      </c>
      <c r="J125" s="103">
        <f t="shared" si="55"/>
        <v>7</v>
      </c>
      <c r="K125" s="141">
        <v>7</v>
      </c>
      <c r="L125" s="104" t="s">
        <v>36</v>
      </c>
    </row>
    <row r="126" spans="1:12" ht="13" customHeight="1" x14ac:dyDescent="0.2">
      <c r="A126" s="94"/>
      <c r="B126" s="114" t="s">
        <v>110</v>
      </c>
      <c r="C126" s="102">
        <f t="shared" si="56"/>
        <v>1</v>
      </c>
      <c r="D126" s="102">
        <f t="shared" si="56"/>
        <v>1</v>
      </c>
      <c r="E126" s="102">
        <f t="shared" si="56"/>
        <v>1</v>
      </c>
      <c r="F126" s="102">
        <f t="shared" si="56"/>
        <v>1</v>
      </c>
      <c r="G126" s="102">
        <f t="shared" si="56"/>
        <v>1</v>
      </c>
      <c r="H126" s="102">
        <f t="shared" si="56"/>
        <v>1</v>
      </c>
      <c r="I126" s="102">
        <f t="shared" si="56"/>
        <v>1</v>
      </c>
      <c r="J126" s="103">
        <f t="shared" si="55"/>
        <v>7</v>
      </c>
      <c r="K126" s="141">
        <v>7</v>
      </c>
      <c r="L126" s="104" t="s">
        <v>38</v>
      </c>
    </row>
    <row r="127" spans="1:12" ht="13" customHeight="1" x14ac:dyDescent="0.2">
      <c r="A127" s="94"/>
      <c r="B127" s="115" t="s">
        <v>86</v>
      </c>
      <c r="C127" s="102">
        <f t="shared" si="56"/>
        <v>0</v>
      </c>
      <c r="D127" s="102">
        <f t="shared" si="56"/>
        <v>0</v>
      </c>
      <c r="E127" s="102">
        <f t="shared" si="56"/>
        <v>0</v>
      </c>
      <c r="F127" s="102">
        <f t="shared" si="56"/>
        <v>0</v>
      </c>
      <c r="G127" s="102">
        <f t="shared" si="56"/>
        <v>0</v>
      </c>
      <c r="H127" s="102">
        <f t="shared" si="56"/>
        <v>0</v>
      </c>
      <c r="I127" s="102">
        <f t="shared" si="56"/>
        <v>0</v>
      </c>
      <c r="J127" s="103">
        <f t="shared" si="55"/>
        <v>0</v>
      </c>
      <c r="K127" s="141">
        <v>19</v>
      </c>
      <c r="L127" s="104" t="s">
        <v>32</v>
      </c>
    </row>
    <row r="128" spans="1:12" ht="13" customHeight="1" x14ac:dyDescent="0.2">
      <c r="A128" s="94"/>
      <c r="B128" s="115" t="s">
        <v>87</v>
      </c>
      <c r="C128" s="102">
        <f t="shared" si="56"/>
        <v>6</v>
      </c>
      <c r="D128" s="102">
        <f t="shared" si="56"/>
        <v>7</v>
      </c>
      <c r="E128" s="102">
        <f t="shared" si="56"/>
        <v>7</v>
      </c>
      <c r="F128" s="102">
        <f t="shared" si="56"/>
        <v>7</v>
      </c>
      <c r="G128" s="102">
        <f t="shared" si="56"/>
        <v>7</v>
      </c>
      <c r="H128" s="102">
        <f t="shared" si="56"/>
        <v>0</v>
      </c>
      <c r="I128" s="102">
        <f t="shared" si="56"/>
        <v>0</v>
      </c>
      <c r="J128" s="103">
        <f t="shared" si="55"/>
        <v>34</v>
      </c>
      <c r="K128" s="141">
        <v>20</v>
      </c>
      <c r="L128" s="104" t="s">
        <v>116</v>
      </c>
    </row>
    <row r="129" spans="1:12" ht="13" customHeight="1" x14ac:dyDescent="0.2">
      <c r="A129" s="94"/>
      <c r="B129" s="116" t="s">
        <v>88</v>
      </c>
      <c r="C129" s="102">
        <f t="shared" si="56"/>
        <v>0</v>
      </c>
      <c r="D129" s="102">
        <f t="shared" si="56"/>
        <v>0</v>
      </c>
      <c r="E129" s="102">
        <f t="shared" si="56"/>
        <v>0</v>
      </c>
      <c r="F129" s="102">
        <f t="shared" si="56"/>
        <v>0</v>
      </c>
      <c r="G129" s="102">
        <f t="shared" si="56"/>
        <v>0</v>
      </c>
      <c r="H129" s="102">
        <f t="shared" si="56"/>
        <v>0</v>
      </c>
      <c r="I129" s="102">
        <f t="shared" si="56"/>
        <v>0</v>
      </c>
      <c r="J129" s="103">
        <f t="shared" si="55"/>
        <v>0</v>
      </c>
      <c r="K129" s="141">
        <v>6</v>
      </c>
      <c r="L129" s="104" t="s">
        <v>36</v>
      </c>
    </row>
    <row r="130" spans="1:12" ht="13" customHeight="1" x14ac:dyDescent="0.2">
      <c r="A130" s="94"/>
      <c r="B130" s="117" t="s">
        <v>89</v>
      </c>
      <c r="C130" s="102">
        <f t="shared" ref="C130:I135" si="57">COUNTIF(C$6:C$107,$B130)</f>
        <v>1</v>
      </c>
      <c r="D130" s="102">
        <f t="shared" si="57"/>
        <v>1</v>
      </c>
      <c r="E130" s="102">
        <f t="shared" si="57"/>
        <v>1</v>
      </c>
      <c r="F130" s="102">
        <f t="shared" si="57"/>
        <v>1</v>
      </c>
      <c r="G130" s="102">
        <f t="shared" si="57"/>
        <v>1</v>
      </c>
      <c r="H130" s="102">
        <f t="shared" si="57"/>
        <v>0</v>
      </c>
      <c r="I130" s="102">
        <f t="shared" si="57"/>
        <v>0</v>
      </c>
      <c r="J130" s="103">
        <f t="shared" si="55"/>
        <v>5</v>
      </c>
      <c r="K130" s="141">
        <v>5</v>
      </c>
      <c r="L130" s="104" t="s">
        <v>37</v>
      </c>
    </row>
    <row r="131" spans="1:12" ht="13" customHeight="1" x14ac:dyDescent="0.2">
      <c r="A131" s="94"/>
      <c r="B131" s="118" t="s">
        <v>90</v>
      </c>
      <c r="C131" s="102">
        <f t="shared" si="57"/>
        <v>1</v>
      </c>
      <c r="D131" s="102">
        <f t="shared" si="57"/>
        <v>1</v>
      </c>
      <c r="E131" s="102">
        <f t="shared" si="57"/>
        <v>1</v>
      </c>
      <c r="F131" s="102">
        <f t="shared" si="57"/>
        <v>1</v>
      </c>
      <c r="G131" s="102">
        <f t="shared" si="57"/>
        <v>1</v>
      </c>
      <c r="H131" s="102">
        <f t="shared" si="57"/>
        <v>1</v>
      </c>
      <c r="I131" s="102">
        <f t="shared" si="57"/>
        <v>1</v>
      </c>
      <c r="J131" s="103">
        <f t="shared" si="55"/>
        <v>7</v>
      </c>
      <c r="K131" s="141">
        <v>7</v>
      </c>
      <c r="L131" s="104" t="s">
        <v>32</v>
      </c>
    </row>
    <row r="132" spans="1:12" ht="13" customHeight="1" x14ac:dyDescent="0.2">
      <c r="A132" s="94"/>
      <c r="B132" s="118" t="s">
        <v>91</v>
      </c>
      <c r="C132" s="102">
        <f t="shared" si="57"/>
        <v>1</v>
      </c>
      <c r="D132" s="102">
        <f t="shared" si="57"/>
        <v>1</v>
      </c>
      <c r="E132" s="102">
        <f t="shared" si="57"/>
        <v>1</v>
      </c>
      <c r="F132" s="102">
        <f t="shared" si="57"/>
        <v>1</v>
      </c>
      <c r="G132" s="102">
        <f t="shared" si="57"/>
        <v>1</v>
      </c>
      <c r="H132" s="102">
        <f t="shared" si="57"/>
        <v>1</v>
      </c>
      <c r="I132" s="102">
        <f t="shared" si="57"/>
        <v>1</v>
      </c>
      <c r="J132" s="103">
        <f t="shared" si="55"/>
        <v>7</v>
      </c>
      <c r="K132" s="141">
        <v>7</v>
      </c>
      <c r="L132" s="104" t="s">
        <v>32</v>
      </c>
    </row>
    <row r="133" spans="1:12" ht="13" customHeight="1" x14ac:dyDescent="0.2">
      <c r="A133" s="94"/>
      <c r="B133" s="118" t="s">
        <v>92</v>
      </c>
      <c r="C133" s="102">
        <f t="shared" si="57"/>
        <v>1</v>
      </c>
      <c r="D133" s="102">
        <f t="shared" si="57"/>
        <v>1</v>
      </c>
      <c r="E133" s="102">
        <f t="shared" si="57"/>
        <v>1</v>
      </c>
      <c r="F133" s="102">
        <f t="shared" si="57"/>
        <v>1</v>
      </c>
      <c r="G133" s="102">
        <f t="shared" si="57"/>
        <v>1</v>
      </c>
      <c r="H133" s="102">
        <f t="shared" si="57"/>
        <v>1</v>
      </c>
      <c r="I133" s="102">
        <f t="shared" si="57"/>
        <v>1</v>
      </c>
      <c r="J133" s="103">
        <f t="shared" si="55"/>
        <v>7</v>
      </c>
      <c r="K133" s="141">
        <v>7</v>
      </c>
      <c r="L133" s="104" t="s">
        <v>96</v>
      </c>
    </row>
    <row r="134" spans="1:12" ht="13" customHeight="1" x14ac:dyDescent="0.2">
      <c r="A134" s="94"/>
      <c r="B134" s="119" t="s">
        <v>31</v>
      </c>
      <c r="C134" s="102">
        <f t="shared" si="57"/>
        <v>1</v>
      </c>
      <c r="D134" s="102">
        <f t="shared" si="57"/>
        <v>1</v>
      </c>
      <c r="E134" s="102">
        <f t="shared" si="57"/>
        <v>1</v>
      </c>
      <c r="F134" s="102">
        <f t="shared" si="57"/>
        <v>1</v>
      </c>
      <c r="G134" s="102">
        <f t="shared" si="57"/>
        <v>1</v>
      </c>
      <c r="H134" s="102">
        <f t="shared" si="57"/>
        <v>1</v>
      </c>
      <c r="I134" s="102">
        <f t="shared" si="57"/>
        <v>1</v>
      </c>
      <c r="J134" s="103">
        <f t="shared" si="55"/>
        <v>7</v>
      </c>
      <c r="K134" s="141">
        <v>7</v>
      </c>
      <c r="L134" s="104" t="s">
        <v>32</v>
      </c>
    </row>
    <row r="135" spans="1:12" ht="13" customHeight="1" x14ac:dyDescent="0.2">
      <c r="A135" s="94"/>
      <c r="B135" s="120" t="s">
        <v>93</v>
      </c>
      <c r="C135" s="102">
        <f t="shared" si="57"/>
        <v>1</v>
      </c>
      <c r="D135" s="102">
        <f t="shared" si="57"/>
        <v>1</v>
      </c>
      <c r="E135" s="102">
        <f t="shared" si="57"/>
        <v>1</v>
      </c>
      <c r="F135" s="102">
        <f t="shared" si="57"/>
        <v>1</v>
      </c>
      <c r="G135" s="102">
        <f t="shared" si="57"/>
        <v>1</v>
      </c>
      <c r="H135" s="102">
        <f t="shared" si="57"/>
        <v>1</v>
      </c>
      <c r="I135" s="102">
        <f t="shared" si="57"/>
        <v>1</v>
      </c>
      <c r="J135" s="103">
        <f t="shared" si="55"/>
        <v>7</v>
      </c>
      <c r="K135" s="141">
        <v>7</v>
      </c>
      <c r="L135" s="104" t="s">
        <v>32</v>
      </c>
    </row>
    <row r="136" spans="1:12" ht="13" customHeight="1" x14ac:dyDescent="0.2">
      <c r="A136" s="90"/>
      <c r="B136" s="121" t="s">
        <v>137</v>
      </c>
      <c r="C136" s="102">
        <f t="shared" ref="C136:I138" si="58">COUNTIF(C$6:C$115,Actions)</f>
        <v>1</v>
      </c>
      <c r="D136" s="102">
        <f t="shared" si="58"/>
        <v>1</v>
      </c>
      <c r="E136" s="102">
        <f t="shared" si="58"/>
        <v>1</v>
      </c>
      <c r="F136" s="102">
        <f t="shared" si="58"/>
        <v>1</v>
      </c>
      <c r="G136" s="102">
        <f t="shared" si="58"/>
        <v>1</v>
      </c>
      <c r="H136" s="102">
        <f t="shared" si="58"/>
        <v>1</v>
      </c>
      <c r="I136" s="102">
        <f t="shared" si="58"/>
        <v>1</v>
      </c>
      <c r="J136" s="103">
        <f t="shared" si="55"/>
        <v>7</v>
      </c>
      <c r="K136" s="142">
        <v>7</v>
      </c>
      <c r="L136" s="123" t="s">
        <v>32</v>
      </c>
    </row>
    <row r="137" spans="1:12" ht="13" customHeight="1" x14ac:dyDescent="0.2">
      <c r="A137" s="90"/>
      <c r="B137" s="124" t="s">
        <v>139</v>
      </c>
      <c r="C137" s="102">
        <f t="shared" si="58"/>
        <v>1</v>
      </c>
      <c r="D137" s="102">
        <f t="shared" si="58"/>
        <v>1</v>
      </c>
      <c r="E137" s="102">
        <f t="shared" si="58"/>
        <v>1</v>
      </c>
      <c r="F137" s="102">
        <f t="shared" si="58"/>
        <v>1</v>
      </c>
      <c r="G137" s="102">
        <f t="shared" si="58"/>
        <v>1</v>
      </c>
      <c r="H137" s="102">
        <f t="shared" si="58"/>
        <v>1</v>
      </c>
      <c r="I137" s="102">
        <f t="shared" si="58"/>
        <v>1</v>
      </c>
      <c r="J137" s="103">
        <f t="shared" si="55"/>
        <v>7</v>
      </c>
      <c r="K137" s="143">
        <v>7</v>
      </c>
      <c r="L137" s="123" t="s">
        <v>140</v>
      </c>
    </row>
    <row r="138" spans="1:12" ht="13" customHeight="1" x14ac:dyDescent="0.2">
      <c r="A138" s="90"/>
      <c r="B138" s="126" t="s">
        <v>138</v>
      </c>
      <c r="C138" s="102">
        <f t="shared" si="58"/>
        <v>1</v>
      </c>
      <c r="D138" s="102">
        <f t="shared" si="58"/>
        <v>1</v>
      </c>
      <c r="E138" s="102">
        <f t="shared" si="58"/>
        <v>1</v>
      </c>
      <c r="F138" s="102">
        <f t="shared" si="58"/>
        <v>1</v>
      </c>
      <c r="G138" s="102">
        <f t="shared" si="58"/>
        <v>1</v>
      </c>
      <c r="H138" s="102">
        <f t="shared" si="58"/>
        <v>1</v>
      </c>
      <c r="I138" s="102">
        <f t="shared" si="58"/>
        <v>1</v>
      </c>
      <c r="J138" s="103">
        <f t="shared" si="55"/>
        <v>7</v>
      </c>
      <c r="K138" s="144">
        <v>7</v>
      </c>
      <c r="L138" s="123" t="s">
        <v>141</v>
      </c>
    </row>
    <row r="139" spans="1:12" ht="13" customHeight="1" x14ac:dyDescent="0.2">
      <c r="A139" s="94"/>
      <c r="B139" s="128" t="s">
        <v>151</v>
      </c>
      <c r="C139" s="102">
        <f t="shared" ref="C139:I146" si="59">COUNTIF(C$6:C$107,$B139)</f>
        <v>0</v>
      </c>
      <c r="D139" s="102">
        <f t="shared" si="59"/>
        <v>0</v>
      </c>
      <c r="E139" s="102">
        <f t="shared" si="59"/>
        <v>0</v>
      </c>
      <c r="F139" s="102">
        <f t="shared" si="59"/>
        <v>0</v>
      </c>
      <c r="G139" s="102">
        <f t="shared" si="59"/>
        <v>0</v>
      </c>
      <c r="H139" s="102">
        <f t="shared" si="59"/>
        <v>1</v>
      </c>
      <c r="I139" s="102">
        <f t="shared" si="59"/>
        <v>1</v>
      </c>
      <c r="J139" s="103">
        <f t="shared" si="55"/>
        <v>2</v>
      </c>
      <c r="K139" s="142">
        <v>2</v>
      </c>
      <c r="L139" s="123" t="s">
        <v>33</v>
      </c>
    </row>
    <row r="140" spans="1:12" ht="13" customHeight="1" x14ac:dyDescent="0.2">
      <c r="A140" s="94"/>
      <c r="B140" s="128" t="s">
        <v>94</v>
      </c>
      <c r="C140" s="102">
        <f t="shared" si="59"/>
        <v>0</v>
      </c>
      <c r="D140" s="102">
        <f t="shared" si="59"/>
        <v>0</v>
      </c>
      <c r="E140" s="102">
        <f t="shared" si="59"/>
        <v>0</v>
      </c>
      <c r="F140" s="102">
        <f t="shared" si="59"/>
        <v>0</v>
      </c>
      <c r="G140" s="102">
        <f t="shared" si="59"/>
        <v>0</v>
      </c>
      <c r="H140" s="102">
        <f t="shared" si="59"/>
        <v>0</v>
      </c>
      <c r="I140" s="102">
        <f t="shared" si="59"/>
        <v>0</v>
      </c>
      <c r="J140" s="103">
        <f t="shared" si="55"/>
        <v>0</v>
      </c>
      <c r="K140" s="143">
        <v>1</v>
      </c>
      <c r="L140" s="123" t="s">
        <v>33</v>
      </c>
    </row>
    <row r="141" spans="1:12" ht="13" customHeight="1" x14ac:dyDescent="0.2">
      <c r="A141" s="94"/>
      <c r="B141" s="129" t="s">
        <v>152</v>
      </c>
      <c r="C141" s="102">
        <f t="shared" si="59"/>
        <v>1</v>
      </c>
      <c r="D141" s="102">
        <f t="shared" si="59"/>
        <v>1</v>
      </c>
      <c r="E141" s="102">
        <f t="shared" si="59"/>
        <v>1</v>
      </c>
      <c r="F141" s="102">
        <f t="shared" si="59"/>
        <v>1</v>
      </c>
      <c r="G141" s="102">
        <f t="shared" si="59"/>
        <v>1</v>
      </c>
      <c r="H141" s="102">
        <f t="shared" si="59"/>
        <v>0</v>
      </c>
      <c r="I141" s="102">
        <f t="shared" si="59"/>
        <v>0</v>
      </c>
      <c r="J141" s="103">
        <f t="shared" si="55"/>
        <v>5</v>
      </c>
      <c r="K141" s="144">
        <v>5</v>
      </c>
      <c r="L141" s="123" t="s">
        <v>33</v>
      </c>
    </row>
    <row r="142" spans="1:12" ht="13" customHeight="1" x14ac:dyDescent="0.2">
      <c r="A142" s="94"/>
      <c r="B142" s="130" t="s">
        <v>40</v>
      </c>
      <c r="C142" s="102">
        <f t="shared" si="59"/>
        <v>3</v>
      </c>
      <c r="D142" s="102">
        <f t="shared" si="59"/>
        <v>2</v>
      </c>
      <c r="E142" s="102">
        <f t="shared" si="59"/>
        <v>3</v>
      </c>
      <c r="F142" s="102">
        <f t="shared" si="59"/>
        <v>2</v>
      </c>
      <c r="G142" s="102">
        <f t="shared" si="59"/>
        <v>4</v>
      </c>
      <c r="H142" s="102">
        <f t="shared" si="59"/>
        <v>2</v>
      </c>
      <c r="I142" s="102">
        <f t="shared" si="59"/>
        <v>0</v>
      </c>
      <c r="J142" s="103">
        <f t="shared" si="55"/>
        <v>16</v>
      </c>
      <c r="K142" s="144">
        <v>7</v>
      </c>
      <c r="L142" s="132"/>
    </row>
    <row r="143" spans="1:12" ht="13" customHeight="1" x14ac:dyDescent="0.2">
      <c r="A143" s="94"/>
      <c r="B143" s="130" t="s">
        <v>41</v>
      </c>
      <c r="C143" s="102">
        <f t="shared" si="59"/>
        <v>0</v>
      </c>
      <c r="D143" s="102">
        <f t="shared" si="59"/>
        <v>0</v>
      </c>
      <c r="E143" s="102">
        <f t="shared" si="59"/>
        <v>0</v>
      </c>
      <c r="F143" s="102">
        <f t="shared" si="59"/>
        <v>0</v>
      </c>
      <c r="G143" s="102">
        <f t="shared" si="59"/>
        <v>0</v>
      </c>
      <c r="H143" s="102">
        <f t="shared" si="59"/>
        <v>0</v>
      </c>
      <c r="I143" s="102">
        <f t="shared" si="59"/>
        <v>0</v>
      </c>
      <c r="J143" s="103">
        <f t="shared" si="55"/>
        <v>0</v>
      </c>
      <c r="K143" s="144">
        <v>0</v>
      </c>
      <c r="L143" s="132"/>
    </row>
    <row r="144" spans="1:12" ht="13" customHeight="1" x14ac:dyDescent="0.2">
      <c r="A144" s="94"/>
      <c r="B144" s="133" t="s">
        <v>95</v>
      </c>
      <c r="C144" s="102">
        <f t="shared" si="59"/>
        <v>3</v>
      </c>
      <c r="D144" s="102">
        <f t="shared" si="59"/>
        <v>3</v>
      </c>
      <c r="E144" s="102">
        <f t="shared" si="59"/>
        <v>2</v>
      </c>
      <c r="F144" s="102">
        <f t="shared" si="59"/>
        <v>1</v>
      </c>
      <c r="G144" s="102">
        <f t="shared" si="59"/>
        <v>1</v>
      </c>
      <c r="H144" s="102">
        <f t="shared" si="59"/>
        <v>17</v>
      </c>
      <c r="I144" s="102">
        <f t="shared" si="59"/>
        <v>21</v>
      </c>
      <c r="J144" s="103">
        <f t="shared" si="55"/>
        <v>48</v>
      </c>
      <c r="K144" s="144">
        <v>25</v>
      </c>
      <c r="L144" s="132"/>
    </row>
    <row r="145" spans="1:12" ht="13" customHeight="1" x14ac:dyDescent="0.2">
      <c r="A145" s="94"/>
      <c r="B145" s="134" t="s">
        <v>99</v>
      </c>
      <c r="C145" s="102">
        <f t="shared" si="59"/>
        <v>1</v>
      </c>
      <c r="D145" s="102">
        <f t="shared" si="59"/>
        <v>1</v>
      </c>
      <c r="E145" s="102">
        <f t="shared" si="59"/>
        <v>1</v>
      </c>
      <c r="F145" s="102">
        <f t="shared" si="59"/>
        <v>1</v>
      </c>
      <c r="G145" s="102">
        <f t="shared" si="59"/>
        <v>1</v>
      </c>
      <c r="H145" s="102">
        <f t="shared" si="59"/>
        <v>0</v>
      </c>
      <c r="I145" s="102">
        <f t="shared" si="59"/>
        <v>0</v>
      </c>
      <c r="J145" s="103">
        <f t="shared" si="55"/>
        <v>5</v>
      </c>
      <c r="K145" s="144">
        <v>0</v>
      </c>
      <c r="L145" s="132"/>
    </row>
    <row r="146" spans="1:12" ht="13" customHeight="1" x14ac:dyDescent="0.2">
      <c r="A146" s="94"/>
      <c r="B146" s="134" t="s">
        <v>100</v>
      </c>
      <c r="C146" s="102">
        <f t="shared" si="59"/>
        <v>0</v>
      </c>
      <c r="D146" s="102">
        <f t="shared" si="59"/>
        <v>0</v>
      </c>
      <c r="E146" s="102">
        <f t="shared" si="59"/>
        <v>0</v>
      </c>
      <c r="F146" s="102">
        <f t="shared" si="59"/>
        <v>0</v>
      </c>
      <c r="G146" s="102">
        <f t="shared" si="59"/>
        <v>0</v>
      </c>
      <c r="H146" s="102">
        <f t="shared" si="59"/>
        <v>0</v>
      </c>
      <c r="I146" s="102">
        <f t="shared" si="59"/>
        <v>0</v>
      </c>
      <c r="J146" s="103">
        <f t="shared" si="55"/>
        <v>0</v>
      </c>
      <c r="K146" s="144">
        <v>0</v>
      </c>
      <c r="L146" s="132" t="s">
        <v>101</v>
      </c>
    </row>
    <row r="147" spans="1:12" ht="13" customHeight="1" x14ac:dyDescent="0.2">
      <c r="A147" s="94"/>
      <c r="B147" s="135"/>
      <c r="C147" s="136">
        <f t="shared" ref="C147:I147" si="60">SUM(C110:C141)-SUM(C127:C130)-C110</f>
        <v>25</v>
      </c>
      <c r="D147" s="136">
        <f t="shared" si="60"/>
        <v>25</v>
      </c>
      <c r="E147" s="136">
        <f t="shared" si="60"/>
        <v>25</v>
      </c>
      <c r="F147" s="136">
        <f t="shared" si="60"/>
        <v>25</v>
      </c>
      <c r="G147" s="136">
        <f t="shared" si="60"/>
        <v>25</v>
      </c>
      <c r="H147" s="136">
        <f t="shared" si="60"/>
        <v>25</v>
      </c>
      <c r="I147" s="136">
        <f t="shared" si="60"/>
        <v>24</v>
      </c>
      <c r="J147" s="136">
        <f>SUM(J110:J141)</f>
        <v>213</v>
      </c>
      <c r="K147" s="141"/>
      <c r="L147" s="91"/>
    </row>
  </sheetData>
  <mergeCells count="105"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  <mergeCell ref="C2:I2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68:B69"/>
    <mergeCell ref="J68:J69"/>
    <mergeCell ref="B70:B71"/>
    <mergeCell ref="J70:J71"/>
    <mergeCell ref="B64:B65"/>
    <mergeCell ref="J64:J65"/>
    <mergeCell ref="B66:B67"/>
    <mergeCell ref="J66:J67"/>
    <mergeCell ref="B58:B59"/>
    <mergeCell ref="J58:J59"/>
    <mergeCell ref="B60:B61"/>
    <mergeCell ref="J60:J61"/>
    <mergeCell ref="B62:B63"/>
    <mergeCell ref="J62:J63"/>
    <mergeCell ref="B78:B79"/>
    <mergeCell ref="J78:J79"/>
    <mergeCell ref="B80:B81"/>
    <mergeCell ref="J80:J81"/>
    <mergeCell ref="B82:B83"/>
    <mergeCell ref="J82:J83"/>
    <mergeCell ref="B72:B73"/>
    <mergeCell ref="J72:J73"/>
    <mergeCell ref="B74:B75"/>
    <mergeCell ref="J74:J75"/>
    <mergeCell ref="B76:B77"/>
    <mergeCell ref="J76:J77"/>
    <mergeCell ref="B90:B91"/>
    <mergeCell ref="J90:J91"/>
    <mergeCell ref="B92:B93"/>
    <mergeCell ref="J92:J93"/>
    <mergeCell ref="B94:B95"/>
    <mergeCell ref="J94:J95"/>
    <mergeCell ref="B84:B85"/>
    <mergeCell ref="J84:J85"/>
    <mergeCell ref="B86:B87"/>
    <mergeCell ref="J86:J87"/>
    <mergeCell ref="B88:B89"/>
    <mergeCell ref="J88:J89"/>
    <mergeCell ref="B106:B107"/>
    <mergeCell ref="J106:J107"/>
    <mergeCell ref="B102:B103"/>
    <mergeCell ref="J102:J103"/>
    <mergeCell ref="B104:B105"/>
    <mergeCell ref="J104:J105"/>
    <mergeCell ref="B96:B97"/>
    <mergeCell ref="J96:J97"/>
    <mergeCell ref="B98:B99"/>
    <mergeCell ref="J98:J99"/>
    <mergeCell ref="B100:B101"/>
    <mergeCell ref="J100:J101"/>
  </mergeCells>
  <conditionalFormatting sqref="C147:I147">
    <cfRule type="cellIs" dxfId="5772" priority="287" operator="lessThan">
      <formula>22</formula>
    </cfRule>
  </conditionalFormatting>
  <conditionalFormatting sqref="J110:J115 J117:J118 J120:J123 J125:J135">
    <cfRule type="cellIs" dxfId="5771" priority="286" operator="notEqual">
      <formula>$K110</formula>
    </cfRule>
  </conditionalFormatting>
  <conditionalFormatting sqref="J139">
    <cfRule type="expression" dxfId="5770" priority="285">
      <formula>$J$139+$J$140&lt;$K$139</formula>
    </cfRule>
  </conditionalFormatting>
  <conditionalFormatting sqref="J140">
    <cfRule type="expression" dxfId="5769" priority="284">
      <formula>$J$139+$J$140&lt;$K$139</formula>
    </cfRule>
  </conditionalFormatting>
  <conditionalFormatting sqref="J142:J146">
    <cfRule type="cellIs" dxfId="5768" priority="283" operator="notEqual">
      <formula>$K142</formula>
    </cfRule>
  </conditionalFormatting>
  <conditionalFormatting sqref="C93:I93">
    <cfRule type="expression" dxfId="5767" priority="282">
      <formula>C93=$B$116</formula>
    </cfRule>
  </conditionalFormatting>
  <conditionalFormatting sqref="J116">
    <cfRule type="cellIs" dxfId="5766" priority="281" operator="notEqual">
      <formula>$K116</formula>
    </cfRule>
  </conditionalFormatting>
  <conditionalFormatting sqref="C77:I77">
    <cfRule type="expression" dxfId="5765" priority="279">
      <formula>C77=$B$116</formula>
    </cfRule>
  </conditionalFormatting>
  <conditionalFormatting sqref="C77:I77">
    <cfRule type="expression" dxfId="5764" priority="280">
      <formula>C77=$B$111</formula>
    </cfRule>
  </conditionalFormatting>
  <conditionalFormatting sqref="J119">
    <cfRule type="cellIs" dxfId="5763" priority="278" operator="notEqual">
      <formula>$K119</formula>
    </cfRule>
  </conditionalFormatting>
  <conditionalFormatting sqref="J124">
    <cfRule type="cellIs" dxfId="5762" priority="277" operator="notEqual">
      <formula>$K124</formula>
    </cfRule>
  </conditionalFormatting>
  <conditionalFormatting sqref="H50">
    <cfRule type="expression" dxfId="5761" priority="275">
      <formula>H50=$B$116</formula>
    </cfRule>
  </conditionalFormatting>
  <conditionalFormatting sqref="H50">
    <cfRule type="expression" dxfId="5760" priority="276">
      <formula>H50=$B$111</formula>
    </cfRule>
  </conditionalFormatting>
  <conditionalFormatting sqref="C36">
    <cfRule type="expression" dxfId="5759" priority="273">
      <formula>C36=$B$116</formula>
    </cfRule>
  </conditionalFormatting>
  <conditionalFormatting sqref="C36">
    <cfRule type="expression" dxfId="5758" priority="274">
      <formula>C36=$B$111</formula>
    </cfRule>
  </conditionalFormatting>
  <conditionalFormatting sqref="C106:I107 C76 C88:I89 C91:I93 C90:G90 E38:I38 C94:F94 C59:I63 C38 E76:I76 C50:I57 C70:F70 C67:I69 H70:I70 C98:I101 C39:I47 C71:I75 C66:G66 C77:I85 C6:I37">
    <cfRule type="expression" dxfId="5757" priority="289">
      <formula>C6=$B$130</formula>
    </cfRule>
    <cfRule type="expression" dxfId="5756" priority="290">
      <formula>C6=$B$128</formula>
    </cfRule>
    <cfRule type="expression" dxfId="5755" priority="291">
      <formula>C6=$B$124</formula>
    </cfRule>
    <cfRule type="expression" dxfId="5754" priority="292">
      <formula>C6=$B$119</formula>
    </cfRule>
    <cfRule type="expression" dxfId="5753" priority="293">
      <formula>C6=$B$116</formula>
    </cfRule>
    <cfRule type="expression" dxfId="5752" priority="294">
      <formula>C6=$B$113</formula>
    </cfRule>
    <cfRule type="expression" dxfId="5751" priority="295">
      <formula>C6=$B$116</formula>
    </cfRule>
    <cfRule type="expression" dxfId="5750" priority="296">
      <formula>C6=$B$146</formula>
    </cfRule>
    <cfRule type="expression" dxfId="5749" priority="297">
      <formula>C6=$B$118</formula>
    </cfRule>
    <cfRule type="expression" dxfId="5748" priority="298">
      <formula>C6=$B$146</formula>
    </cfRule>
    <cfRule type="expression" dxfId="5747" priority="299">
      <formula>C6=$B$145</formula>
    </cfRule>
    <cfRule type="expression" dxfId="5746" priority="300">
      <formula>C6=$B$144</formula>
    </cfRule>
    <cfRule type="expression" dxfId="5745" priority="301">
      <formula>C6=$B$143</formula>
    </cfRule>
    <cfRule type="expression" dxfId="5744" priority="302">
      <formula>C6=$B$142</formula>
    </cfRule>
    <cfRule type="expression" dxfId="5743" priority="303">
      <formula>C6=$B$141</formula>
    </cfRule>
    <cfRule type="expression" dxfId="5742" priority="304">
      <formula>C6=$B$140</formula>
    </cfRule>
    <cfRule type="expression" dxfId="5741" priority="305">
      <formula>C6=$B$139</formula>
    </cfRule>
    <cfRule type="expression" dxfId="5740" priority="306">
      <formula>C6=$B$135</formula>
    </cfRule>
    <cfRule type="expression" dxfId="5739" priority="307">
      <formula>C6=$B$134</formula>
    </cfRule>
    <cfRule type="expression" dxfId="5738" priority="308">
      <formula>C6=$B$133</formula>
    </cfRule>
    <cfRule type="expression" dxfId="5737" priority="309">
      <formula>C6=$B$132</formula>
    </cfRule>
    <cfRule type="expression" dxfId="5736" priority="310">
      <formula>C6=$B$131</formula>
    </cfRule>
    <cfRule type="expression" dxfId="5735" priority="311" stopIfTrue="1">
      <formula>C6=$B$130</formula>
    </cfRule>
    <cfRule type="expression" dxfId="5734" priority="312">
      <formula>C6=$B$129</formula>
    </cfRule>
    <cfRule type="expression" dxfId="5733" priority="313" stopIfTrue="1">
      <formula>C6=$B$128</formula>
    </cfRule>
    <cfRule type="expression" dxfId="5732" priority="314">
      <formula>C6=$B$127</formula>
    </cfRule>
    <cfRule type="expression" dxfId="5731" priority="315">
      <formula>C6=$B$126</formula>
    </cfRule>
    <cfRule type="expression" dxfId="5730" priority="316">
      <formula>C6=$B$125</formula>
    </cfRule>
    <cfRule type="expression" dxfId="5729" priority="317" stopIfTrue="1">
      <formula>C6=$B$123</formula>
    </cfRule>
    <cfRule type="expression" dxfId="5728" priority="318" stopIfTrue="1">
      <formula>C6=$B$122</formula>
    </cfRule>
    <cfRule type="expression" dxfId="5727" priority="319" stopIfTrue="1">
      <formula>C6=$B$121</formula>
    </cfRule>
    <cfRule type="expression" dxfId="5726" priority="320">
      <formula>C6=$B$120</formula>
    </cfRule>
    <cfRule type="expression" dxfId="5725" priority="321">
      <formula>C6=$B$117</formula>
    </cfRule>
    <cfRule type="expression" dxfId="5724" priority="322" stopIfTrue="1">
      <formula>C6=$B$115</formula>
    </cfRule>
    <cfRule type="expression" dxfId="5723" priority="323">
      <formula>C6=$B$114</formula>
    </cfRule>
    <cfRule type="expression" dxfId="5722" priority="324">
      <formula>C6=$B$113</formula>
    </cfRule>
    <cfRule type="expression" dxfId="5721" priority="325">
      <formula>C6=$B$112</formula>
    </cfRule>
    <cfRule type="expression" dxfId="5720" priority="326">
      <formula>C6=$B$110</formula>
    </cfRule>
    <cfRule type="expression" dxfId="5719" priority="327" stopIfTrue="1">
      <formula>C6=$B$111</formula>
    </cfRule>
    <cfRule type="expression" dxfId="5718" priority="328" stopIfTrue="1">
      <formula>C$5=TODAY()</formula>
    </cfRule>
  </conditionalFormatting>
  <conditionalFormatting sqref="J141">
    <cfRule type="cellIs" dxfId="5717" priority="272" operator="notEqual">
      <formula>$K141</formula>
    </cfRule>
  </conditionalFormatting>
  <conditionalFormatting sqref="C102:I105 G94:I94 H22:I22 C64:I65 C48:I49 C86:I87 C95:I97 H90:I90 H30:I30 H42:I42 C38:D38">
    <cfRule type="expression" dxfId="5716" priority="231">
      <formula>C22=$B$145</formula>
    </cfRule>
    <cfRule type="expression" dxfId="5715" priority="232">
      <formula>C22=$B$130</formula>
    </cfRule>
    <cfRule type="expression" dxfId="5714" priority="233">
      <formula>C22=$B$128</formula>
    </cfRule>
    <cfRule type="expression" dxfId="5713" priority="234">
      <formula>C22=$B$124</formula>
    </cfRule>
    <cfRule type="expression" dxfId="5712" priority="235">
      <formula>C22=$B$119</formula>
    </cfRule>
    <cfRule type="expression" dxfId="5711" priority="236">
      <formula>C22=$B$116</formula>
    </cfRule>
    <cfRule type="expression" dxfId="5710" priority="237">
      <formula>C22=$B$113</formula>
    </cfRule>
    <cfRule type="expression" dxfId="5709" priority="238">
      <formula>C22=$B$116</formula>
    </cfRule>
    <cfRule type="expression" dxfId="5708" priority="239">
      <formula>C22=$B$146</formula>
    </cfRule>
    <cfRule type="expression" dxfId="5707" priority="240">
      <formula>C22=$B$118</formula>
    </cfRule>
    <cfRule type="expression" dxfId="5706" priority="241">
      <formula>C22=$B$146</formula>
    </cfRule>
    <cfRule type="expression" dxfId="5705" priority="242">
      <formula>C22=$B$145</formula>
    </cfRule>
    <cfRule type="expression" dxfId="5704" priority="243">
      <formula>C22=$B$144</formula>
    </cfRule>
    <cfRule type="expression" dxfId="5703" priority="244">
      <formula>C22=$B$143</formula>
    </cfRule>
    <cfRule type="expression" dxfId="5702" priority="245">
      <formula>C22=$B$142</formula>
    </cfRule>
    <cfRule type="expression" dxfId="5701" priority="246">
      <formula>C22=$B$141</formula>
    </cfRule>
    <cfRule type="expression" dxfId="5700" priority="247">
      <formula>C22=$B$140</formula>
    </cfRule>
    <cfRule type="expression" dxfId="5699" priority="248">
      <formula>C22=$B$139</formula>
    </cfRule>
    <cfRule type="expression" dxfId="5698" priority="249">
      <formula>C22=$B$135</formula>
    </cfRule>
    <cfRule type="expression" dxfId="5697" priority="250">
      <formula>C22=$B$134</formula>
    </cfRule>
    <cfRule type="expression" dxfId="5696" priority="251">
      <formula>C22=$B$133</formula>
    </cfRule>
    <cfRule type="expression" dxfId="5695" priority="252">
      <formula>C22=$B$132</formula>
    </cfRule>
    <cfRule type="expression" dxfId="5694" priority="253">
      <formula>C22=$B$131</formula>
    </cfRule>
    <cfRule type="expression" dxfId="5693" priority="254" stopIfTrue="1">
      <formula>C22=$B$130</formula>
    </cfRule>
    <cfRule type="expression" dxfId="5692" priority="255">
      <formula>C22=$B$129</formula>
    </cfRule>
    <cfRule type="expression" dxfId="5691" priority="256" stopIfTrue="1">
      <formula>C22=$B$128</formula>
    </cfRule>
    <cfRule type="expression" dxfId="5690" priority="257">
      <formula>C22=$B$127</formula>
    </cfRule>
    <cfRule type="expression" dxfId="5689" priority="258">
      <formula>C22=$B$126</formula>
    </cfRule>
    <cfRule type="expression" dxfId="5688" priority="259">
      <formula>C22=$B$125</formula>
    </cfRule>
    <cfRule type="expression" dxfId="5687" priority="260" stopIfTrue="1">
      <formula>C22=$B$123</formula>
    </cfRule>
    <cfRule type="expression" dxfId="5686" priority="261" stopIfTrue="1">
      <formula>C22=$B$122</formula>
    </cfRule>
    <cfRule type="expression" dxfId="5685" priority="262" stopIfTrue="1">
      <formula>C22=$B$121</formula>
    </cfRule>
    <cfRule type="expression" dxfId="5684" priority="263">
      <formula>C22=$B$120</formula>
    </cfRule>
    <cfRule type="expression" dxfId="5683" priority="264">
      <formula>C22=$B$117</formula>
    </cfRule>
    <cfRule type="expression" dxfId="5682" priority="265" stopIfTrue="1">
      <formula>C22=$B$115</formula>
    </cfRule>
    <cfRule type="expression" dxfId="5681" priority="266">
      <formula>C22=$B$114</formula>
    </cfRule>
    <cfRule type="expression" dxfId="5680" priority="267">
      <formula>C22=$B$113</formula>
    </cfRule>
    <cfRule type="expression" dxfId="5679" priority="268">
      <formula>C22=$B$112</formula>
    </cfRule>
    <cfRule type="expression" dxfId="5678" priority="269">
      <formula>C22=$B$110</formula>
    </cfRule>
    <cfRule type="expression" dxfId="5677" priority="270" stopIfTrue="1">
      <formula>C22=$B$111</formula>
    </cfRule>
    <cfRule type="expression" dxfId="5676" priority="271" stopIfTrue="1">
      <formula>C$5=TODAY()</formula>
    </cfRule>
  </conditionalFormatting>
  <conditionalFormatting sqref="H48">
    <cfRule type="expression" dxfId="5675" priority="229">
      <formula>H48=$B$116</formula>
    </cfRule>
  </conditionalFormatting>
  <conditionalFormatting sqref="H48">
    <cfRule type="expression" dxfId="5674" priority="230">
      <formula>H48=$B$111</formula>
    </cfRule>
  </conditionalFormatting>
  <conditionalFormatting sqref="H86">
    <cfRule type="expression" dxfId="5673" priority="227">
      <formula>H86=$B$116</formula>
    </cfRule>
  </conditionalFormatting>
  <conditionalFormatting sqref="H86">
    <cfRule type="expression" dxfId="5672" priority="228">
      <formula>H86=$B$111</formula>
    </cfRule>
  </conditionalFormatting>
  <conditionalFormatting sqref="H96">
    <cfRule type="expression" dxfId="5671" priority="225">
      <formula>H96=$B$116</formula>
    </cfRule>
  </conditionalFormatting>
  <conditionalFormatting sqref="H96">
    <cfRule type="expression" dxfId="5670" priority="226">
      <formula>H96=$B$111</formula>
    </cfRule>
  </conditionalFormatting>
  <conditionalFormatting sqref="C76 C106:I107 C91:I93 C90:G90 C38 C88:I89 C59:I63 E76:I76 C50:I57 C70:F70 C67:I69 H70:I70 C98:I101 C6:I37 C71:I75 C66:G66 C77:I85">
    <cfRule type="expression" dxfId="5669" priority="288">
      <formula>C6=$B$145</formula>
    </cfRule>
  </conditionalFormatting>
  <conditionalFormatting sqref="G94:I94 D46:I46 C47:I57 C70:F70 C59:I65 H70:I70 C96:I105 C67:I69 C66:G66 C71:I93 C6:I45">
    <cfRule type="expression" dxfId="5668" priority="222">
      <formula>C6=$B$137</formula>
    </cfRule>
    <cfRule type="expression" dxfId="5667" priority="223">
      <formula>C6=$B$138</formula>
    </cfRule>
    <cfRule type="expression" dxfId="5666" priority="224">
      <formula>C6=$B$136</formula>
    </cfRule>
  </conditionalFormatting>
  <conditionalFormatting sqref="H94">
    <cfRule type="expression" dxfId="5665" priority="220">
      <formula>H94=$B$116</formula>
    </cfRule>
  </conditionalFormatting>
  <conditionalFormatting sqref="H94">
    <cfRule type="expression" dxfId="5664" priority="221">
      <formula>H94=$B$111</formula>
    </cfRule>
  </conditionalFormatting>
  <conditionalFormatting sqref="C95:I95">
    <cfRule type="expression" dxfId="5663" priority="217">
      <formula>C95=$B$137</formula>
    </cfRule>
    <cfRule type="expression" dxfId="5662" priority="218">
      <formula>C95=$B$138</formula>
    </cfRule>
    <cfRule type="expression" dxfId="5661" priority="219">
      <formula>C95=$B$136</formula>
    </cfRule>
  </conditionalFormatting>
  <conditionalFormatting sqref="C94:F94">
    <cfRule type="expression" dxfId="5660" priority="216">
      <formula>C94=$B$145</formula>
    </cfRule>
  </conditionalFormatting>
  <conditionalFormatting sqref="C94:F94">
    <cfRule type="expression" dxfId="5659" priority="213">
      <formula>C94=$B$137</formula>
    </cfRule>
    <cfRule type="expression" dxfId="5658" priority="214">
      <formula>C94=$B$138</formula>
    </cfRule>
    <cfRule type="expression" dxfId="5657" priority="215">
      <formula>C94=$B$136</formula>
    </cfRule>
  </conditionalFormatting>
  <conditionalFormatting sqref="J138">
    <cfRule type="cellIs" dxfId="5656" priority="212" operator="notEqual">
      <formula>$K138</formula>
    </cfRule>
  </conditionalFormatting>
  <conditionalFormatting sqref="J136">
    <cfRule type="cellIs" dxfId="5655" priority="202" operator="notEqual">
      <formula>$K136</formula>
    </cfRule>
  </conditionalFormatting>
  <conditionalFormatting sqref="A6:A106">
    <cfRule type="cellIs" dxfId="5654" priority="200" operator="lessThan">
      <formula>5</formula>
    </cfRule>
    <cfRule type="cellIs" dxfId="5653" priority="201" operator="greaterThanOrEqual">
      <formula>5</formula>
    </cfRule>
  </conditionalFormatting>
  <conditionalFormatting sqref="J137">
    <cfRule type="cellIs" dxfId="5652" priority="199" operator="notEqual">
      <formula>$K137</formula>
    </cfRule>
  </conditionalFormatting>
  <conditionalFormatting sqref="H42:I42">
    <cfRule type="expression" dxfId="5651" priority="198">
      <formula>H42=$B$145</formula>
    </cfRule>
  </conditionalFormatting>
  <conditionalFormatting sqref="I46">
    <cfRule type="expression" dxfId="5650" priority="197">
      <formula>I46=$B$145</formula>
    </cfRule>
  </conditionalFormatting>
  <conditionalFormatting sqref="C46">
    <cfRule type="expression" dxfId="5649" priority="192">
      <formula>C46=$B$145</formula>
    </cfRule>
  </conditionalFormatting>
  <conditionalFormatting sqref="C46">
    <cfRule type="expression" dxfId="5648" priority="189">
      <formula>C46=$B$137</formula>
    </cfRule>
    <cfRule type="expression" dxfId="5647" priority="190">
      <formula>C46=$B$138</formula>
    </cfRule>
    <cfRule type="expression" dxfId="5646" priority="191">
      <formula>C46=$B$136</formula>
    </cfRule>
  </conditionalFormatting>
  <conditionalFormatting sqref="C74">
    <cfRule type="expression" dxfId="5645" priority="188">
      <formula>C74=$B$145</formula>
    </cfRule>
  </conditionalFormatting>
  <conditionalFormatting sqref="C74">
    <cfRule type="expression" dxfId="5644" priority="185">
      <formula>C74=$B$137</formula>
    </cfRule>
    <cfRule type="expression" dxfId="5643" priority="186">
      <formula>C74=$B$138</formula>
    </cfRule>
    <cfRule type="expression" dxfId="5642" priority="187">
      <formula>C74=$B$136</formula>
    </cfRule>
  </conditionalFormatting>
  <conditionalFormatting sqref="H100">
    <cfRule type="expression" dxfId="5641" priority="95">
      <formula>H100=$B$116</formula>
    </cfRule>
  </conditionalFormatting>
  <conditionalFormatting sqref="H100">
    <cfRule type="expression" dxfId="5640" priority="96">
      <formula>H100=$B$111</formula>
    </cfRule>
  </conditionalFormatting>
  <conditionalFormatting sqref="I42 C40:E40">
    <cfRule type="expression" dxfId="5639" priority="94">
      <formula>C40=$B$145</formula>
    </cfRule>
  </conditionalFormatting>
  <conditionalFormatting sqref="C58:I58">
    <cfRule type="expression" dxfId="5638" priority="54">
      <formula>C58=$B$130</formula>
    </cfRule>
    <cfRule type="expression" dxfId="5637" priority="55">
      <formula>C58=$B$128</formula>
    </cfRule>
    <cfRule type="expression" dxfId="5636" priority="56">
      <formula>C58=$B$124</formula>
    </cfRule>
    <cfRule type="expression" dxfId="5635" priority="57">
      <formula>C58=$B$119</formula>
    </cfRule>
    <cfRule type="expression" dxfId="5634" priority="58">
      <formula>C58=$B$116</formula>
    </cfRule>
    <cfRule type="expression" dxfId="5633" priority="59">
      <formula>C58=$B$113</formula>
    </cfRule>
    <cfRule type="expression" dxfId="5632" priority="60">
      <formula>C58=$B$116</formula>
    </cfRule>
    <cfRule type="expression" dxfId="5631" priority="61">
      <formula>C58=$B$146</formula>
    </cfRule>
    <cfRule type="expression" dxfId="5630" priority="62">
      <formula>C58=$B$118</formula>
    </cfRule>
    <cfRule type="expression" dxfId="5629" priority="63">
      <formula>C58=$B$146</formula>
    </cfRule>
    <cfRule type="expression" dxfId="5628" priority="64">
      <formula>C58=$B$145</formula>
    </cfRule>
    <cfRule type="expression" dxfId="5627" priority="65">
      <formula>C58=$B$144</formula>
    </cfRule>
    <cfRule type="expression" dxfId="5626" priority="66">
      <formula>C58=$B$143</formula>
    </cfRule>
    <cfRule type="expression" dxfId="5625" priority="67">
      <formula>C58=$B$142</formula>
    </cfRule>
    <cfRule type="expression" dxfId="5624" priority="68">
      <formula>C58=$B$141</formula>
    </cfRule>
    <cfRule type="expression" dxfId="5623" priority="69">
      <formula>C58=$B$140</formula>
    </cfRule>
    <cfRule type="expression" dxfId="5622" priority="70">
      <formula>C58=$B$139</formula>
    </cfRule>
    <cfRule type="expression" dxfId="5621" priority="71">
      <formula>C58=$B$135</formula>
    </cfRule>
    <cfRule type="expression" dxfId="5620" priority="72">
      <formula>C58=$B$134</formula>
    </cfRule>
    <cfRule type="expression" dxfId="5619" priority="73">
      <formula>C58=$B$133</formula>
    </cfRule>
    <cfRule type="expression" dxfId="5618" priority="74">
      <formula>C58=$B$132</formula>
    </cfRule>
    <cfRule type="expression" dxfId="5617" priority="75">
      <formula>C58=$B$131</formula>
    </cfRule>
    <cfRule type="expression" dxfId="5616" priority="76" stopIfTrue="1">
      <formula>C58=$B$130</formula>
    </cfRule>
    <cfRule type="expression" dxfId="5615" priority="77">
      <formula>C58=$B$129</formula>
    </cfRule>
    <cfRule type="expression" dxfId="5614" priority="78" stopIfTrue="1">
      <formula>C58=$B$128</formula>
    </cfRule>
    <cfRule type="expression" dxfId="5613" priority="79">
      <formula>C58=$B$127</formula>
    </cfRule>
    <cfRule type="expression" dxfId="5612" priority="80">
      <formula>C58=$B$126</formula>
    </cfRule>
    <cfRule type="expression" dxfId="5611" priority="81">
      <formula>C58=$B$125</formula>
    </cfRule>
    <cfRule type="expression" dxfId="5610" priority="82" stopIfTrue="1">
      <formula>C58=$B$123</formula>
    </cfRule>
    <cfRule type="expression" dxfId="5609" priority="83" stopIfTrue="1">
      <formula>C58=$B$122</formula>
    </cfRule>
    <cfRule type="expression" dxfId="5608" priority="84" stopIfTrue="1">
      <formula>C58=$B$121</formula>
    </cfRule>
    <cfRule type="expression" dxfId="5607" priority="85">
      <formula>C58=$B$120</formula>
    </cfRule>
    <cfRule type="expression" dxfId="5606" priority="86">
      <formula>C58=$B$117</formula>
    </cfRule>
    <cfRule type="expression" dxfId="5605" priority="87" stopIfTrue="1">
      <formula>C58=$B$115</formula>
    </cfRule>
    <cfRule type="expression" dxfId="5604" priority="88">
      <formula>C58=$B$114</formula>
    </cfRule>
    <cfRule type="expression" dxfId="5603" priority="89">
      <formula>C58=$B$113</formula>
    </cfRule>
    <cfRule type="expression" dxfId="5602" priority="90">
      <formula>C58=$B$112</formula>
    </cfRule>
    <cfRule type="expression" dxfId="5601" priority="91">
      <formula>C58=$B$110</formula>
    </cfRule>
    <cfRule type="expression" dxfId="5600" priority="92" stopIfTrue="1">
      <formula>C58=$B$111</formula>
    </cfRule>
    <cfRule type="expression" dxfId="5599" priority="93" stopIfTrue="1">
      <formula>C$5=TODAY()</formula>
    </cfRule>
  </conditionalFormatting>
  <conditionalFormatting sqref="C58:I58">
    <cfRule type="expression" dxfId="5598" priority="53">
      <formula>C58=$B$145</formula>
    </cfRule>
  </conditionalFormatting>
  <conditionalFormatting sqref="C58:I58">
    <cfRule type="expression" dxfId="5597" priority="50">
      <formula>C58=$B$137</formula>
    </cfRule>
    <cfRule type="expression" dxfId="5596" priority="51">
      <formula>C58=$B$138</formula>
    </cfRule>
    <cfRule type="expression" dxfId="5595" priority="52">
      <formula>C58=$B$136</formula>
    </cfRule>
  </conditionalFormatting>
  <conditionalFormatting sqref="C86 H90:I90">
    <cfRule type="expression" dxfId="5594" priority="10">
      <formula>C86=$B$130</formula>
    </cfRule>
    <cfRule type="expression" dxfId="5593" priority="11">
      <formula>C86=$B$128</formula>
    </cfRule>
    <cfRule type="expression" dxfId="5592" priority="12">
      <formula>C86=$B$124</formula>
    </cfRule>
    <cfRule type="expression" dxfId="5591" priority="13">
      <formula>C86=$B$119</formula>
    </cfRule>
    <cfRule type="expression" dxfId="5590" priority="14">
      <formula>C86=$B$116</formula>
    </cfRule>
    <cfRule type="expression" dxfId="5589" priority="15">
      <formula>C86=$B$113</formula>
    </cfRule>
    <cfRule type="expression" dxfId="5588" priority="16">
      <formula>C86=$B$116</formula>
    </cfRule>
    <cfRule type="expression" dxfId="5587" priority="17">
      <formula>C86=$B$146</formula>
    </cfRule>
    <cfRule type="expression" dxfId="5586" priority="18">
      <formula>C86=$B$118</formula>
    </cfRule>
    <cfRule type="expression" dxfId="5585" priority="19">
      <formula>C86=$B$146</formula>
    </cfRule>
    <cfRule type="expression" dxfId="5584" priority="20">
      <formula>C86=$B$145</formula>
    </cfRule>
    <cfRule type="expression" dxfId="5583" priority="21">
      <formula>C86=$B$144</formula>
    </cfRule>
    <cfRule type="expression" dxfId="5582" priority="22">
      <formula>C86=$B$143</formula>
    </cfRule>
    <cfRule type="expression" dxfId="5581" priority="23">
      <formula>C86=$B$142</formula>
    </cfRule>
    <cfRule type="expression" dxfId="5580" priority="24">
      <formula>C86=$B$141</formula>
    </cfRule>
    <cfRule type="expression" dxfId="5579" priority="25">
      <formula>C86=$B$140</formula>
    </cfRule>
    <cfRule type="expression" dxfId="5578" priority="26">
      <formula>C86=$B$139</formula>
    </cfRule>
    <cfRule type="expression" dxfId="5577" priority="27">
      <formula>C86=$B$135</formula>
    </cfRule>
    <cfRule type="expression" dxfId="5576" priority="28">
      <formula>C86=$B$134</formula>
    </cfRule>
    <cfRule type="expression" dxfId="5575" priority="29">
      <formula>C86=$B$133</formula>
    </cfRule>
    <cfRule type="expression" dxfId="5574" priority="30">
      <formula>C86=$B$132</formula>
    </cfRule>
    <cfRule type="expression" dxfId="5573" priority="31">
      <formula>C86=$B$131</formula>
    </cfRule>
    <cfRule type="expression" dxfId="5572" priority="32" stopIfTrue="1">
      <formula>C86=$B$130</formula>
    </cfRule>
    <cfRule type="expression" dxfId="5571" priority="33">
      <formula>C86=$B$129</formula>
    </cfRule>
    <cfRule type="expression" dxfId="5570" priority="34" stopIfTrue="1">
      <formula>C86=$B$128</formula>
    </cfRule>
    <cfRule type="expression" dxfId="5569" priority="35">
      <formula>C86=$B$127</formula>
    </cfRule>
    <cfRule type="expression" dxfId="5568" priority="36">
      <formula>C86=$B$126</formula>
    </cfRule>
    <cfRule type="expression" dxfId="5567" priority="37">
      <formula>C86=$B$125</formula>
    </cfRule>
    <cfRule type="expression" dxfId="5566" priority="38" stopIfTrue="1">
      <formula>C86=$B$123</formula>
    </cfRule>
    <cfRule type="expression" dxfId="5565" priority="39" stopIfTrue="1">
      <formula>C86=$B$122</formula>
    </cfRule>
    <cfRule type="expression" dxfId="5564" priority="40" stopIfTrue="1">
      <formula>C86=$B$121</formula>
    </cfRule>
    <cfRule type="expression" dxfId="5563" priority="41">
      <formula>C86=$B$120</formula>
    </cfRule>
    <cfRule type="expression" dxfId="5562" priority="42">
      <formula>C86=$B$117</formula>
    </cfRule>
    <cfRule type="expression" dxfId="5561" priority="43" stopIfTrue="1">
      <formula>C86=$B$115</formula>
    </cfRule>
    <cfRule type="expression" dxfId="5560" priority="44">
      <formula>C86=$B$114</formula>
    </cfRule>
    <cfRule type="expression" dxfId="5559" priority="45">
      <formula>C86=$B$113</formula>
    </cfRule>
    <cfRule type="expression" dxfId="5558" priority="46">
      <formula>C86=$B$112</formula>
    </cfRule>
    <cfRule type="expression" dxfId="5557" priority="47">
      <formula>C86=$B$110</formula>
    </cfRule>
    <cfRule type="expression" dxfId="5556" priority="48" stopIfTrue="1">
      <formula>C86=$B$111</formula>
    </cfRule>
    <cfRule type="expression" dxfId="5555" priority="49" stopIfTrue="1">
      <formula>C$5=TODAY()</formula>
    </cfRule>
  </conditionalFormatting>
  <conditionalFormatting sqref="C86 H90:I90">
    <cfRule type="expression" dxfId="5554" priority="9">
      <formula>C86=$B$145</formula>
    </cfRule>
  </conditionalFormatting>
  <conditionalFormatting sqref="H42">
    <cfRule type="expression" dxfId="5553" priority="8">
      <formula>H42=$B$145</formula>
    </cfRule>
  </conditionalFormatting>
  <conditionalFormatting sqref="I42">
    <cfRule type="expression" dxfId="5552" priority="7">
      <formula>I42=$B$145</formula>
    </cfRule>
  </conditionalFormatting>
  <conditionalFormatting sqref="C46">
    <cfRule type="expression" dxfId="5551" priority="4">
      <formula>C46=$B$137</formula>
    </cfRule>
    <cfRule type="expression" dxfId="5550" priority="5">
      <formula>C46=$B$138</formula>
    </cfRule>
    <cfRule type="expression" dxfId="5549" priority="6">
      <formula>C46=$B$136</formula>
    </cfRule>
  </conditionalFormatting>
  <conditionalFormatting sqref="E80:G80">
    <cfRule type="expression" dxfId="5548" priority="3">
      <formula>E80=$B$145</formula>
    </cfRule>
  </conditionalFormatting>
  <conditionalFormatting sqref="C34:E34">
    <cfRule type="expression" dxfId="5547" priority="2">
      <formula>C34=$B$145</formula>
    </cfRule>
  </conditionalFormatting>
  <conditionalFormatting sqref="F34:H34">
    <cfRule type="expression" dxfId="5546" priority="1">
      <formula>F34=$B$145</formula>
    </cfRule>
  </conditionalFormatting>
  <dataValidations count="1">
    <dataValidation type="list" allowBlank="1" showInputMessage="1" showErrorMessage="1" sqref="C44:I44 C106:I106 C16:I16 C82:I82 C14:I14 C70:F70 C102:I102 C56:I56 C100:I100 C8:I8 C38:I38 C62:I62 C92:I92 C58:I58 C54:I54 C98:I98 C6:I6 C32:I32 C10:I10 C86:I86 C26:I26 C12:I12 C84:I84 C78:I78 C42:I42 C18:I18 C52:I52 C64:I64 C60:I60 C28:I28 C46:I46 C94:I94 C68:I68 C30:I30 C80:I80 C20:I20 C50:I50 C36:I36 C40:I40 E76:I76 C24:I24 C22:I22 C88:I88 C74:I74 C76 H70:I70 C48:I48 C90:I90 C96:I96 C104:I104 C66:G66 C72:I72 C34:I34" xr:uid="{00000000-0002-0000-01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1"/>
  <dimension ref="A1:L147"/>
  <sheetViews>
    <sheetView zoomScale="140" zoomScaleNormal="140" zoomScalePageLayoutView="125" workbookViewId="0">
      <pane ySplit="5" topLeftCell="A30" activePane="bottomLeft" state="frozen"/>
      <selection pane="bottomLeft" activeCell="I34" sqref="I34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74"/>
      <c r="B1" s="147" t="s">
        <v>112</v>
      </c>
      <c r="C1" s="75">
        <f t="shared" ref="C1:I1" si="0">COUNTIF(C6:C107,$B$127)+COUNTIF(C6:C107,$B$128)+COUNTIF(C6:C107,$B$129)+COUNTIF(C6:C107,$B$130)</f>
        <v>8</v>
      </c>
      <c r="D1" s="75">
        <f t="shared" si="0"/>
        <v>8</v>
      </c>
      <c r="E1" s="75">
        <f t="shared" si="0"/>
        <v>8</v>
      </c>
      <c r="F1" s="75">
        <f t="shared" si="0"/>
        <v>7</v>
      </c>
      <c r="G1" s="75">
        <f t="shared" si="0"/>
        <v>7</v>
      </c>
      <c r="H1" s="75">
        <f t="shared" si="0"/>
        <v>0</v>
      </c>
      <c r="I1" s="75">
        <f t="shared" si="0"/>
        <v>0</v>
      </c>
      <c r="J1" s="74"/>
      <c r="K1" s="74"/>
      <c r="L1" s="76"/>
    </row>
    <row r="2" spans="1:12" s="24" customFormat="1" ht="15" hidden="1" customHeight="1" x14ac:dyDescent="0.15">
      <c r="A2" s="74"/>
      <c r="B2" s="148" t="s">
        <v>30</v>
      </c>
      <c r="C2" s="77"/>
      <c r="D2" s="77"/>
      <c r="E2" s="77"/>
      <c r="F2" s="77"/>
      <c r="G2" s="77"/>
      <c r="H2" s="77"/>
      <c r="I2" s="77"/>
      <c r="J2" s="74"/>
      <c r="K2" s="74"/>
      <c r="L2" s="76"/>
    </row>
    <row r="3" spans="1:12" s="24" customFormat="1" hidden="1" x14ac:dyDescent="0.15">
      <c r="A3" s="74"/>
      <c r="B3" s="78">
        <v>43115</v>
      </c>
      <c r="C3" s="79">
        <f ca="1">WEEKNUM(TODAY())-1</f>
        <v>9</v>
      </c>
      <c r="D3" s="79">
        <f ca="1">IF($C$3=B4,1,0)</f>
        <v>0</v>
      </c>
      <c r="E3" s="79"/>
      <c r="F3" s="79">
        <f ca="1">IF($C$3=E4,1,0)</f>
        <v>0</v>
      </c>
      <c r="G3" s="79"/>
      <c r="H3" s="79">
        <f ca="1">IF($C$3=G4,1,0)</f>
        <v>0</v>
      </c>
      <c r="I3" s="79"/>
      <c r="J3" s="74"/>
      <c r="K3" s="74"/>
      <c r="L3" s="76"/>
    </row>
    <row r="4" spans="1:12" s="31" customFormat="1" x14ac:dyDescent="0.2">
      <c r="A4" s="80"/>
      <c r="B4" s="81"/>
      <c r="C4" s="149" t="s">
        <v>158</v>
      </c>
      <c r="D4" s="149"/>
      <c r="E4" s="149"/>
      <c r="F4" s="149"/>
      <c r="G4" s="149"/>
      <c r="H4" s="149"/>
      <c r="I4" s="149"/>
      <c r="J4" s="80"/>
      <c r="K4" s="80"/>
      <c r="L4" s="82"/>
    </row>
    <row r="5" spans="1:12" s="24" customFormat="1" ht="15" thickBot="1" x14ac:dyDescent="0.25">
      <c r="A5" s="74"/>
      <c r="B5" s="83"/>
      <c r="C5" s="84">
        <f>B3</f>
        <v>43115</v>
      </c>
      <c r="D5" s="84">
        <f t="shared" ref="D5:I5" si="1">C5+1</f>
        <v>43116</v>
      </c>
      <c r="E5" s="84">
        <f t="shared" si="1"/>
        <v>43117</v>
      </c>
      <c r="F5" s="84">
        <f t="shared" si="1"/>
        <v>43118</v>
      </c>
      <c r="G5" s="84">
        <f t="shared" si="1"/>
        <v>43119</v>
      </c>
      <c r="H5" s="84">
        <f t="shared" si="1"/>
        <v>43120</v>
      </c>
      <c r="I5" s="84">
        <f t="shared" si="1"/>
        <v>43121</v>
      </c>
      <c r="J5" s="85" t="s">
        <v>42</v>
      </c>
      <c r="K5" s="74" t="s">
        <v>159</v>
      </c>
      <c r="L5" s="76"/>
    </row>
    <row r="6" spans="1:12" s="24" customFormat="1" ht="13" customHeight="1" thickTop="1" x14ac:dyDescent="0.2">
      <c r="A6" s="74">
        <f>7-(COUNTIF(C6:I6,"")+COUNTIF(C6:I6,$B$144))</f>
        <v>5</v>
      </c>
      <c r="B6" s="150" t="s">
        <v>0</v>
      </c>
      <c r="C6" s="86" t="s">
        <v>87</v>
      </c>
      <c r="D6" s="86" t="s">
        <v>87</v>
      </c>
      <c r="E6" s="86" t="s">
        <v>87</v>
      </c>
      <c r="F6" s="86" t="s">
        <v>87</v>
      </c>
      <c r="G6" s="86" t="s">
        <v>87</v>
      </c>
      <c r="H6" s="71" t="s">
        <v>95</v>
      </c>
      <c r="I6" s="71" t="s">
        <v>95</v>
      </c>
      <c r="J6" s="152"/>
      <c r="K6" s="139">
        <v>5</v>
      </c>
      <c r="L6" s="76"/>
    </row>
    <row r="7" spans="1:12" s="24" customFormat="1" ht="13" customHeight="1" thickBot="1" x14ac:dyDescent="0.25">
      <c r="A7" s="74"/>
      <c r="B7" s="151"/>
      <c r="C7" s="87" t="str">
        <f t="shared" ref="C7:I7" si="2">IF(ISBLANK(C6),"",VLOOKUP(C6,$B$110:$L$146,11,0))</f>
        <v>08H00-16H30</v>
      </c>
      <c r="D7" s="87" t="str">
        <f t="shared" si="2"/>
        <v>08H00-16H30</v>
      </c>
      <c r="E7" s="87" t="str">
        <f t="shared" si="2"/>
        <v>08H00-16H30</v>
      </c>
      <c r="F7" s="87" t="str">
        <f t="shared" si="2"/>
        <v>08H00-16H30</v>
      </c>
      <c r="G7" s="87" t="str">
        <f t="shared" si="2"/>
        <v>08H00-16H30</v>
      </c>
      <c r="H7" s="88">
        <f t="shared" si="2"/>
        <v>0</v>
      </c>
      <c r="I7" s="88">
        <f t="shared" si="2"/>
        <v>0</v>
      </c>
      <c r="J7" s="153"/>
      <c r="K7" s="139"/>
      <c r="L7" s="89"/>
    </row>
    <row r="8" spans="1:12" ht="13" customHeight="1" thickTop="1" thickBot="1" x14ac:dyDescent="0.25">
      <c r="A8" s="74">
        <f>7-(COUNTIF(C8:I8,"")+COUNTIF(C8:I8,$B$144))</f>
        <v>5</v>
      </c>
      <c r="B8" s="154" t="s">
        <v>1</v>
      </c>
      <c r="C8" s="86" t="s">
        <v>87</v>
      </c>
      <c r="D8" s="86" t="s">
        <v>87</v>
      </c>
      <c r="E8" s="86" t="s">
        <v>87</v>
      </c>
      <c r="F8" s="86" t="s">
        <v>87</v>
      </c>
      <c r="G8" s="86" t="s">
        <v>87</v>
      </c>
      <c r="H8" s="71" t="s">
        <v>95</v>
      </c>
      <c r="I8" s="71" t="s">
        <v>95</v>
      </c>
      <c r="J8" s="156"/>
      <c r="K8" s="139">
        <v>5</v>
      </c>
      <c r="L8" s="91"/>
    </row>
    <row r="9" spans="1:12" ht="13" customHeight="1" thickTop="1" thickBot="1" x14ac:dyDescent="0.25">
      <c r="A9" s="90"/>
      <c r="B9" s="155"/>
      <c r="C9" s="92" t="str">
        <f t="shared" ref="C9:I9" si="3">IF(ISBLANK(C8),"",VLOOKUP(C8,$B$110:$L$146,11,0))</f>
        <v>08H00-16H30</v>
      </c>
      <c r="D9" s="92" t="str">
        <f t="shared" si="3"/>
        <v>08H00-16H30</v>
      </c>
      <c r="E9" s="92" t="str">
        <f t="shared" si="3"/>
        <v>08H00-16H30</v>
      </c>
      <c r="F9" s="92" t="str">
        <f t="shared" si="3"/>
        <v>08H00-16H30</v>
      </c>
      <c r="G9" s="92" t="str">
        <f t="shared" si="3"/>
        <v>08H00-16H30</v>
      </c>
      <c r="H9" s="92">
        <f t="shared" si="3"/>
        <v>0</v>
      </c>
      <c r="I9" s="92">
        <f t="shared" si="3"/>
        <v>0</v>
      </c>
      <c r="J9" s="157"/>
      <c r="K9" s="139"/>
      <c r="L9" s="91"/>
    </row>
    <row r="10" spans="1:12" ht="13" customHeight="1" thickTop="1" x14ac:dyDescent="0.2">
      <c r="A10" s="74">
        <f>7-(COUNTIF(C10:I10,"")+COUNTIF(C10:I10,$B$144))</f>
        <v>5</v>
      </c>
      <c r="B10" s="158" t="s">
        <v>2</v>
      </c>
      <c r="C10" s="86" t="s">
        <v>87</v>
      </c>
      <c r="D10" s="86" t="s">
        <v>87</v>
      </c>
      <c r="E10" s="86" t="s">
        <v>87</v>
      </c>
      <c r="F10" s="86" t="s">
        <v>87</v>
      </c>
      <c r="G10" s="86" t="s">
        <v>87</v>
      </c>
      <c r="H10" s="71" t="s">
        <v>95</v>
      </c>
      <c r="I10" s="71" t="s">
        <v>95</v>
      </c>
      <c r="J10" s="160"/>
      <c r="K10" s="139">
        <v>5</v>
      </c>
      <c r="L10" s="91"/>
    </row>
    <row r="11" spans="1:12" ht="13" customHeight="1" thickBot="1" x14ac:dyDescent="0.25">
      <c r="A11" s="90"/>
      <c r="B11" s="159"/>
      <c r="C11" s="87" t="str">
        <f t="shared" ref="C11:I11" si="4">IF(ISBLANK(C10),"",VLOOKUP(C10,$B$110:$L$146,11,0))</f>
        <v>08H00-16H30</v>
      </c>
      <c r="D11" s="87" t="str">
        <f t="shared" si="4"/>
        <v>08H00-16H30</v>
      </c>
      <c r="E11" s="87" t="str">
        <f t="shared" si="4"/>
        <v>08H00-16H30</v>
      </c>
      <c r="F11" s="87" t="str">
        <f t="shared" si="4"/>
        <v>08H00-16H30</v>
      </c>
      <c r="G11" s="87" t="str">
        <f t="shared" si="4"/>
        <v>08H00-16H30</v>
      </c>
      <c r="H11" s="87">
        <f t="shared" si="4"/>
        <v>0</v>
      </c>
      <c r="I11" s="87">
        <f t="shared" si="4"/>
        <v>0</v>
      </c>
      <c r="J11" s="161" t="s">
        <v>44</v>
      </c>
      <c r="K11" s="139"/>
      <c r="L11" s="91"/>
    </row>
    <row r="12" spans="1:12" ht="13" customHeight="1" thickTop="1" x14ac:dyDescent="0.2">
      <c r="A12" s="74">
        <f>7-(COUNTIF(C12:I12,"")+COUNTIF(C12:I12,$B$144))</f>
        <v>5</v>
      </c>
      <c r="B12" s="158" t="s">
        <v>4</v>
      </c>
      <c r="C12" s="86" t="s">
        <v>87</v>
      </c>
      <c r="D12" s="86" t="s">
        <v>87</v>
      </c>
      <c r="E12" s="86" t="s">
        <v>87</v>
      </c>
      <c r="F12" s="86" t="s">
        <v>87</v>
      </c>
      <c r="G12" s="86" t="s">
        <v>87</v>
      </c>
      <c r="H12" s="71" t="s">
        <v>95</v>
      </c>
      <c r="I12" s="71" t="s">
        <v>95</v>
      </c>
      <c r="J12" s="160"/>
      <c r="K12" s="139">
        <v>5</v>
      </c>
      <c r="L12" s="91"/>
    </row>
    <row r="13" spans="1:12" s="39" customFormat="1" ht="13" customHeight="1" thickBot="1" x14ac:dyDescent="0.25">
      <c r="A13" s="90"/>
      <c r="B13" s="159"/>
      <c r="C13" s="87" t="str">
        <f t="shared" ref="C13:I13" si="5">IF(ISBLANK(C12),"",VLOOKUP(C12,$B$110:$L$146,11,0))</f>
        <v>08H00-16H30</v>
      </c>
      <c r="D13" s="87" t="str">
        <f t="shared" si="5"/>
        <v>08H00-16H30</v>
      </c>
      <c r="E13" s="87" t="str">
        <f t="shared" si="5"/>
        <v>08H00-16H30</v>
      </c>
      <c r="F13" s="87" t="str">
        <f t="shared" si="5"/>
        <v>08H00-16H30</v>
      </c>
      <c r="G13" s="87" t="str">
        <f t="shared" si="5"/>
        <v>08H00-16H30</v>
      </c>
      <c r="H13" s="87">
        <f t="shared" si="5"/>
        <v>0</v>
      </c>
      <c r="I13" s="87">
        <f t="shared" si="5"/>
        <v>0</v>
      </c>
      <c r="J13" s="161" t="s">
        <v>45</v>
      </c>
      <c r="K13" s="139"/>
      <c r="L13" s="91"/>
    </row>
    <row r="14" spans="1:12" s="39" customFormat="1" ht="13" customHeight="1" thickTop="1" x14ac:dyDescent="0.2">
      <c r="A14" s="74">
        <f>7-(COUNTIF(C14:I14,"")+COUNTIF(C14:I14,$B$144))</f>
        <v>5</v>
      </c>
      <c r="B14" s="158" t="s">
        <v>5</v>
      </c>
      <c r="C14" s="86" t="s">
        <v>87</v>
      </c>
      <c r="D14" s="86" t="s">
        <v>87</v>
      </c>
      <c r="E14" s="86" t="s">
        <v>87</v>
      </c>
      <c r="F14" s="86" t="s">
        <v>40</v>
      </c>
      <c r="G14" s="86" t="s">
        <v>40</v>
      </c>
      <c r="H14" s="71" t="s">
        <v>95</v>
      </c>
      <c r="I14" s="71" t="s">
        <v>95</v>
      </c>
      <c r="J14" s="160" t="s">
        <v>78</v>
      </c>
      <c r="K14" s="139">
        <v>5</v>
      </c>
      <c r="L14" s="91"/>
    </row>
    <row r="15" spans="1:12" s="39" customFormat="1" ht="13" customHeight="1" thickBot="1" x14ac:dyDescent="0.25">
      <c r="A15" s="90"/>
      <c r="B15" s="159"/>
      <c r="C15" s="87" t="str">
        <f t="shared" ref="C15:I15" si="6">IF(ISBLANK(C14),"",VLOOKUP(C14,$B$110:$L$146,11,0))</f>
        <v>08H00-16H30</v>
      </c>
      <c r="D15" s="87" t="str">
        <f t="shared" si="6"/>
        <v>08H00-16H30</v>
      </c>
      <c r="E15" s="87" t="str">
        <f t="shared" si="6"/>
        <v>08H00-16H30</v>
      </c>
      <c r="F15" s="87">
        <f t="shared" si="6"/>
        <v>0</v>
      </c>
      <c r="G15" s="87">
        <f t="shared" si="6"/>
        <v>0</v>
      </c>
      <c r="H15" s="87">
        <f t="shared" si="6"/>
        <v>0</v>
      </c>
      <c r="I15" s="87">
        <f t="shared" si="6"/>
        <v>0</v>
      </c>
      <c r="J15" s="161" t="s">
        <v>45</v>
      </c>
      <c r="K15" s="139"/>
      <c r="L15" s="91"/>
    </row>
    <row r="16" spans="1:12" s="39" customFormat="1" ht="13" customHeight="1" thickTop="1" x14ac:dyDescent="0.2">
      <c r="A16" s="74">
        <f>7-(COUNTIF(C16:I16,"")+COUNTIF(C16:I16,$B$144))</f>
        <v>5</v>
      </c>
      <c r="B16" s="158" t="s">
        <v>6</v>
      </c>
      <c r="C16" s="86" t="s">
        <v>87</v>
      </c>
      <c r="D16" s="86" t="s">
        <v>87</v>
      </c>
      <c r="E16" s="86" t="s">
        <v>87</v>
      </c>
      <c r="F16" s="86" t="s">
        <v>87</v>
      </c>
      <c r="G16" s="86" t="s">
        <v>87</v>
      </c>
      <c r="H16" s="71" t="s">
        <v>95</v>
      </c>
      <c r="I16" s="71" t="s">
        <v>95</v>
      </c>
      <c r="J16" s="160"/>
      <c r="K16" s="139">
        <v>5</v>
      </c>
      <c r="L16" s="91"/>
    </row>
    <row r="17" spans="1:12" s="39" customFormat="1" ht="13" customHeight="1" thickBot="1" x14ac:dyDescent="0.25">
      <c r="A17" s="90"/>
      <c r="B17" s="159"/>
      <c r="C17" s="87" t="str">
        <f t="shared" ref="C17:I17" si="7">IF(ISBLANK(C16),"",VLOOKUP(C16,$B$110:$L$146,11,0))</f>
        <v>08H00-16H30</v>
      </c>
      <c r="D17" s="87" t="str">
        <f t="shared" si="7"/>
        <v>08H00-16H30</v>
      </c>
      <c r="E17" s="87" t="str">
        <f t="shared" si="7"/>
        <v>08H00-16H30</v>
      </c>
      <c r="F17" s="87" t="str">
        <f t="shared" si="7"/>
        <v>08H00-16H30</v>
      </c>
      <c r="G17" s="87" t="str">
        <f t="shared" si="7"/>
        <v>08H00-16H30</v>
      </c>
      <c r="H17" s="87">
        <f t="shared" si="7"/>
        <v>0</v>
      </c>
      <c r="I17" s="87">
        <f t="shared" si="7"/>
        <v>0</v>
      </c>
      <c r="J17" s="161"/>
      <c r="K17" s="139"/>
      <c r="L17" s="91"/>
    </row>
    <row r="18" spans="1:12" s="39" customFormat="1" ht="13" customHeight="1" thickTop="1" x14ac:dyDescent="0.2">
      <c r="A18" s="74">
        <f>7-(COUNTIF(C18:I18,"")+COUNTIF(C18:I18,$B$144))</f>
        <v>5</v>
      </c>
      <c r="B18" s="151" t="s">
        <v>7</v>
      </c>
      <c r="C18" s="88" t="s">
        <v>89</v>
      </c>
      <c r="D18" s="88" t="s">
        <v>89</v>
      </c>
      <c r="E18" s="88" t="s">
        <v>89</v>
      </c>
      <c r="F18" s="88" t="s">
        <v>89</v>
      </c>
      <c r="G18" s="88" t="s">
        <v>89</v>
      </c>
      <c r="H18" s="71" t="s">
        <v>95</v>
      </c>
      <c r="I18" s="71" t="s">
        <v>95</v>
      </c>
      <c r="J18" s="153"/>
      <c r="K18" s="139">
        <v>2.5</v>
      </c>
      <c r="L18" s="91"/>
    </row>
    <row r="19" spans="1:12" s="39" customFormat="1" ht="13" customHeight="1" thickBot="1" x14ac:dyDescent="0.25">
      <c r="A19" s="90"/>
      <c r="B19" s="151"/>
      <c r="C19" s="88" t="str">
        <f t="shared" ref="C19:I19" si="8">IF(ISBLANK(C18),"",VLOOKUP(C18,$B$110:$L$146,11,0))</f>
        <v>18H00-22H00</v>
      </c>
      <c r="D19" s="88" t="str">
        <f t="shared" si="8"/>
        <v>18H00-22H00</v>
      </c>
      <c r="E19" s="88" t="str">
        <f t="shared" si="8"/>
        <v>18H00-22H00</v>
      </c>
      <c r="F19" s="88" t="str">
        <f t="shared" si="8"/>
        <v>18H00-22H00</v>
      </c>
      <c r="G19" s="88" t="str">
        <f t="shared" si="8"/>
        <v>18H00-22H00</v>
      </c>
      <c r="H19" s="88">
        <f t="shared" si="8"/>
        <v>0</v>
      </c>
      <c r="I19" s="88">
        <f t="shared" si="8"/>
        <v>0</v>
      </c>
      <c r="J19" s="153"/>
      <c r="K19" s="139"/>
      <c r="L19" s="91"/>
    </row>
    <row r="20" spans="1:12" s="39" customFormat="1" ht="13" customHeight="1" thickTop="1" x14ac:dyDescent="0.2">
      <c r="A20" s="74">
        <f>7-(COUNTIF(C20:I20,"")+COUNTIF(C20:I20,$B$144))</f>
        <v>4</v>
      </c>
      <c r="B20" s="158" t="s">
        <v>111</v>
      </c>
      <c r="C20" s="71" t="s">
        <v>154</v>
      </c>
      <c r="D20" s="71" t="s">
        <v>152</v>
      </c>
      <c r="E20" s="71"/>
      <c r="F20" s="71"/>
      <c r="G20" s="71" t="s">
        <v>79</v>
      </c>
      <c r="H20" s="71"/>
      <c r="I20" s="71" t="s">
        <v>80</v>
      </c>
      <c r="J20" s="160" t="s">
        <v>64</v>
      </c>
      <c r="K20" s="139">
        <v>4</v>
      </c>
      <c r="L20" s="91"/>
    </row>
    <row r="21" spans="1:12" s="39" customFormat="1" ht="13" customHeight="1" thickBot="1" x14ac:dyDescent="0.25">
      <c r="A21" s="90"/>
      <c r="B21" s="159"/>
      <c r="C21" s="87" t="str">
        <f t="shared" ref="C21:I21" si="9">IF(ISBLANK(C20),"",VLOOKUP(C20,$B$110:$L$146,11,0))</f>
        <v>13H00-21H30</v>
      </c>
      <c r="D21" s="87" t="str">
        <f t="shared" si="9"/>
        <v>08H30-17H00</v>
      </c>
      <c r="E21" s="87" t="str">
        <f t="shared" si="9"/>
        <v/>
      </c>
      <c r="F21" s="87" t="str">
        <f t="shared" si="9"/>
        <v/>
      </c>
      <c r="G21" s="87" t="str">
        <f t="shared" si="9"/>
        <v>09H00-17H30</v>
      </c>
      <c r="H21" s="87" t="str">
        <f t="shared" si="9"/>
        <v/>
      </c>
      <c r="I21" s="87" t="str">
        <f t="shared" si="9"/>
        <v>06H00-14H30</v>
      </c>
      <c r="J21" s="161"/>
      <c r="K21" s="139"/>
      <c r="L21" s="91"/>
    </row>
    <row r="22" spans="1:12" ht="13" customHeight="1" thickTop="1" x14ac:dyDescent="0.2">
      <c r="A22" s="74">
        <f>7-(COUNTIF(C22:I22,"")+COUNTIF(C22:I22,$B$144))</f>
        <v>5</v>
      </c>
      <c r="B22" s="164" t="s">
        <v>3</v>
      </c>
      <c r="C22" s="71" t="s">
        <v>137</v>
      </c>
      <c r="D22" s="71" t="s">
        <v>80</v>
      </c>
      <c r="E22" s="71" t="s">
        <v>150</v>
      </c>
      <c r="F22" s="71" t="s">
        <v>82</v>
      </c>
      <c r="G22" s="71" t="s">
        <v>85</v>
      </c>
      <c r="H22" s="71" t="s">
        <v>95</v>
      </c>
      <c r="I22" s="71" t="s">
        <v>95</v>
      </c>
      <c r="J22" s="160" t="s">
        <v>44</v>
      </c>
      <c r="K22" s="139">
        <v>5</v>
      </c>
      <c r="L22" s="91"/>
    </row>
    <row r="23" spans="1:12" ht="13" customHeight="1" thickBot="1" x14ac:dyDescent="0.25">
      <c r="A23" s="90"/>
      <c r="B23" s="165"/>
      <c r="C23" s="87" t="str">
        <f t="shared" ref="C23:I23" si="10">IF(ISBLANK(C22),"",VLOOKUP(C22,$B$110:$L$146,11,0))</f>
        <v>06H00-14H30</v>
      </c>
      <c r="D23" s="87" t="str">
        <f t="shared" si="10"/>
        <v>06H00-14H30</v>
      </c>
      <c r="E23" s="87" t="str">
        <f t="shared" si="10"/>
        <v>09H00-17H30</v>
      </c>
      <c r="F23" s="87" t="str">
        <f t="shared" si="10"/>
        <v>06H00-14H30</v>
      </c>
      <c r="G23" s="87" t="str">
        <f t="shared" si="10"/>
        <v>14H30-23H00</v>
      </c>
      <c r="H23" s="87">
        <f t="shared" si="10"/>
        <v>0</v>
      </c>
      <c r="I23" s="87">
        <f t="shared" si="10"/>
        <v>0</v>
      </c>
      <c r="J23" s="161"/>
      <c r="K23" s="139"/>
      <c r="L23" s="91"/>
    </row>
    <row r="24" spans="1:12" s="39" customFormat="1" ht="13" customHeight="1" thickTop="1" x14ac:dyDescent="0.2">
      <c r="A24" s="74">
        <f>7-(COUNTIF(C24:I24,"")+COUNTIF(C24:I24,$B$144))</f>
        <v>4</v>
      </c>
      <c r="B24" s="166" t="s">
        <v>8</v>
      </c>
      <c r="C24" s="71"/>
      <c r="D24" s="71" t="s">
        <v>90</v>
      </c>
      <c r="E24" s="71"/>
      <c r="F24" s="71" t="s">
        <v>150</v>
      </c>
      <c r="G24" s="71"/>
      <c r="H24" s="71" t="s">
        <v>81</v>
      </c>
      <c r="I24" s="71" t="s">
        <v>83</v>
      </c>
      <c r="J24" s="152" t="s">
        <v>46</v>
      </c>
      <c r="K24" s="139">
        <v>4</v>
      </c>
      <c r="L24" s="91"/>
    </row>
    <row r="25" spans="1:12" s="39" customFormat="1" ht="13" customHeight="1" thickBot="1" x14ac:dyDescent="0.25">
      <c r="A25" s="90"/>
      <c r="B25" s="163"/>
      <c r="C25" s="87" t="str">
        <f t="shared" ref="C25:I25" si="11">IF(ISBLANK(C24),"",VLOOKUP(C24,$B$110:$L$146,11,0))</f>
        <v/>
      </c>
      <c r="D25" s="87" t="str">
        <f t="shared" si="11"/>
        <v>06H00-14H30</v>
      </c>
      <c r="E25" s="87" t="str">
        <f t="shared" si="11"/>
        <v/>
      </c>
      <c r="F25" s="87" t="str">
        <f t="shared" si="11"/>
        <v>09H00-17H30</v>
      </c>
      <c r="G25" s="87" t="str">
        <f t="shared" si="11"/>
        <v/>
      </c>
      <c r="H25" s="87" t="str">
        <f t="shared" si="11"/>
        <v>14H30-23H00</v>
      </c>
      <c r="I25" s="87" t="str">
        <f t="shared" si="11"/>
        <v>09H00-17H30</v>
      </c>
      <c r="J25" s="161" t="s">
        <v>46</v>
      </c>
      <c r="K25" s="139"/>
      <c r="L25" s="91"/>
    </row>
    <row r="26" spans="1:12" s="39" customFormat="1" ht="13" customHeight="1" thickTop="1" x14ac:dyDescent="0.2">
      <c r="A26" s="74">
        <f>7-(COUNTIF(C26:I26,"")+COUNTIF(C26:I26,$B$144))</f>
        <v>5</v>
      </c>
      <c r="B26" s="158" t="s">
        <v>9</v>
      </c>
      <c r="C26" s="71" t="s">
        <v>138</v>
      </c>
      <c r="D26" s="71"/>
      <c r="E26" s="71" t="s">
        <v>110</v>
      </c>
      <c r="F26" s="71"/>
      <c r="G26" s="71" t="s">
        <v>91</v>
      </c>
      <c r="H26" s="71" t="s">
        <v>138</v>
      </c>
      <c r="I26" s="71" t="s">
        <v>138</v>
      </c>
      <c r="J26" s="160" t="s">
        <v>47</v>
      </c>
      <c r="K26" s="139">
        <v>5</v>
      </c>
      <c r="L26" s="91"/>
    </row>
    <row r="27" spans="1:12" s="39" customFormat="1" ht="13" customHeight="1" thickBot="1" x14ac:dyDescent="0.25">
      <c r="A27" s="90"/>
      <c r="B27" s="159"/>
      <c r="C27" s="87" t="str">
        <f t="shared" ref="C27:I27" si="12">IF(ISBLANK(C26),"",VLOOKUP(C26,$B$110:$L$146,11,0))</f>
        <v>22H00-06H30</v>
      </c>
      <c r="D27" s="87" t="str">
        <f t="shared" si="12"/>
        <v/>
      </c>
      <c r="E27" s="87" t="str">
        <f t="shared" si="12"/>
        <v>21H45-06H15</v>
      </c>
      <c r="F27" s="87" t="str">
        <f t="shared" si="12"/>
        <v/>
      </c>
      <c r="G27" s="87" t="str">
        <f t="shared" si="12"/>
        <v>06H00-14H30</v>
      </c>
      <c r="H27" s="87" t="str">
        <f t="shared" si="12"/>
        <v>22H00-06H30</v>
      </c>
      <c r="I27" s="87" t="str">
        <f t="shared" si="12"/>
        <v>22H00-06H30</v>
      </c>
      <c r="J27" s="161" t="s">
        <v>47</v>
      </c>
      <c r="K27" s="139"/>
      <c r="L27" s="91"/>
    </row>
    <row r="28" spans="1:12" s="39" customFormat="1" ht="13" customHeight="1" thickTop="1" x14ac:dyDescent="0.2">
      <c r="A28" s="74">
        <f>7-(COUNTIF(C28:I28,"")+COUNTIF(C28:I28,$B$144))</f>
        <v>4</v>
      </c>
      <c r="B28" s="158" t="s">
        <v>10</v>
      </c>
      <c r="C28" s="71" t="s">
        <v>150</v>
      </c>
      <c r="D28" s="71" t="s">
        <v>85</v>
      </c>
      <c r="E28" s="71"/>
      <c r="F28" s="71" t="s">
        <v>80</v>
      </c>
      <c r="G28" s="71" t="s">
        <v>122</v>
      </c>
      <c r="H28" s="71" t="s">
        <v>95</v>
      </c>
      <c r="I28" s="71" t="s">
        <v>95</v>
      </c>
      <c r="J28" s="160" t="s">
        <v>48</v>
      </c>
      <c r="K28" s="139">
        <v>3</v>
      </c>
      <c r="L28" s="91"/>
    </row>
    <row r="29" spans="1:12" s="39" customFormat="1" ht="13" customHeight="1" thickBot="1" x14ac:dyDescent="0.25">
      <c r="A29" s="90"/>
      <c r="B29" s="159"/>
      <c r="C29" s="87" t="str">
        <f t="shared" ref="C29:I29" si="13">IF(ISBLANK(C28),"",VLOOKUP(C28,$B$110:$L$146,11,0))</f>
        <v>09H00-17H30</v>
      </c>
      <c r="D29" s="87" t="str">
        <f t="shared" si="13"/>
        <v>14H30-23H00</v>
      </c>
      <c r="E29" s="87" t="str">
        <f t="shared" si="13"/>
        <v/>
      </c>
      <c r="F29" s="87" t="str">
        <f t="shared" si="13"/>
        <v>06H00-14H30</v>
      </c>
      <c r="G29" s="87" t="str">
        <f t="shared" si="13"/>
        <v>06H00-14H30</v>
      </c>
      <c r="H29" s="87">
        <f t="shared" si="13"/>
        <v>0</v>
      </c>
      <c r="I29" s="87">
        <f t="shared" si="13"/>
        <v>0</v>
      </c>
      <c r="J29" s="161" t="s">
        <v>48</v>
      </c>
      <c r="K29" s="139"/>
      <c r="L29" s="91"/>
    </row>
    <row r="30" spans="1:12" s="39" customFormat="1" ht="13" customHeight="1" thickTop="1" x14ac:dyDescent="0.2">
      <c r="A30" s="74">
        <f>7-(COUNTIF(C30:I30,"")+COUNTIF(C30:I30,$B$144))</f>
        <v>5</v>
      </c>
      <c r="B30" s="158" t="s">
        <v>11</v>
      </c>
      <c r="C30" s="71" t="s">
        <v>91</v>
      </c>
      <c r="D30" s="71" t="s">
        <v>31</v>
      </c>
      <c r="E30" s="71" t="s">
        <v>82</v>
      </c>
      <c r="F30" s="71" t="s">
        <v>84</v>
      </c>
      <c r="G30" s="71" t="s">
        <v>139</v>
      </c>
      <c r="H30" s="71" t="s">
        <v>95</v>
      </c>
      <c r="I30" s="71" t="s">
        <v>95</v>
      </c>
      <c r="J30" s="160" t="s">
        <v>49</v>
      </c>
      <c r="K30" s="139">
        <v>5</v>
      </c>
      <c r="L30" s="91"/>
    </row>
    <row r="31" spans="1:12" s="39" customFormat="1" ht="13" customHeight="1" thickBot="1" x14ac:dyDescent="0.25">
      <c r="A31" s="74"/>
      <c r="B31" s="159"/>
      <c r="C31" s="87" t="str">
        <f t="shared" ref="C31:I31" si="14">IF(ISBLANK(C30),"",VLOOKUP(C30,$B$110:$L$146,11,0))</f>
        <v>06H00-14H30</v>
      </c>
      <c r="D31" s="87" t="str">
        <f t="shared" si="14"/>
        <v>06H00-14H30</v>
      </c>
      <c r="E31" s="87" t="str">
        <f t="shared" si="14"/>
        <v>06H00-14H30</v>
      </c>
      <c r="F31" s="87" t="str">
        <f t="shared" si="14"/>
        <v>13H30-22H00</v>
      </c>
      <c r="G31" s="87" t="str">
        <f t="shared" si="14"/>
        <v>14H00-22H30</v>
      </c>
      <c r="H31" s="87">
        <f t="shared" si="14"/>
        <v>0</v>
      </c>
      <c r="I31" s="87">
        <f t="shared" si="14"/>
        <v>0</v>
      </c>
      <c r="J31" s="161" t="s">
        <v>49</v>
      </c>
      <c r="K31" s="139"/>
      <c r="L31" s="91"/>
    </row>
    <row r="32" spans="1:12" s="39" customFormat="1" ht="13" customHeight="1" thickTop="1" x14ac:dyDescent="0.2">
      <c r="A32" s="74">
        <f>7-(COUNTIF(C32:I32,"")+COUNTIF(C32:I32,$B$144))</f>
        <v>5</v>
      </c>
      <c r="B32" s="162" t="s">
        <v>12</v>
      </c>
      <c r="C32" s="71" t="s">
        <v>82</v>
      </c>
      <c r="D32" s="71"/>
      <c r="E32" s="71" t="s">
        <v>137</v>
      </c>
      <c r="F32" s="71"/>
      <c r="G32" s="71" t="s">
        <v>152</v>
      </c>
      <c r="H32" s="71" t="s">
        <v>79</v>
      </c>
      <c r="I32" s="71" t="s">
        <v>85</v>
      </c>
      <c r="J32" s="160" t="s">
        <v>50</v>
      </c>
      <c r="K32" s="139">
        <v>5</v>
      </c>
      <c r="L32" s="91"/>
    </row>
    <row r="33" spans="1:12" s="39" customFormat="1" ht="13" customHeight="1" thickBot="1" x14ac:dyDescent="0.25">
      <c r="A33" s="90"/>
      <c r="B33" s="163"/>
      <c r="C33" s="87" t="str">
        <f t="shared" ref="C33:I33" si="15">IF(ISBLANK(C32),"",VLOOKUP(C32,$B$110:$L$146,11,0))</f>
        <v>06H00-14H30</v>
      </c>
      <c r="D33" s="87" t="str">
        <f t="shared" si="15"/>
        <v/>
      </c>
      <c r="E33" s="87" t="str">
        <f t="shared" si="15"/>
        <v>06H00-14H30</v>
      </c>
      <c r="F33" s="87" t="str">
        <f t="shared" si="15"/>
        <v/>
      </c>
      <c r="G33" s="87" t="str">
        <f t="shared" si="15"/>
        <v>08H30-17H00</v>
      </c>
      <c r="H33" s="87" t="str">
        <f t="shared" si="15"/>
        <v>09H00-17H30</v>
      </c>
      <c r="I33" s="87" t="str">
        <f t="shared" si="15"/>
        <v>14H30-23H00</v>
      </c>
      <c r="J33" s="161" t="s">
        <v>50</v>
      </c>
      <c r="K33" s="139"/>
      <c r="L33" s="91"/>
    </row>
    <row r="34" spans="1:12" s="39" customFormat="1" ht="13" customHeight="1" thickTop="1" x14ac:dyDescent="0.2">
      <c r="A34" s="74">
        <f>7-(COUNTIF(C34:I34,"")+COUNTIF(C34:I34,$B$144))</f>
        <v>2</v>
      </c>
      <c r="B34" s="164" t="s">
        <v>13</v>
      </c>
      <c r="C34" s="71"/>
      <c r="D34" s="71" t="s">
        <v>137</v>
      </c>
      <c r="E34" s="71"/>
      <c r="F34" s="71" t="s">
        <v>154</v>
      </c>
      <c r="G34" s="71"/>
      <c r="H34" s="71" t="s">
        <v>95</v>
      </c>
      <c r="I34" s="71" t="s">
        <v>95</v>
      </c>
      <c r="J34" s="160" t="s">
        <v>51</v>
      </c>
      <c r="K34" s="139">
        <v>3</v>
      </c>
      <c r="L34" s="91"/>
    </row>
    <row r="35" spans="1:12" s="39" customFormat="1" ht="13" customHeight="1" thickBot="1" x14ac:dyDescent="0.25">
      <c r="A35" s="90"/>
      <c r="B35" s="165"/>
      <c r="C35" s="87" t="str">
        <f t="shared" ref="C35:I35" si="16">IF(ISBLANK(C34),"",VLOOKUP(C34,$B$110:$L$146,11,0))</f>
        <v/>
      </c>
      <c r="D35" s="87" t="str">
        <f t="shared" si="16"/>
        <v>06H00-14H30</v>
      </c>
      <c r="E35" s="87" t="str">
        <f t="shared" si="16"/>
        <v/>
      </c>
      <c r="F35" s="87" t="str">
        <f t="shared" si="16"/>
        <v>13H00-21H30</v>
      </c>
      <c r="G35" s="87" t="str">
        <f t="shared" si="16"/>
        <v/>
      </c>
      <c r="H35" s="87">
        <f t="shared" si="16"/>
        <v>0</v>
      </c>
      <c r="I35" s="87">
        <f t="shared" si="16"/>
        <v>0</v>
      </c>
      <c r="J35" s="161" t="s">
        <v>51</v>
      </c>
      <c r="K35" s="139"/>
      <c r="L35" s="91"/>
    </row>
    <row r="36" spans="1:12" s="39" customFormat="1" ht="13" customHeight="1" thickTop="1" x14ac:dyDescent="0.2">
      <c r="A36" s="74">
        <f>7-(COUNTIF(C36:I36,"")+COUNTIF(C36:I36,$B$144))</f>
        <v>5</v>
      </c>
      <c r="B36" s="171" t="s">
        <v>43</v>
      </c>
      <c r="C36" s="71" t="s">
        <v>80</v>
      </c>
      <c r="D36" s="71"/>
      <c r="E36" s="71" t="s">
        <v>90</v>
      </c>
      <c r="F36" s="71" t="s">
        <v>137</v>
      </c>
      <c r="G36" s="71" t="s">
        <v>84</v>
      </c>
      <c r="H36" s="71" t="s">
        <v>85</v>
      </c>
      <c r="I36" s="71" t="s">
        <v>95</v>
      </c>
      <c r="J36" s="160" t="s">
        <v>114</v>
      </c>
      <c r="K36" s="139">
        <v>5</v>
      </c>
      <c r="L36" s="91"/>
    </row>
    <row r="37" spans="1:12" s="39" customFormat="1" ht="13" customHeight="1" thickBot="1" x14ac:dyDescent="0.25">
      <c r="A37" s="90"/>
      <c r="B37" s="172"/>
      <c r="C37" s="87" t="str">
        <f t="shared" ref="C37:I37" si="17">IF(ISBLANK(C36),"",VLOOKUP(C36,$B$110:$L$146,11,0))</f>
        <v>06H00-14H30</v>
      </c>
      <c r="D37" s="87" t="str">
        <f t="shared" si="17"/>
        <v/>
      </c>
      <c r="E37" s="87" t="str">
        <f t="shared" si="17"/>
        <v>06H00-14H30</v>
      </c>
      <c r="F37" s="87" t="str">
        <f t="shared" si="17"/>
        <v>06H00-14H30</v>
      </c>
      <c r="G37" s="87" t="str">
        <f t="shared" si="17"/>
        <v>13H30-22H00</v>
      </c>
      <c r="H37" s="87" t="str">
        <f t="shared" si="17"/>
        <v>14H30-23H00</v>
      </c>
      <c r="I37" s="87">
        <f t="shared" si="17"/>
        <v>0</v>
      </c>
      <c r="J37" s="161"/>
      <c r="K37" s="139"/>
      <c r="L37" s="91"/>
    </row>
    <row r="38" spans="1:12" s="39" customFormat="1" ht="13" customHeight="1" thickTop="1" x14ac:dyDescent="0.2">
      <c r="A38" s="74">
        <f>7-(COUNTIF(C38:I38,"")+COUNTIF(C38:I38,$B$144))</f>
        <v>4</v>
      </c>
      <c r="B38" s="158" t="s">
        <v>14</v>
      </c>
      <c r="C38" s="71" t="s">
        <v>31</v>
      </c>
      <c r="D38" s="86" t="s">
        <v>110</v>
      </c>
      <c r="E38" s="71"/>
      <c r="F38" s="71"/>
      <c r="G38" s="71" t="s">
        <v>40</v>
      </c>
      <c r="H38" s="71" t="s">
        <v>40</v>
      </c>
      <c r="I38" s="71" t="s">
        <v>95</v>
      </c>
      <c r="J38" s="160" t="s">
        <v>52</v>
      </c>
      <c r="K38" s="139">
        <v>4</v>
      </c>
      <c r="L38" s="91"/>
    </row>
    <row r="39" spans="1:12" s="39" customFormat="1" ht="13" customHeight="1" thickBot="1" x14ac:dyDescent="0.25">
      <c r="A39" s="90"/>
      <c r="B39" s="159"/>
      <c r="C39" s="87" t="str">
        <f t="shared" ref="C39:I39" si="18">IF(ISBLANK(C38),"",VLOOKUP(C38,$B$110:$L$146,11,0))</f>
        <v>06H00-14H30</v>
      </c>
      <c r="D39" s="87" t="str">
        <f t="shared" si="18"/>
        <v>21H45-06H15</v>
      </c>
      <c r="E39" s="87" t="str">
        <f t="shared" si="18"/>
        <v/>
      </c>
      <c r="F39" s="87" t="str">
        <f t="shared" si="18"/>
        <v/>
      </c>
      <c r="G39" s="87">
        <f t="shared" si="18"/>
        <v>0</v>
      </c>
      <c r="H39" s="87">
        <f t="shared" si="18"/>
        <v>0</v>
      </c>
      <c r="I39" s="87">
        <f t="shared" si="18"/>
        <v>0</v>
      </c>
      <c r="J39" s="161" t="s">
        <v>52</v>
      </c>
      <c r="K39" s="139"/>
      <c r="L39" s="91"/>
    </row>
    <row r="40" spans="1:12" s="39" customFormat="1" ht="13" customHeight="1" thickTop="1" x14ac:dyDescent="0.2">
      <c r="A40" s="74">
        <f>7-(COUNTIF(C40:I40,"")+COUNTIF(C40:I40,$B$144))</f>
        <v>5</v>
      </c>
      <c r="B40" s="162" t="s">
        <v>15</v>
      </c>
      <c r="C40" s="71" t="s">
        <v>139</v>
      </c>
      <c r="D40" s="71" t="s">
        <v>154</v>
      </c>
      <c r="E40" s="71"/>
      <c r="F40" s="71" t="s">
        <v>82</v>
      </c>
      <c r="G40" s="71"/>
      <c r="H40" s="71" t="s">
        <v>151</v>
      </c>
      <c r="I40" s="71" t="s">
        <v>92</v>
      </c>
      <c r="J40" s="160" t="s">
        <v>53</v>
      </c>
      <c r="K40" s="139">
        <v>5</v>
      </c>
      <c r="L40" s="91"/>
    </row>
    <row r="41" spans="1:12" s="39" customFormat="1" ht="13" customHeight="1" thickBot="1" x14ac:dyDescent="0.25">
      <c r="A41" s="90"/>
      <c r="B41" s="163"/>
      <c r="C41" s="87" t="str">
        <f t="shared" ref="C41:I41" si="19">IF(ISBLANK(C40),"",VLOOKUP(C40,$B$110:$L$146,11,0))</f>
        <v>14H00-22H30</v>
      </c>
      <c r="D41" s="87" t="str">
        <f t="shared" si="19"/>
        <v>13H00-21H30</v>
      </c>
      <c r="E41" s="87" t="str">
        <f t="shared" si="19"/>
        <v/>
      </c>
      <c r="F41" s="87" t="str">
        <f t="shared" si="19"/>
        <v>06H00-14H30</v>
      </c>
      <c r="G41" s="87" t="str">
        <f t="shared" si="19"/>
        <v/>
      </c>
      <c r="H41" s="87" t="str">
        <f t="shared" si="19"/>
        <v>08H30-17H00</v>
      </c>
      <c r="I41" s="87" t="str">
        <f t="shared" si="19"/>
        <v>10H00-18H30</v>
      </c>
      <c r="J41" s="161" t="s">
        <v>54</v>
      </c>
      <c r="K41" s="139"/>
      <c r="L41" s="91"/>
    </row>
    <row r="42" spans="1:12" s="39" customFormat="1" ht="13" customHeight="1" thickTop="1" x14ac:dyDescent="0.2">
      <c r="A42" s="74">
        <f>7-(COUNTIF(C42:I42,"")+COUNTIF(C42:I42,$B$144))</f>
        <v>5</v>
      </c>
      <c r="B42" s="151" t="s">
        <v>119</v>
      </c>
      <c r="C42" s="88" t="s">
        <v>83</v>
      </c>
      <c r="D42" s="88" t="s">
        <v>91</v>
      </c>
      <c r="E42" s="71" t="s">
        <v>93</v>
      </c>
      <c r="F42" s="88"/>
      <c r="G42" s="71" t="s">
        <v>123</v>
      </c>
      <c r="H42" s="71"/>
      <c r="I42" s="71" t="s">
        <v>82</v>
      </c>
      <c r="J42" s="153" t="s">
        <v>73</v>
      </c>
      <c r="K42" s="139">
        <v>5</v>
      </c>
      <c r="L42" s="91"/>
    </row>
    <row r="43" spans="1:12" s="39" customFormat="1" ht="13" customHeight="1" thickBot="1" x14ac:dyDescent="0.25">
      <c r="A43" s="90"/>
      <c r="B43" s="167"/>
      <c r="C43" s="93" t="str">
        <f t="shared" ref="C43:I43" si="20">IF(ISBLANK(C42),"",VLOOKUP(C42,$B$110:$L$146,11,0))</f>
        <v>09H00-17H30</v>
      </c>
      <c r="D43" s="93" t="str">
        <f t="shared" si="20"/>
        <v>06H00-14H30</v>
      </c>
      <c r="E43" s="93" t="str">
        <f t="shared" si="20"/>
        <v>06H00-14H30</v>
      </c>
      <c r="F43" s="93" t="str">
        <f t="shared" si="20"/>
        <v/>
      </c>
      <c r="G43" s="93" t="str">
        <f t="shared" si="20"/>
        <v>14H30-23H00</v>
      </c>
      <c r="H43" s="93" t="str">
        <f t="shared" si="20"/>
        <v/>
      </c>
      <c r="I43" s="93" t="str">
        <f t="shared" si="20"/>
        <v>06H00-14H30</v>
      </c>
      <c r="J43" s="168"/>
      <c r="K43" s="139"/>
      <c r="L43" s="91"/>
    </row>
    <row r="44" spans="1:12" s="39" customFormat="1" ht="13" customHeight="1" thickTop="1" x14ac:dyDescent="0.2">
      <c r="A44" s="74">
        <f>7-(COUNTIF(C44:I44,"")+COUNTIF(C44:I44,$B$144))</f>
        <v>5</v>
      </c>
      <c r="B44" s="158" t="s">
        <v>16</v>
      </c>
      <c r="C44" s="71" t="s">
        <v>122</v>
      </c>
      <c r="D44" s="71"/>
      <c r="E44" s="71" t="s">
        <v>81</v>
      </c>
      <c r="F44" s="71"/>
      <c r="G44" s="71" t="s">
        <v>84</v>
      </c>
      <c r="H44" s="71" t="s">
        <v>83</v>
      </c>
      <c r="I44" s="71" t="s">
        <v>91</v>
      </c>
      <c r="J44" s="160" t="s">
        <v>54</v>
      </c>
      <c r="K44" s="139">
        <v>5</v>
      </c>
      <c r="L44" s="91"/>
    </row>
    <row r="45" spans="1:12" s="39" customFormat="1" ht="13" customHeight="1" thickBot="1" x14ac:dyDescent="0.25">
      <c r="A45" s="90"/>
      <c r="B45" s="159"/>
      <c r="C45" s="87" t="str">
        <f t="shared" ref="C45:I45" si="21">IF(ISBLANK(C44),"",VLOOKUP(C44,$B$110:$L$146,11,0))</f>
        <v>06H00-14H30</v>
      </c>
      <c r="D45" s="87" t="str">
        <f t="shared" si="21"/>
        <v/>
      </c>
      <c r="E45" s="87" t="str">
        <f t="shared" si="21"/>
        <v>14H30-23H00</v>
      </c>
      <c r="F45" s="87" t="str">
        <f t="shared" si="21"/>
        <v/>
      </c>
      <c r="G45" s="87" t="str">
        <f t="shared" si="21"/>
        <v>13H30-22H00</v>
      </c>
      <c r="H45" s="87" t="str">
        <f t="shared" si="21"/>
        <v>09H00-17H30</v>
      </c>
      <c r="I45" s="87" t="str">
        <f t="shared" si="21"/>
        <v>06H00-14H30</v>
      </c>
      <c r="J45" s="161" t="s">
        <v>55</v>
      </c>
      <c r="K45" s="139"/>
      <c r="L45" s="91"/>
    </row>
    <row r="46" spans="1:12" s="39" customFormat="1" ht="13" customHeight="1" thickTop="1" x14ac:dyDescent="0.2">
      <c r="A46" s="74">
        <f>7-(COUNTIF(C46:I46,"")+COUNTIF(C46:I46,$B$144))</f>
        <v>5</v>
      </c>
      <c r="B46" s="158" t="s">
        <v>102</v>
      </c>
      <c r="C46" s="71" t="s">
        <v>152</v>
      </c>
      <c r="D46" s="71" t="s">
        <v>92</v>
      </c>
      <c r="E46" s="71"/>
      <c r="F46" s="71" t="s">
        <v>123</v>
      </c>
      <c r="G46" s="71" t="s">
        <v>83</v>
      </c>
      <c r="H46" s="71" t="s">
        <v>90</v>
      </c>
      <c r="I46" s="71" t="s">
        <v>95</v>
      </c>
      <c r="J46" s="160" t="s">
        <v>55</v>
      </c>
      <c r="K46" s="139">
        <v>5</v>
      </c>
      <c r="L46" s="91"/>
    </row>
    <row r="47" spans="1:12" s="39" customFormat="1" ht="13" customHeight="1" thickBot="1" x14ac:dyDescent="0.25">
      <c r="A47" s="74"/>
      <c r="B47" s="159"/>
      <c r="C47" s="87" t="str">
        <f t="shared" ref="C47:I47" si="22">IF(ISBLANK(C46),"",VLOOKUP(C46,$B$110:$L$146,11,0))</f>
        <v>08H30-17H00</v>
      </c>
      <c r="D47" s="87" t="str">
        <f t="shared" si="22"/>
        <v>10H00-18H30</v>
      </c>
      <c r="E47" s="87" t="str">
        <f t="shared" si="22"/>
        <v/>
      </c>
      <c r="F47" s="87" t="str">
        <f t="shared" si="22"/>
        <v>14H30-23H00</v>
      </c>
      <c r="G47" s="87" t="str">
        <f t="shared" si="22"/>
        <v>09H00-17H30</v>
      </c>
      <c r="H47" s="87" t="str">
        <f t="shared" si="22"/>
        <v>06H00-14H30</v>
      </c>
      <c r="I47" s="87">
        <f t="shared" si="22"/>
        <v>0</v>
      </c>
      <c r="J47" s="161" t="s">
        <v>56</v>
      </c>
      <c r="K47" s="139"/>
      <c r="L47" s="91"/>
    </row>
    <row r="48" spans="1:12" s="39" customFormat="1" ht="13" customHeight="1" thickTop="1" x14ac:dyDescent="0.2">
      <c r="A48" s="74">
        <f>7-(COUNTIF(C48:I48,"")+COUNTIF(C48:I48,$B$144))</f>
        <v>5</v>
      </c>
      <c r="B48" s="158" t="s">
        <v>132</v>
      </c>
      <c r="C48" s="71" t="s">
        <v>84</v>
      </c>
      <c r="D48" s="71"/>
      <c r="E48" s="71" t="s">
        <v>82</v>
      </c>
      <c r="F48" s="71" t="s">
        <v>91</v>
      </c>
      <c r="G48" s="71" t="s">
        <v>93</v>
      </c>
      <c r="H48" s="71"/>
      <c r="I48" s="71" t="s">
        <v>139</v>
      </c>
      <c r="J48" s="160" t="s">
        <v>57</v>
      </c>
      <c r="K48" s="139">
        <v>4</v>
      </c>
      <c r="L48" s="91"/>
    </row>
    <row r="49" spans="1:12" ht="13" customHeight="1" thickBot="1" x14ac:dyDescent="0.25">
      <c r="A49" s="90"/>
      <c r="B49" s="159"/>
      <c r="C49" s="87" t="str">
        <f t="shared" ref="C49:I49" si="23">IF(ISBLANK(C48),"",VLOOKUP(C48,$B$110:$L$146,11,0))</f>
        <v>13H30-22H00</v>
      </c>
      <c r="D49" s="87" t="str">
        <f t="shared" si="23"/>
        <v/>
      </c>
      <c r="E49" s="87" t="str">
        <f t="shared" si="23"/>
        <v>06H00-14H30</v>
      </c>
      <c r="F49" s="87" t="str">
        <f t="shared" si="23"/>
        <v>06H00-14H30</v>
      </c>
      <c r="G49" s="87" t="str">
        <f t="shared" si="23"/>
        <v>06H00-14H30</v>
      </c>
      <c r="H49" s="87" t="str">
        <f t="shared" si="23"/>
        <v/>
      </c>
      <c r="I49" s="87" t="str">
        <f t="shared" si="23"/>
        <v>14H00-22H30</v>
      </c>
      <c r="J49" s="161" t="s">
        <v>57</v>
      </c>
      <c r="K49" s="139"/>
      <c r="L49" s="91"/>
    </row>
    <row r="50" spans="1:12" s="39" customFormat="1" ht="13" customHeight="1" thickTop="1" x14ac:dyDescent="0.2">
      <c r="A50" s="74">
        <f>7-(COUNTIF(C50:I50,"")+COUNTIF(C50:I50,$B$144))</f>
        <v>5</v>
      </c>
      <c r="B50" s="162" t="s">
        <v>17</v>
      </c>
      <c r="C50" s="71" t="s">
        <v>95</v>
      </c>
      <c r="D50" s="71" t="s">
        <v>122</v>
      </c>
      <c r="E50" s="71" t="s">
        <v>31</v>
      </c>
      <c r="F50" s="71" t="s">
        <v>85</v>
      </c>
      <c r="G50" s="71" t="s">
        <v>84</v>
      </c>
      <c r="H50" s="71"/>
      <c r="I50" s="71" t="s">
        <v>137</v>
      </c>
      <c r="J50" s="160" t="s">
        <v>56</v>
      </c>
      <c r="K50" s="139">
        <v>5</v>
      </c>
      <c r="L50" s="91"/>
    </row>
    <row r="51" spans="1:12" ht="13" customHeight="1" thickBot="1" x14ac:dyDescent="0.25">
      <c r="A51" s="90"/>
      <c r="B51" s="163"/>
      <c r="C51" s="87">
        <f t="shared" ref="C51:I51" si="24">IF(ISBLANK(C50),"",VLOOKUP(C50,$B$110:$L$146,11,0))</f>
        <v>0</v>
      </c>
      <c r="D51" s="87" t="str">
        <f t="shared" si="24"/>
        <v>06H00-14H30</v>
      </c>
      <c r="E51" s="87" t="str">
        <f t="shared" si="24"/>
        <v>06H00-14H30</v>
      </c>
      <c r="F51" s="87" t="str">
        <f t="shared" si="24"/>
        <v>14H30-23H00</v>
      </c>
      <c r="G51" s="87" t="str">
        <f t="shared" si="24"/>
        <v>13H30-22H00</v>
      </c>
      <c r="H51" s="87" t="str">
        <f t="shared" si="24"/>
        <v/>
      </c>
      <c r="I51" s="87" t="str">
        <f t="shared" si="24"/>
        <v>06H00-14H30</v>
      </c>
      <c r="J51" s="161" t="s">
        <v>57</v>
      </c>
      <c r="K51" s="139"/>
      <c r="L51" s="91"/>
    </row>
    <row r="52" spans="1:12" s="39" customFormat="1" ht="13" customHeight="1" thickTop="1" x14ac:dyDescent="0.2">
      <c r="A52" s="74">
        <f>7-(COUNTIF(C52:I52,"")+COUNTIF(C52:I52,$B$144))</f>
        <v>4</v>
      </c>
      <c r="B52" s="158" t="s">
        <v>127</v>
      </c>
      <c r="C52" s="71" t="s">
        <v>84</v>
      </c>
      <c r="D52" s="71" t="s">
        <v>95</v>
      </c>
      <c r="E52" s="71" t="s">
        <v>95</v>
      </c>
      <c r="F52" s="71" t="s">
        <v>122</v>
      </c>
      <c r="G52" s="71"/>
      <c r="H52" s="71" t="s">
        <v>93</v>
      </c>
      <c r="I52" s="71" t="s">
        <v>84</v>
      </c>
      <c r="J52" s="160" t="s">
        <v>130</v>
      </c>
      <c r="K52" s="139">
        <v>4</v>
      </c>
      <c r="L52" s="91"/>
    </row>
    <row r="53" spans="1:12" s="39" customFormat="1" ht="13" customHeight="1" thickBot="1" x14ac:dyDescent="0.25">
      <c r="A53" s="90"/>
      <c r="B53" s="159"/>
      <c r="C53" s="87" t="str">
        <f t="shared" ref="C53:I53" si="25">IF(ISBLANK(C52),"",VLOOKUP(C52,$B$110:$L$146,11,0))</f>
        <v>13H30-22H00</v>
      </c>
      <c r="D53" s="87">
        <f t="shared" si="25"/>
        <v>0</v>
      </c>
      <c r="E53" s="87">
        <f t="shared" si="25"/>
        <v>0</v>
      </c>
      <c r="F53" s="87" t="str">
        <f t="shared" si="25"/>
        <v>06H00-14H30</v>
      </c>
      <c r="G53" s="87" t="str">
        <f t="shared" si="25"/>
        <v/>
      </c>
      <c r="H53" s="87" t="str">
        <f t="shared" si="25"/>
        <v>06H00-14H30</v>
      </c>
      <c r="I53" s="87" t="str">
        <f t="shared" si="25"/>
        <v>13H30-22H00</v>
      </c>
      <c r="J53" s="161" t="s">
        <v>45</v>
      </c>
      <c r="K53" s="139"/>
      <c r="L53" s="91"/>
    </row>
    <row r="54" spans="1:12" s="39" customFormat="1" ht="13" customHeight="1" thickTop="1" x14ac:dyDescent="0.2">
      <c r="A54" s="74">
        <f>7-(COUNTIF(C54:I54,"")+COUNTIF(C54:I54,$B$144))</f>
        <v>4</v>
      </c>
      <c r="B54" s="162" t="s">
        <v>18</v>
      </c>
      <c r="C54" s="71"/>
      <c r="D54" s="71" t="s">
        <v>138</v>
      </c>
      <c r="E54" s="71"/>
      <c r="F54" s="71" t="s">
        <v>110</v>
      </c>
      <c r="G54" s="71"/>
      <c r="H54" s="71" t="s">
        <v>84</v>
      </c>
      <c r="I54" s="71" t="s">
        <v>79</v>
      </c>
      <c r="J54" s="160" t="s">
        <v>58</v>
      </c>
      <c r="K54" s="139">
        <v>4</v>
      </c>
      <c r="L54" s="91"/>
    </row>
    <row r="55" spans="1:12" s="39" customFormat="1" ht="13" customHeight="1" thickBot="1" x14ac:dyDescent="0.25">
      <c r="A55" s="90"/>
      <c r="B55" s="163"/>
      <c r="C55" s="87" t="str">
        <f t="shared" ref="C55:I55" si="26">IF(ISBLANK(C54),"",VLOOKUP(C54,$B$110:$L$146,11,0))</f>
        <v/>
      </c>
      <c r="D55" s="87" t="str">
        <f t="shared" si="26"/>
        <v>22H00-06H30</v>
      </c>
      <c r="E55" s="87" t="str">
        <f t="shared" si="26"/>
        <v/>
      </c>
      <c r="F55" s="87" t="str">
        <f t="shared" si="26"/>
        <v>21H45-06H15</v>
      </c>
      <c r="G55" s="87" t="str">
        <f t="shared" si="26"/>
        <v/>
      </c>
      <c r="H55" s="87" t="str">
        <f t="shared" si="26"/>
        <v>13H30-22H00</v>
      </c>
      <c r="I55" s="87" t="str">
        <f t="shared" si="26"/>
        <v>09H00-17H30</v>
      </c>
      <c r="J55" s="161" t="s">
        <v>59</v>
      </c>
      <c r="K55" s="139"/>
      <c r="L55" s="91"/>
    </row>
    <row r="56" spans="1:12" s="39" customFormat="1" ht="13" customHeight="1" thickTop="1" x14ac:dyDescent="0.2">
      <c r="A56" s="74">
        <f>7-(COUNTIF(C56:I56,"")+COUNTIF(C56:I56,$B$144))</f>
        <v>5</v>
      </c>
      <c r="B56" s="158" t="s">
        <v>19</v>
      </c>
      <c r="C56" s="71" t="s">
        <v>90</v>
      </c>
      <c r="D56" s="71" t="s">
        <v>84</v>
      </c>
      <c r="E56" s="71"/>
      <c r="F56" s="71" t="s">
        <v>139</v>
      </c>
      <c r="G56" s="71"/>
      <c r="H56" s="71" t="s">
        <v>82</v>
      </c>
      <c r="I56" s="71" t="s">
        <v>122</v>
      </c>
      <c r="J56" s="160" t="s">
        <v>59</v>
      </c>
      <c r="K56" s="139">
        <v>5</v>
      </c>
      <c r="L56" s="91"/>
    </row>
    <row r="57" spans="1:12" s="39" customFormat="1" ht="13" customHeight="1" thickBot="1" x14ac:dyDescent="0.25">
      <c r="A57" s="90"/>
      <c r="B57" s="159"/>
      <c r="C57" s="87" t="str">
        <f t="shared" ref="C57:I57" si="27">IF(ISBLANK(C56),"",VLOOKUP(C56,$B$110:$L$146,11,0))</f>
        <v>06H00-14H30</v>
      </c>
      <c r="D57" s="87" t="str">
        <f t="shared" si="27"/>
        <v>13H30-22H00</v>
      </c>
      <c r="E57" s="87" t="str">
        <f t="shared" si="27"/>
        <v/>
      </c>
      <c r="F57" s="87" t="str">
        <f t="shared" si="27"/>
        <v>14H00-22H30</v>
      </c>
      <c r="G57" s="87" t="str">
        <f t="shared" si="27"/>
        <v/>
      </c>
      <c r="H57" s="87" t="str">
        <f t="shared" si="27"/>
        <v>06H00-14H30</v>
      </c>
      <c r="I57" s="87" t="str">
        <f t="shared" si="27"/>
        <v>06H00-14H30</v>
      </c>
      <c r="J57" s="161" t="s">
        <v>60</v>
      </c>
      <c r="K57" s="139"/>
      <c r="L57" s="91"/>
    </row>
    <row r="58" spans="1:12" s="39" customFormat="1" ht="13" customHeight="1" thickTop="1" x14ac:dyDescent="0.2">
      <c r="A58" s="74">
        <f>7-(COUNTIF(C58:I58,"")+COUNTIF(C58:I58,$B$144))</f>
        <v>4</v>
      </c>
      <c r="B58" s="158" t="s">
        <v>20</v>
      </c>
      <c r="C58" s="71" t="s">
        <v>92</v>
      </c>
      <c r="D58" s="71" t="s">
        <v>84</v>
      </c>
      <c r="E58" s="71" t="s">
        <v>149</v>
      </c>
      <c r="F58" s="71"/>
      <c r="G58" s="71" t="s">
        <v>81</v>
      </c>
      <c r="H58" s="71" t="s">
        <v>95</v>
      </c>
      <c r="I58" s="71" t="s">
        <v>95</v>
      </c>
      <c r="J58" s="160" t="s">
        <v>60</v>
      </c>
      <c r="K58" s="139">
        <v>4</v>
      </c>
      <c r="L58" s="91"/>
    </row>
    <row r="59" spans="1:12" s="39" customFormat="1" ht="13" customHeight="1" thickBot="1" x14ac:dyDescent="0.25">
      <c r="A59" s="90"/>
      <c r="B59" s="151"/>
      <c r="C59" s="88" t="str">
        <f t="shared" ref="C59:I59" si="28">IF(ISBLANK(C58),"",VLOOKUP(C58,$B$110:$L$146,11,0))</f>
        <v>10H00-18H30</v>
      </c>
      <c r="D59" s="88" t="str">
        <f t="shared" si="28"/>
        <v>13H30-22H00</v>
      </c>
      <c r="E59" s="88" t="str">
        <f t="shared" si="28"/>
        <v>09H00-17H30</v>
      </c>
      <c r="F59" s="88" t="str">
        <f t="shared" si="28"/>
        <v/>
      </c>
      <c r="G59" s="88" t="str">
        <f t="shared" si="28"/>
        <v>14H30-23H00</v>
      </c>
      <c r="H59" s="88">
        <f t="shared" si="28"/>
        <v>0</v>
      </c>
      <c r="I59" s="88">
        <f t="shared" si="28"/>
        <v>0</v>
      </c>
      <c r="J59" s="153" t="s">
        <v>61</v>
      </c>
      <c r="K59" s="139"/>
      <c r="L59" s="91"/>
    </row>
    <row r="60" spans="1:12" ht="13" customHeight="1" thickTop="1" x14ac:dyDescent="0.2">
      <c r="A60" s="74">
        <f>7-(COUNTIF(C60:I60,"")+COUNTIF(C60:I60,$B$144))</f>
        <v>5</v>
      </c>
      <c r="B60" s="164" t="s">
        <v>133</v>
      </c>
      <c r="C60" s="71" t="s">
        <v>93</v>
      </c>
      <c r="D60" s="71"/>
      <c r="E60" s="71" t="s">
        <v>85</v>
      </c>
      <c r="F60" s="71" t="s">
        <v>92</v>
      </c>
      <c r="G60" s="71"/>
      <c r="H60" s="71" t="s">
        <v>122</v>
      </c>
      <c r="I60" s="71" t="s">
        <v>31</v>
      </c>
      <c r="J60" s="160" t="s">
        <v>134</v>
      </c>
      <c r="K60" s="139">
        <v>4</v>
      </c>
      <c r="L60" s="91"/>
    </row>
    <row r="61" spans="1:12" ht="13" customHeight="1" thickBot="1" x14ac:dyDescent="0.25">
      <c r="A61" s="90"/>
      <c r="B61" s="165"/>
      <c r="C61" s="87" t="str">
        <f t="shared" ref="C61:I61" si="29">IF(ISBLANK(C60),"",VLOOKUP(C60,$B$110:$L$146,11,0))</f>
        <v>06H00-14H30</v>
      </c>
      <c r="D61" s="87" t="str">
        <f t="shared" si="29"/>
        <v/>
      </c>
      <c r="E61" s="87" t="str">
        <f t="shared" si="29"/>
        <v>14H30-23H00</v>
      </c>
      <c r="F61" s="87" t="str">
        <f t="shared" si="29"/>
        <v>10H00-18H30</v>
      </c>
      <c r="G61" s="87" t="str">
        <f t="shared" si="29"/>
        <v/>
      </c>
      <c r="H61" s="87" t="str">
        <f t="shared" si="29"/>
        <v>06H00-14H30</v>
      </c>
      <c r="I61" s="87" t="str">
        <f t="shared" si="29"/>
        <v>06H00-14H30</v>
      </c>
      <c r="J61" s="161"/>
      <c r="K61" s="139"/>
      <c r="L61" s="91"/>
    </row>
    <row r="62" spans="1:12" s="39" customFormat="1" ht="13" customHeight="1" thickTop="1" x14ac:dyDescent="0.2">
      <c r="A62" s="74">
        <f>7-(COUNTIF(C62:I62,"")+COUNTIF(C62:I62,$B$144))</f>
        <v>5</v>
      </c>
      <c r="B62" s="158" t="s">
        <v>21</v>
      </c>
      <c r="C62" s="71" t="s">
        <v>81</v>
      </c>
      <c r="D62" s="71" t="s">
        <v>79</v>
      </c>
      <c r="E62" s="71" t="s">
        <v>92</v>
      </c>
      <c r="F62" s="71"/>
      <c r="G62" s="71" t="s">
        <v>40</v>
      </c>
      <c r="H62" s="71" t="s">
        <v>40</v>
      </c>
      <c r="I62" s="71" t="s">
        <v>95</v>
      </c>
      <c r="J62" s="160" t="s">
        <v>61</v>
      </c>
      <c r="K62" s="139">
        <v>5</v>
      </c>
      <c r="L62" s="91"/>
    </row>
    <row r="63" spans="1:12" s="39" customFormat="1" ht="13" customHeight="1" thickBot="1" x14ac:dyDescent="0.25">
      <c r="A63" s="90"/>
      <c r="B63" s="159"/>
      <c r="C63" s="87" t="str">
        <f t="shared" ref="C63:I63" si="30">IF(ISBLANK(C62),"",VLOOKUP(C62,$B$110:$L$146,11,0))</f>
        <v>14H30-23H00</v>
      </c>
      <c r="D63" s="87" t="str">
        <f t="shared" si="30"/>
        <v>09H00-17H30</v>
      </c>
      <c r="E63" s="87" t="str">
        <f t="shared" si="30"/>
        <v>10H00-18H30</v>
      </c>
      <c r="F63" s="87" t="str">
        <f t="shared" si="30"/>
        <v/>
      </c>
      <c r="G63" s="87">
        <f t="shared" si="30"/>
        <v>0</v>
      </c>
      <c r="H63" s="87">
        <f t="shared" si="30"/>
        <v>0</v>
      </c>
      <c r="I63" s="87">
        <f t="shared" si="30"/>
        <v>0</v>
      </c>
      <c r="J63" s="161" t="s">
        <v>62</v>
      </c>
      <c r="K63" s="139"/>
      <c r="L63" s="91"/>
    </row>
    <row r="64" spans="1:12" s="39" customFormat="1" ht="13" customHeight="1" thickTop="1" x14ac:dyDescent="0.2">
      <c r="A64" s="74">
        <f>7-(COUNTIF(C64:I64,"")+COUNTIF(C64:I64,$B$144))</f>
        <v>5</v>
      </c>
      <c r="B64" s="164" t="s">
        <v>131</v>
      </c>
      <c r="C64" s="88" t="s">
        <v>82</v>
      </c>
      <c r="D64" s="71" t="s">
        <v>81</v>
      </c>
      <c r="E64" s="71"/>
      <c r="F64" s="71"/>
      <c r="G64" s="71" t="s">
        <v>92</v>
      </c>
      <c r="H64" s="71" t="s">
        <v>84</v>
      </c>
      <c r="I64" s="71" t="s">
        <v>149</v>
      </c>
      <c r="J64" s="160" t="s">
        <v>129</v>
      </c>
      <c r="K64" s="139">
        <v>4</v>
      </c>
      <c r="L64" s="91"/>
    </row>
    <row r="65" spans="1:12" s="39" customFormat="1" ht="13" customHeight="1" thickBot="1" x14ac:dyDescent="0.25">
      <c r="A65" s="90"/>
      <c r="B65" s="165"/>
      <c r="C65" s="87" t="str">
        <f t="shared" ref="C65:I65" si="31">IF(ISBLANK(C64),"",VLOOKUP(C64,$B$110:$L$146,11,0))</f>
        <v>06H00-14H30</v>
      </c>
      <c r="D65" s="87" t="str">
        <f t="shared" si="31"/>
        <v>14H30-23H00</v>
      </c>
      <c r="E65" s="87" t="str">
        <f t="shared" si="31"/>
        <v/>
      </c>
      <c r="F65" s="87" t="str">
        <f t="shared" si="31"/>
        <v/>
      </c>
      <c r="G65" s="87" t="str">
        <f t="shared" si="31"/>
        <v>10H00-18H30</v>
      </c>
      <c r="H65" s="87" t="str">
        <f t="shared" si="31"/>
        <v>13H30-22H00</v>
      </c>
      <c r="I65" s="87" t="str">
        <f t="shared" si="31"/>
        <v>09H00-17H30</v>
      </c>
      <c r="J65" s="161" t="s">
        <v>66</v>
      </c>
      <c r="K65" s="139"/>
      <c r="L65" s="91"/>
    </row>
    <row r="66" spans="1:12" s="39" customFormat="1" ht="13" customHeight="1" thickTop="1" x14ac:dyDescent="0.2">
      <c r="A66" s="74">
        <f>7-(COUNTIF(C66:I66,"")+COUNTIF(C66:I66,$B$144))</f>
        <v>4</v>
      </c>
      <c r="B66" s="158" t="s">
        <v>124</v>
      </c>
      <c r="C66" s="88"/>
      <c r="D66" s="71"/>
      <c r="E66" s="71" t="s">
        <v>91</v>
      </c>
      <c r="F66" s="71" t="s">
        <v>81</v>
      </c>
      <c r="G66" s="71" t="s">
        <v>149</v>
      </c>
      <c r="H66" s="71" t="s">
        <v>82</v>
      </c>
      <c r="I66" s="71"/>
      <c r="J66" s="160" t="s">
        <v>77</v>
      </c>
      <c r="K66" s="139">
        <v>4</v>
      </c>
      <c r="L66" s="91"/>
    </row>
    <row r="67" spans="1:12" s="39" customFormat="1" ht="13" customHeight="1" thickBot="1" x14ac:dyDescent="0.25">
      <c r="A67" s="90"/>
      <c r="B67" s="159"/>
      <c r="C67" s="87" t="str">
        <f t="shared" ref="C67:I67" si="32">IF(ISBLANK(C66),"",VLOOKUP(C66,$B$110:$L$146,11,0))</f>
        <v/>
      </c>
      <c r="D67" s="87" t="str">
        <f t="shared" si="32"/>
        <v/>
      </c>
      <c r="E67" s="87" t="str">
        <f t="shared" si="32"/>
        <v>06H00-14H30</v>
      </c>
      <c r="F67" s="87" t="str">
        <f t="shared" si="32"/>
        <v>14H30-23H00</v>
      </c>
      <c r="G67" s="87" t="str">
        <f t="shared" si="32"/>
        <v>09H00-17H30</v>
      </c>
      <c r="H67" s="87" t="str">
        <f t="shared" si="32"/>
        <v>06H00-14H30</v>
      </c>
      <c r="I67" s="87" t="str">
        <f t="shared" si="32"/>
        <v/>
      </c>
      <c r="J67" s="161" t="s">
        <v>78</v>
      </c>
      <c r="K67" s="139"/>
      <c r="L67" s="91"/>
    </row>
    <row r="68" spans="1:12" s="39" customFormat="1" ht="13" customHeight="1" thickTop="1" x14ac:dyDescent="0.2">
      <c r="A68" s="74">
        <f>7-(COUNTIF(C68:I68,"")+COUNTIF(C68:I68,$B$144))</f>
        <v>5</v>
      </c>
      <c r="B68" s="151" t="s">
        <v>146</v>
      </c>
      <c r="C68" s="88" t="s">
        <v>123</v>
      </c>
      <c r="D68" s="71" t="s">
        <v>83</v>
      </c>
      <c r="E68" s="71"/>
      <c r="F68" s="71" t="s">
        <v>31</v>
      </c>
      <c r="G68" s="71"/>
      <c r="H68" s="71" t="s">
        <v>91</v>
      </c>
      <c r="I68" s="71" t="s">
        <v>84</v>
      </c>
      <c r="J68" s="160" t="s">
        <v>65</v>
      </c>
      <c r="K68" s="139">
        <v>4</v>
      </c>
      <c r="L68" s="91"/>
    </row>
    <row r="69" spans="1:12" s="39" customFormat="1" ht="13" customHeight="1" thickBot="1" x14ac:dyDescent="0.25">
      <c r="A69" s="74"/>
      <c r="B69" s="167"/>
      <c r="C69" s="87" t="str">
        <f t="shared" ref="C69:I69" si="33">IF(ISBLANK(C68),"",VLOOKUP(C68,$B$110:$L$146,11,0))</f>
        <v>14H30-23H00</v>
      </c>
      <c r="D69" s="87" t="str">
        <f t="shared" si="33"/>
        <v>09H00-17H30</v>
      </c>
      <c r="E69" s="87" t="str">
        <f t="shared" si="33"/>
        <v/>
      </c>
      <c r="F69" s="87" t="str">
        <f t="shared" si="33"/>
        <v>06H00-14H30</v>
      </c>
      <c r="G69" s="87" t="str">
        <f t="shared" si="33"/>
        <v/>
      </c>
      <c r="H69" s="87" t="str">
        <f t="shared" si="33"/>
        <v>06H00-14H30</v>
      </c>
      <c r="I69" s="87" t="str">
        <f t="shared" si="33"/>
        <v>13H30-22H00</v>
      </c>
      <c r="J69" s="161" t="s">
        <v>66</v>
      </c>
      <c r="K69" s="139"/>
      <c r="L69" s="91"/>
    </row>
    <row r="70" spans="1:12" s="39" customFormat="1" ht="13" customHeight="1" thickTop="1" x14ac:dyDescent="0.2">
      <c r="A70" s="74">
        <f>7-(COUNTIF(C70:I70,"")+COUNTIF(C70:I70,$B$144))</f>
        <v>5</v>
      </c>
      <c r="B70" s="158" t="s">
        <v>104</v>
      </c>
      <c r="C70" s="71" t="s">
        <v>84</v>
      </c>
      <c r="D70" s="71" t="s">
        <v>149</v>
      </c>
      <c r="E70" s="71"/>
      <c r="F70" s="71" t="s">
        <v>83</v>
      </c>
      <c r="G70" s="71" t="s">
        <v>90</v>
      </c>
      <c r="H70" s="71" t="s">
        <v>123</v>
      </c>
      <c r="I70" s="71"/>
      <c r="J70" s="160" t="s">
        <v>66</v>
      </c>
      <c r="K70" s="139">
        <v>5</v>
      </c>
      <c r="L70" s="91"/>
    </row>
    <row r="71" spans="1:12" s="39" customFormat="1" ht="13" customHeight="1" thickBot="1" x14ac:dyDescent="0.25">
      <c r="A71" s="90"/>
      <c r="B71" s="159"/>
      <c r="C71" s="87" t="str">
        <f t="shared" ref="C71:I71" si="34">IF(ISBLANK(C70),"",VLOOKUP(C70,$B$110:$L$146,11,0))</f>
        <v>13H30-22H00</v>
      </c>
      <c r="D71" s="87" t="str">
        <f t="shared" si="34"/>
        <v>09H00-17H30</v>
      </c>
      <c r="E71" s="87" t="str">
        <f t="shared" si="34"/>
        <v/>
      </c>
      <c r="F71" s="87" t="str">
        <f t="shared" si="34"/>
        <v>09H00-17H30</v>
      </c>
      <c r="G71" s="87" t="str">
        <f t="shared" si="34"/>
        <v>06H00-14H30</v>
      </c>
      <c r="H71" s="87" t="str">
        <f t="shared" si="34"/>
        <v>14H30-23H00</v>
      </c>
      <c r="I71" s="87" t="str">
        <f t="shared" si="34"/>
        <v/>
      </c>
      <c r="J71" s="161" t="s">
        <v>67</v>
      </c>
      <c r="K71" s="139"/>
      <c r="L71" s="91"/>
    </row>
    <row r="72" spans="1:12" s="39" customFormat="1" ht="13" customHeight="1" thickTop="1" x14ac:dyDescent="0.2">
      <c r="A72" s="74">
        <f>7-(COUNTIF(C72:I72,"")+COUNTIF(C72:I72,$B$144))</f>
        <v>5</v>
      </c>
      <c r="B72" s="158" t="s">
        <v>22</v>
      </c>
      <c r="C72" s="71" t="s">
        <v>99</v>
      </c>
      <c r="D72" s="71" t="s">
        <v>99</v>
      </c>
      <c r="E72" s="71" t="s">
        <v>99</v>
      </c>
      <c r="F72" s="71" t="s">
        <v>99</v>
      </c>
      <c r="G72" s="71" t="s">
        <v>99</v>
      </c>
      <c r="H72" s="71" t="s">
        <v>95</v>
      </c>
      <c r="I72" s="71" t="s">
        <v>95</v>
      </c>
      <c r="J72" s="160" t="s">
        <v>67</v>
      </c>
      <c r="K72" s="139">
        <v>3</v>
      </c>
      <c r="L72" s="91"/>
    </row>
    <row r="73" spans="1:12" s="39" customFormat="1" ht="13" customHeight="1" thickBot="1" x14ac:dyDescent="0.25">
      <c r="A73" s="90"/>
      <c r="B73" s="159"/>
      <c r="C73" s="87">
        <f t="shared" ref="C73:I73" si="35">IF(ISBLANK(C72),"",VLOOKUP(C72,$B$110:$L$146,11,0))</f>
        <v>0</v>
      </c>
      <c r="D73" s="87">
        <f t="shared" si="35"/>
        <v>0</v>
      </c>
      <c r="E73" s="87">
        <f t="shared" si="35"/>
        <v>0</v>
      </c>
      <c r="F73" s="87">
        <f t="shared" si="35"/>
        <v>0</v>
      </c>
      <c r="G73" s="87">
        <f t="shared" si="35"/>
        <v>0</v>
      </c>
      <c r="H73" s="87">
        <f t="shared" si="35"/>
        <v>0</v>
      </c>
      <c r="I73" s="87">
        <f t="shared" si="35"/>
        <v>0</v>
      </c>
      <c r="J73" s="161" t="s">
        <v>68</v>
      </c>
      <c r="K73" s="139"/>
      <c r="L73" s="91"/>
    </row>
    <row r="74" spans="1:12" s="39" customFormat="1" ht="13" customHeight="1" thickTop="1" x14ac:dyDescent="0.2">
      <c r="A74" s="74">
        <f>7-(COUNTIF(C74:I74,"")+COUNTIF(C74:I74,$B$144))</f>
        <v>5</v>
      </c>
      <c r="B74" s="162" t="s">
        <v>23</v>
      </c>
      <c r="C74" s="71"/>
      <c r="D74" s="71" t="s">
        <v>139</v>
      </c>
      <c r="E74" s="71" t="s">
        <v>83</v>
      </c>
      <c r="F74" s="71" t="s">
        <v>90</v>
      </c>
      <c r="G74" s="71"/>
      <c r="H74" s="71" t="s">
        <v>31</v>
      </c>
      <c r="I74" s="71" t="s">
        <v>82</v>
      </c>
      <c r="J74" s="160" t="s">
        <v>68</v>
      </c>
      <c r="K74" s="139">
        <v>5</v>
      </c>
      <c r="L74" s="91"/>
    </row>
    <row r="75" spans="1:12" s="39" customFormat="1" ht="13" customHeight="1" thickBot="1" x14ac:dyDescent="0.25">
      <c r="A75" s="90"/>
      <c r="B75" s="163"/>
      <c r="C75" s="87" t="str">
        <f t="shared" ref="C75:I75" si="36">IF(ISBLANK(C74),"",VLOOKUP(C74,$B$110:$L$146,11,0))</f>
        <v/>
      </c>
      <c r="D75" s="87" t="str">
        <f t="shared" si="36"/>
        <v>14H00-22H30</v>
      </c>
      <c r="E75" s="87" t="str">
        <f t="shared" si="36"/>
        <v>09H00-17H30</v>
      </c>
      <c r="F75" s="87" t="str">
        <f t="shared" si="36"/>
        <v>06H00-14H30</v>
      </c>
      <c r="G75" s="87" t="str">
        <f t="shared" si="36"/>
        <v/>
      </c>
      <c r="H75" s="87" t="str">
        <f t="shared" si="36"/>
        <v>06H00-14H30</v>
      </c>
      <c r="I75" s="87" t="str">
        <f t="shared" si="36"/>
        <v>06H00-14H30</v>
      </c>
      <c r="J75" s="161" t="s">
        <v>69</v>
      </c>
      <c r="K75" s="139"/>
      <c r="L75" s="91"/>
    </row>
    <row r="76" spans="1:12" s="39" customFormat="1" ht="13" customHeight="1" thickTop="1" x14ac:dyDescent="0.2">
      <c r="A76" s="74">
        <f>7-(COUNTIF(C76:I76,"")+COUNTIF(C76:I76,$B$144))</f>
        <v>4</v>
      </c>
      <c r="B76" s="164" t="s">
        <v>120</v>
      </c>
      <c r="C76" s="71"/>
      <c r="D76" s="71" t="s">
        <v>82</v>
      </c>
      <c r="E76" s="71" t="s">
        <v>123</v>
      </c>
      <c r="F76" s="71"/>
      <c r="G76" s="71" t="s">
        <v>80</v>
      </c>
      <c r="H76" s="71" t="s">
        <v>92</v>
      </c>
      <c r="I76" s="71"/>
      <c r="J76" s="160" t="s">
        <v>121</v>
      </c>
      <c r="K76" s="139">
        <v>4</v>
      </c>
      <c r="L76" s="91"/>
    </row>
    <row r="77" spans="1:12" s="39" customFormat="1" ht="13" customHeight="1" thickBot="1" x14ac:dyDescent="0.25">
      <c r="A77" s="90"/>
      <c r="B77" s="165"/>
      <c r="C77" s="87" t="str">
        <f t="shared" ref="C77:I77" si="37">IF(ISBLANK(C76),"",VLOOKUP(C76,$B$110:$L$146,11,0))</f>
        <v/>
      </c>
      <c r="D77" s="87" t="str">
        <f t="shared" si="37"/>
        <v>06H00-14H30</v>
      </c>
      <c r="E77" s="87" t="str">
        <f t="shared" si="37"/>
        <v>14H30-23H00</v>
      </c>
      <c r="F77" s="87" t="str">
        <f t="shared" si="37"/>
        <v/>
      </c>
      <c r="G77" s="87" t="str">
        <f t="shared" si="37"/>
        <v>06H00-14H30</v>
      </c>
      <c r="H77" s="87" t="str">
        <f t="shared" si="37"/>
        <v>10H00-18H30</v>
      </c>
      <c r="I77" s="87" t="str">
        <f t="shared" si="37"/>
        <v/>
      </c>
      <c r="J77" s="161" t="s">
        <v>63</v>
      </c>
      <c r="K77" s="139"/>
      <c r="L77" s="91"/>
    </row>
    <row r="78" spans="1:12" s="39" customFormat="1" ht="13" customHeight="1" thickTop="1" x14ac:dyDescent="0.2">
      <c r="A78" s="74">
        <f>7-(COUNTIF(C78:I78,"")+COUNTIF(C78:I78,$B$144))</f>
        <v>5</v>
      </c>
      <c r="B78" s="158" t="s">
        <v>113</v>
      </c>
      <c r="C78" s="71"/>
      <c r="D78" s="71" t="s">
        <v>84</v>
      </c>
      <c r="E78" s="71" t="s">
        <v>139</v>
      </c>
      <c r="F78" s="71" t="s">
        <v>149</v>
      </c>
      <c r="G78" s="71" t="s">
        <v>137</v>
      </c>
      <c r="H78" s="71"/>
      <c r="I78" s="71" t="s">
        <v>93</v>
      </c>
      <c r="J78" s="160" t="s">
        <v>45</v>
      </c>
      <c r="K78" s="139">
        <v>5</v>
      </c>
      <c r="L78" s="91"/>
    </row>
    <row r="79" spans="1:12" s="39" customFormat="1" ht="13" customHeight="1" thickBot="1" x14ac:dyDescent="0.25">
      <c r="A79" s="90"/>
      <c r="B79" s="167"/>
      <c r="C79" s="87" t="str">
        <f t="shared" ref="C79:I79" si="38">IF(ISBLANK(C78),"",VLOOKUP(C78,$B$110:$L$146,11,0))</f>
        <v/>
      </c>
      <c r="D79" s="87" t="str">
        <f t="shared" si="38"/>
        <v>13H30-22H00</v>
      </c>
      <c r="E79" s="87" t="str">
        <f t="shared" si="38"/>
        <v>14H00-22H30</v>
      </c>
      <c r="F79" s="87" t="str">
        <f t="shared" si="38"/>
        <v>09H00-17H30</v>
      </c>
      <c r="G79" s="87" t="str">
        <f t="shared" si="38"/>
        <v>06H00-14H30</v>
      </c>
      <c r="H79" s="87" t="str">
        <f t="shared" si="38"/>
        <v/>
      </c>
      <c r="I79" s="87" t="str">
        <f t="shared" si="38"/>
        <v>06H00-14H30</v>
      </c>
      <c r="J79" s="161" t="s">
        <v>44</v>
      </c>
      <c r="K79" s="139"/>
      <c r="L79" s="91"/>
    </row>
    <row r="80" spans="1:12" s="39" customFormat="1" ht="13" customHeight="1" thickTop="1" x14ac:dyDescent="0.2">
      <c r="A80" s="74">
        <f>7-(COUNTIF(C80:I80,"")+COUNTIF(C80:I80,$B$144))</f>
        <v>5</v>
      </c>
      <c r="B80" s="173" t="s">
        <v>24</v>
      </c>
      <c r="C80" s="71" t="s">
        <v>95</v>
      </c>
      <c r="D80" s="71" t="s">
        <v>99</v>
      </c>
      <c r="E80" s="71" t="s">
        <v>99</v>
      </c>
      <c r="F80" s="71" t="s">
        <v>99</v>
      </c>
      <c r="G80" s="71" t="s">
        <v>99</v>
      </c>
      <c r="H80" s="71" t="s">
        <v>99</v>
      </c>
      <c r="I80" s="71" t="s">
        <v>95</v>
      </c>
      <c r="J80" s="160" t="s">
        <v>69</v>
      </c>
      <c r="K80" s="139">
        <v>3</v>
      </c>
      <c r="L80" s="91"/>
    </row>
    <row r="81" spans="1:12" s="39" customFormat="1" ht="13" customHeight="1" thickBot="1" x14ac:dyDescent="0.25">
      <c r="A81" s="90"/>
      <c r="B81" s="174"/>
      <c r="C81" s="87">
        <f t="shared" ref="C81:I81" si="39">IF(ISBLANK(C80),"",VLOOKUP(C80,$B$110:$L$146,11,0))</f>
        <v>0</v>
      </c>
      <c r="D81" s="87">
        <f t="shared" si="39"/>
        <v>0</v>
      </c>
      <c r="E81" s="87">
        <f t="shared" si="39"/>
        <v>0</v>
      </c>
      <c r="F81" s="87">
        <f t="shared" si="39"/>
        <v>0</v>
      </c>
      <c r="G81" s="87">
        <f t="shared" si="39"/>
        <v>0</v>
      </c>
      <c r="H81" s="87">
        <f t="shared" si="39"/>
        <v>0</v>
      </c>
      <c r="I81" s="87">
        <f t="shared" si="39"/>
        <v>0</v>
      </c>
      <c r="J81" s="161" t="s">
        <v>70</v>
      </c>
      <c r="K81" s="139"/>
      <c r="L81" s="91"/>
    </row>
    <row r="82" spans="1:12" s="39" customFormat="1" ht="13" customHeight="1" thickTop="1" x14ac:dyDescent="0.2">
      <c r="A82" s="74">
        <f>7-(COUNTIF(C82:I82,"")+COUNTIF(C82:I82,$B$144))</f>
        <v>5</v>
      </c>
      <c r="B82" s="175" t="s">
        <v>25</v>
      </c>
      <c r="C82" s="71" t="s">
        <v>79</v>
      </c>
      <c r="D82" s="71"/>
      <c r="E82" s="71" t="s">
        <v>154</v>
      </c>
      <c r="F82" s="71" t="s">
        <v>152</v>
      </c>
      <c r="G82" s="71"/>
      <c r="H82" s="71" t="s">
        <v>137</v>
      </c>
      <c r="I82" s="71" t="s">
        <v>84</v>
      </c>
      <c r="J82" s="160" t="s">
        <v>70</v>
      </c>
      <c r="K82" s="139">
        <v>5</v>
      </c>
      <c r="L82" s="91"/>
    </row>
    <row r="83" spans="1:12" s="39" customFormat="1" ht="13" customHeight="1" thickBot="1" x14ac:dyDescent="0.25">
      <c r="A83" s="90"/>
      <c r="B83" s="176"/>
      <c r="C83" s="88" t="str">
        <f t="shared" ref="C83:I83" si="40">IF(ISBLANK(C82),"",VLOOKUP(C82,$B$110:$L$146,11,0))</f>
        <v>09H00-17H30</v>
      </c>
      <c r="D83" s="88" t="str">
        <f t="shared" si="40"/>
        <v/>
      </c>
      <c r="E83" s="88" t="str">
        <f t="shared" si="40"/>
        <v>13H00-21H30</v>
      </c>
      <c r="F83" s="88" t="str">
        <f t="shared" si="40"/>
        <v>08H30-17H00</v>
      </c>
      <c r="G83" s="88" t="str">
        <f t="shared" si="40"/>
        <v/>
      </c>
      <c r="H83" s="88" t="str">
        <f t="shared" si="40"/>
        <v>06H00-14H30</v>
      </c>
      <c r="I83" s="88" t="str">
        <f t="shared" si="40"/>
        <v>13H30-22H00</v>
      </c>
      <c r="J83" s="153" t="s">
        <v>71</v>
      </c>
      <c r="K83" s="139"/>
      <c r="L83" s="91"/>
    </row>
    <row r="84" spans="1:12" s="39" customFormat="1" ht="13" customHeight="1" thickTop="1" x14ac:dyDescent="0.2">
      <c r="A84" s="74">
        <f>7-(COUNTIF(C84:I84,"")+COUNTIF(C84:I84,$B$144))</f>
        <v>5</v>
      </c>
      <c r="B84" s="158" t="s">
        <v>105</v>
      </c>
      <c r="C84" s="71" t="s">
        <v>149</v>
      </c>
      <c r="D84" s="71" t="s">
        <v>82</v>
      </c>
      <c r="E84" s="71" t="s">
        <v>152</v>
      </c>
      <c r="F84" s="71" t="s">
        <v>79</v>
      </c>
      <c r="G84" s="71" t="s">
        <v>154</v>
      </c>
      <c r="H84" s="71" t="s">
        <v>95</v>
      </c>
      <c r="I84" s="71" t="s">
        <v>95</v>
      </c>
      <c r="J84" s="160" t="s">
        <v>71</v>
      </c>
      <c r="K84" s="139">
        <v>5</v>
      </c>
      <c r="L84" s="91"/>
    </row>
    <row r="85" spans="1:12" s="39" customFormat="1" ht="13" customHeight="1" thickBot="1" x14ac:dyDescent="0.25">
      <c r="A85" s="90"/>
      <c r="B85" s="159"/>
      <c r="C85" s="87" t="str">
        <f t="shared" ref="C85:I85" si="41">IF(ISBLANK(C84),"",VLOOKUP(C84,$B$110:$L$146,11,0))</f>
        <v>09H00-17H30</v>
      </c>
      <c r="D85" s="87" t="str">
        <f t="shared" si="41"/>
        <v>06H00-14H30</v>
      </c>
      <c r="E85" s="87" t="str">
        <f t="shared" si="41"/>
        <v>08H30-17H00</v>
      </c>
      <c r="F85" s="87" t="str">
        <f t="shared" si="41"/>
        <v>09H00-17H30</v>
      </c>
      <c r="G85" s="87" t="str">
        <f t="shared" si="41"/>
        <v>13H00-21H30</v>
      </c>
      <c r="H85" s="87">
        <f t="shared" si="41"/>
        <v>0</v>
      </c>
      <c r="I85" s="87">
        <f t="shared" si="41"/>
        <v>0</v>
      </c>
      <c r="J85" s="161" t="s">
        <v>72</v>
      </c>
      <c r="K85" s="139"/>
      <c r="L85" s="91"/>
    </row>
    <row r="86" spans="1:12" s="39" customFormat="1" ht="13" customHeight="1" thickTop="1" x14ac:dyDescent="0.2">
      <c r="A86" s="74">
        <f>7-(COUNTIF(C86:I86,"")+COUNTIF(C86:I86,$B$144))</f>
        <v>5</v>
      </c>
      <c r="B86" s="158" t="s">
        <v>143</v>
      </c>
      <c r="C86" s="71" t="s">
        <v>85</v>
      </c>
      <c r="D86" s="71"/>
      <c r="E86" s="71" t="s">
        <v>122</v>
      </c>
      <c r="F86" s="71" t="s">
        <v>93</v>
      </c>
      <c r="G86" s="71" t="s">
        <v>82</v>
      </c>
      <c r="H86" s="71" t="s">
        <v>84</v>
      </c>
      <c r="I86" s="71" t="s">
        <v>95</v>
      </c>
      <c r="J86" s="160" t="s">
        <v>142</v>
      </c>
      <c r="K86" s="139">
        <v>4</v>
      </c>
      <c r="L86" s="91"/>
    </row>
    <row r="87" spans="1:12" ht="13" customHeight="1" thickBot="1" x14ac:dyDescent="0.25">
      <c r="A87" s="94"/>
      <c r="B87" s="159"/>
      <c r="C87" s="87" t="str">
        <f t="shared" ref="C87:I87" si="42">IF(ISBLANK(C86),"",VLOOKUP(C86,$B$110:$L$146,11,0))</f>
        <v>14H30-23H00</v>
      </c>
      <c r="D87" s="87" t="str">
        <f t="shared" si="42"/>
        <v/>
      </c>
      <c r="E87" s="87" t="str">
        <f t="shared" si="42"/>
        <v>06H00-14H30</v>
      </c>
      <c r="F87" s="87" t="str">
        <f t="shared" si="42"/>
        <v>06H00-14H30</v>
      </c>
      <c r="G87" s="87" t="str">
        <f t="shared" si="42"/>
        <v>06H00-14H30</v>
      </c>
      <c r="H87" s="87" t="str">
        <f t="shared" si="42"/>
        <v>13H30-22H00</v>
      </c>
      <c r="I87" s="87">
        <f t="shared" si="42"/>
        <v>0</v>
      </c>
      <c r="J87" s="161" t="s">
        <v>57</v>
      </c>
      <c r="K87" s="139"/>
      <c r="L87" s="91"/>
    </row>
    <row r="88" spans="1:12" s="39" customFormat="1" ht="13" customHeight="1" thickTop="1" x14ac:dyDescent="0.2">
      <c r="A88" s="74">
        <f>7-(COUNTIF(C88:I88,"")+COUNTIF(C88:I88,$B$144))</f>
        <v>5</v>
      </c>
      <c r="B88" s="162" t="s">
        <v>26</v>
      </c>
      <c r="C88" s="71" t="s">
        <v>40</v>
      </c>
      <c r="D88" s="71" t="s">
        <v>40</v>
      </c>
      <c r="E88" s="71" t="s">
        <v>40</v>
      </c>
      <c r="F88" s="71" t="s">
        <v>40</v>
      </c>
      <c r="G88" s="71" t="s">
        <v>40</v>
      </c>
      <c r="H88" s="71" t="s">
        <v>95</v>
      </c>
      <c r="I88" s="71" t="s">
        <v>95</v>
      </c>
      <c r="J88" s="160" t="s">
        <v>72</v>
      </c>
      <c r="K88" s="139">
        <v>5</v>
      </c>
      <c r="L88" s="91"/>
    </row>
    <row r="89" spans="1:12" s="39" customFormat="1" ht="13" customHeight="1" thickBot="1" x14ac:dyDescent="0.25">
      <c r="A89" s="90"/>
      <c r="B89" s="163"/>
      <c r="C89" s="87">
        <f t="shared" ref="C89:I89" si="43">IF(ISBLANK(C88),"",VLOOKUP(C88,$B$110:$L$146,11,0))</f>
        <v>0</v>
      </c>
      <c r="D89" s="87">
        <f t="shared" si="43"/>
        <v>0</v>
      </c>
      <c r="E89" s="87">
        <f t="shared" si="43"/>
        <v>0</v>
      </c>
      <c r="F89" s="87">
        <f t="shared" si="43"/>
        <v>0</v>
      </c>
      <c r="G89" s="87">
        <f t="shared" si="43"/>
        <v>0</v>
      </c>
      <c r="H89" s="87">
        <f t="shared" si="43"/>
        <v>0</v>
      </c>
      <c r="I89" s="87">
        <f t="shared" si="43"/>
        <v>0</v>
      </c>
      <c r="J89" s="161" t="s">
        <v>73</v>
      </c>
      <c r="K89" s="139"/>
      <c r="L89" s="91"/>
    </row>
    <row r="90" spans="1:12" s="39" customFormat="1" ht="13" customHeight="1" thickTop="1" x14ac:dyDescent="0.2">
      <c r="A90" s="74">
        <f>7-(COUNTIF(C90:I90,"")+COUNTIF(C90:I90,$B$144))</f>
        <v>5</v>
      </c>
      <c r="B90" s="162" t="s">
        <v>27</v>
      </c>
      <c r="C90" s="71"/>
      <c r="D90" s="71" t="s">
        <v>93</v>
      </c>
      <c r="E90" s="71" t="s">
        <v>138</v>
      </c>
      <c r="F90" s="71"/>
      <c r="G90" s="71" t="s">
        <v>31</v>
      </c>
      <c r="H90" s="71" t="s">
        <v>110</v>
      </c>
      <c r="I90" s="71" t="s">
        <v>110</v>
      </c>
      <c r="J90" s="160" t="s">
        <v>74</v>
      </c>
      <c r="K90" s="139">
        <v>5</v>
      </c>
      <c r="L90" s="91"/>
    </row>
    <row r="91" spans="1:12" s="39" customFormat="1" ht="13" customHeight="1" thickBot="1" x14ac:dyDescent="0.25">
      <c r="A91" s="90"/>
      <c r="B91" s="163"/>
      <c r="C91" s="87" t="str">
        <f t="shared" ref="C91:I91" si="44">IF(ISBLANK(C90),"",VLOOKUP(C90,$B$110:$L$146,11,0))</f>
        <v/>
      </c>
      <c r="D91" s="87" t="str">
        <f t="shared" si="44"/>
        <v>06H00-14H30</v>
      </c>
      <c r="E91" s="87" t="str">
        <f t="shared" si="44"/>
        <v>22H00-06H30</v>
      </c>
      <c r="F91" s="87" t="str">
        <f t="shared" si="44"/>
        <v/>
      </c>
      <c r="G91" s="87" t="str">
        <f t="shared" si="44"/>
        <v>06H00-14H30</v>
      </c>
      <c r="H91" s="87" t="str">
        <f t="shared" si="44"/>
        <v>21H45-06H15</v>
      </c>
      <c r="I91" s="87" t="str">
        <f t="shared" si="44"/>
        <v>21H45-06H15</v>
      </c>
      <c r="J91" s="161" t="s">
        <v>75</v>
      </c>
      <c r="K91" s="139"/>
      <c r="L91" s="91"/>
    </row>
    <row r="92" spans="1:12" s="39" customFormat="1" ht="13" customHeight="1" thickTop="1" x14ac:dyDescent="0.2">
      <c r="A92" s="74">
        <f>7-(COUNTIF(C92:I92,"")+COUNTIF(C92:I92,$B$144))</f>
        <v>5</v>
      </c>
      <c r="B92" s="164" t="s">
        <v>115</v>
      </c>
      <c r="C92" s="71"/>
      <c r="D92" s="71" t="s">
        <v>150</v>
      </c>
      <c r="E92" s="71" t="s">
        <v>80</v>
      </c>
      <c r="F92" s="88" t="s">
        <v>84</v>
      </c>
      <c r="G92" s="88"/>
      <c r="H92" s="71" t="s">
        <v>149</v>
      </c>
      <c r="I92" s="88" t="s">
        <v>123</v>
      </c>
      <c r="J92" s="153" t="s">
        <v>63</v>
      </c>
      <c r="K92" s="139">
        <v>5</v>
      </c>
      <c r="L92" s="91"/>
    </row>
    <row r="93" spans="1:12" s="39" customFormat="1" ht="13" customHeight="1" thickBot="1" x14ac:dyDescent="0.25">
      <c r="A93" s="90"/>
      <c r="B93" s="177"/>
      <c r="C93" s="93" t="str">
        <f t="shared" ref="C93:I93" si="45">IF(ISBLANK(C92),"",VLOOKUP(C92,$B$110:$L$146,11,0))</f>
        <v/>
      </c>
      <c r="D93" s="93" t="str">
        <f t="shared" si="45"/>
        <v>09H00-17H30</v>
      </c>
      <c r="E93" s="93" t="str">
        <f t="shared" si="45"/>
        <v>06H00-14H30</v>
      </c>
      <c r="F93" s="93" t="str">
        <f t="shared" si="45"/>
        <v>13H30-22H00</v>
      </c>
      <c r="G93" s="93" t="str">
        <f t="shared" si="45"/>
        <v/>
      </c>
      <c r="H93" s="93" t="str">
        <f t="shared" si="45"/>
        <v>09H00-17H30</v>
      </c>
      <c r="I93" s="93" t="str">
        <f t="shared" si="45"/>
        <v>14H30-23H00</v>
      </c>
      <c r="J93" s="168"/>
      <c r="K93" s="139"/>
      <c r="L93" s="91"/>
    </row>
    <row r="94" spans="1:12" s="39" customFormat="1" ht="13" customHeight="1" thickTop="1" x14ac:dyDescent="0.2">
      <c r="A94" s="74">
        <f>7-(COUNTIF(C94:I94,"")+COUNTIF(C94:I94,$B$144))</f>
        <v>4</v>
      </c>
      <c r="B94" s="158" t="s">
        <v>148</v>
      </c>
      <c r="C94" s="71"/>
      <c r="D94" s="71"/>
      <c r="E94" s="71" t="s">
        <v>84</v>
      </c>
      <c r="F94" s="71" t="s">
        <v>84</v>
      </c>
      <c r="G94" s="71"/>
      <c r="H94" s="71" t="s">
        <v>139</v>
      </c>
      <c r="I94" s="71" t="s">
        <v>150</v>
      </c>
      <c r="J94" s="160" t="s">
        <v>144</v>
      </c>
      <c r="K94" s="139">
        <v>4</v>
      </c>
      <c r="L94" s="91"/>
    </row>
    <row r="95" spans="1:12" ht="13" customHeight="1" thickBot="1" x14ac:dyDescent="0.25">
      <c r="A95" s="94"/>
      <c r="B95" s="159"/>
      <c r="C95" s="87" t="str">
        <f t="shared" ref="C95:I95" si="46">IF(ISBLANK(C94),"",VLOOKUP(C94,$B$110:$L$146,11,0))</f>
        <v/>
      </c>
      <c r="D95" s="87" t="str">
        <f t="shared" si="46"/>
        <v/>
      </c>
      <c r="E95" s="87" t="str">
        <f t="shared" si="46"/>
        <v>13H30-22H00</v>
      </c>
      <c r="F95" s="87" t="str">
        <f t="shared" si="46"/>
        <v>13H30-22H00</v>
      </c>
      <c r="G95" s="87" t="str">
        <f t="shared" si="46"/>
        <v/>
      </c>
      <c r="H95" s="87" t="str">
        <f t="shared" si="46"/>
        <v>14H00-22H30</v>
      </c>
      <c r="I95" s="87" t="str">
        <f t="shared" si="46"/>
        <v>09H00-17H30</v>
      </c>
      <c r="J95" s="161" t="s">
        <v>57</v>
      </c>
      <c r="K95" s="139"/>
      <c r="L95" s="91"/>
    </row>
    <row r="96" spans="1:12" s="39" customFormat="1" ht="13" customHeight="1" thickTop="1" x14ac:dyDescent="0.2">
      <c r="A96" s="74">
        <f>7-(COUNTIF(C96:I96,"")+COUNTIF(C96:I96,$B$144))</f>
        <v>4</v>
      </c>
      <c r="B96" s="158" t="s">
        <v>147</v>
      </c>
      <c r="C96" s="71" t="s">
        <v>95</v>
      </c>
      <c r="D96" s="71"/>
      <c r="E96" s="71" t="s">
        <v>84</v>
      </c>
      <c r="F96" s="137"/>
      <c r="G96" s="71" t="s">
        <v>82</v>
      </c>
      <c r="H96" s="71" t="s">
        <v>150</v>
      </c>
      <c r="I96" s="71" t="s">
        <v>100</v>
      </c>
      <c r="J96" s="160" t="s">
        <v>145</v>
      </c>
      <c r="K96" s="139">
        <v>4</v>
      </c>
      <c r="L96" s="91"/>
    </row>
    <row r="97" spans="1:12" ht="13" customHeight="1" thickBot="1" x14ac:dyDescent="0.25">
      <c r="A97" s="94"/>
      <c r="B97" s="159"/>
      <c r="C97" s="87">
        <f t="shared" ref="C97:I97" si="47">IF(ISBLANK(C96),"",VLOOKUP(C96,$B$110:$L$146,11,0))</f>
        <v>0</v>
      </c>
      <c r="D97" s="87" t="str">
        <f t="shared" si="47"/>
        <v/>
      </c>
      <c r="E97" s="87" t="str">
        <f t="shared" si="47"/>
        <v>13H30-22H00</v>
      </c>
      <c r="F97" s="87" t="str">
        <f t="shared" si="47"/>
        <v/>
      </c>
      <c r="G97" s="87" t="str">
        <f t="shared" si="47"/>
        <v>06H00-14H30</v>
      </c>
      <c r="H97" s="87" t="str">
        <f t="shared" si="47"/>
        <v>09H00-17H30</v>
      </c>
      <c r="I97" s="87" t="str">
        <f t="shared" si="47"/>
        <v>c.f. GDI</v>
      </c>
      <c r="J97" s="161" t="s">
        <v>57</v>
      </c>
      <c r="K97" s="139"/>
      <c r="L97" s="91"/>
    </row>
    <row r="98" spans="1:12" s="39" customFormat="1" ht="13" customHeight="1" thickTop="1" x14ac:dyDescent="0.2">
      <c r="A98" s="74">
        <f>7-(COUNTIF(C98:I98,"")+COUNTIF(C98:I98,$B$144))</f>
        <v>5</v>
      </c>
      <c r="B98" s="162" t="s">
        <v>106</v>
      </c>
      <c r="C98" s="71" t="s">
        <v>110</v>
      </c>
      <c r="D98" s="71"/>
      <c r="E98" s="71" t="s">
        <v>79</v>
      </c>
      <c r="F98" s="71" t="s">
        <v>138</v>
      </c>
      <c r="G98" s="71" t="s">
        <v>110</v>
      </c>
      <c r="H98" s="71"/>
      <c r="I98" s="71" t="s">
        <v>151</v>
      </c>
      <c r="J98" s="160" t="s">
        <v>75</v>
      </c>
      <c r="K98" s="139">
        <v>5</v>
      </c>
      <c r="L98" s="91"/>
    </row>
    <row r="99" spans="1:12" s="39" customFormat="1" ht="13" customHeight="1" thickBot="1" x14ac:dyDescent="0.25">
      <c r="A99" s="90"/>
      <c r="B99" s="163"/>
      <c r="C99" s="87" t="str">
        <f t="shared" ref="C99:I99" si="48">IF(ISBLANK(C98),"",VLOOKUP(C98,$B$110:$L$146,11,0))</f>
        <v>21H45-06H15</v>
      </c>
      <c r="D99" s="87" t="str">
        <f t="shared" si="48"/>
        <v/>
      </c>
      <c r="E99" s="87" t="str">
        <f t="shared" si="48"/>
        <v>09H00-17H30</v>
      </c>
      <c r="F99" s="87" t="str">
        <f t="shared" si="48"/>
        <v>22H00-06H30</v>
      </c>
      <c r="G99" s="87" t="str">
        <f t="shared" si="48"/>
        <v>21H45-06H15</v>
      </c>
      <c r="H99" s="87" t="str">
        <f t="shared" si="48"/>
        <v/>
      </c>
      <c r="I99" s="87" t="str">
        <f t="shared" si="48"/>
        <v>08H30-17H00</v>
      </c>
      <c r="J99" s="161" t="s">
        <v>76</v>
      </c>
      <c r="K99" s="139"/>
      <c r="L99" s="91"/>
    </row>
    <row r="100" spans="1:12" s="39" customFormat="1" ht="13" customHeight="1" thickTop="1" x14ac:dyDescent="0.2">
      <c r="A100" s="74">
        <f>7-(COUNTIF(C100:I100,"")+COUNTIF(C100:I100,$B$144))</f>
        <v>5</v>
      </c>
      <c r="B100" s="158" t="s">
        <v>28</v>
      </c>
      <c r="C100" s="88"/>
      <c r="D100" s="88" t="s">
        <v>123</v>
      </c>
      <c r="E100" s="88" t="s">
        <v>84</v>
      </c>
      <c r="F100" s="88"/>
      <c r="G100" s="71" t="s">
        <v>150</v>
      </c>
      <c r="H100" s="88" t="s">
        <v>80</v>
      </c>
      <c r="I100" s="88" t="s">
        <v>90</v>
      </c>
      <c r="J100" s="160" t="s">
        <v>76</v>
      </c>
      <c r="K100" s="139">
        <v>5</v>
      </c>
      <c r="L100" s="91"/>
    </row>
    <row r="101" spans="1:12" s="39" customFormat="1" ht="13" customHeight="1" thickBot="1" x14ac:dyDescent="0.25">
      <c r="A101" s="90"/>
      <c r="B101" s="159"/>
      <c r="C101" s="87" t="str">
        <f t="shared" ref="C101:I101" si="49">IF(ISBLANK(C100),"",VLOOKUP(C100,$B$110:$L$146,11,0))</f>
        <v/>
      </c>
      <c r="D101" s="87" t="str">
        <f t="shared" si="49"/>
        <v>14H30-23H00</v>
      </c>
      <c r="E101" s="87" t="str">
        <f t="shared" si="49"/>
        <v>13H30-22H00</v>
      </c>
      <c r="F101" s="87" t="str">
        <f t="shared" si="49"/>
        <v/>
      </c>
      <c r="G101" s="87" t="str">
        <f t="shared" si="49"/>
        <v>09H00-17H30</v>
      </c>
      <c r="H101" s="87" t="str">
        <f t="shared" si="49"/>
        <v>06H00-14H30</v>
      </c>
      <c r="I101" s="87" t="str">
        <f t="shared" si="49"/>
        <v>06H00-14H30</v>
      </c>
      <c r="J101" s="161" t="s">
        <v>77</v>
      </c>
      <c r="K101" s="139"/>
      <c r="L101" s="91"/>
    </row>
    <row r="102" spans="1:12" s="39" customFormat="1" ht="13" customHeight="1" thickTop="1" x14ac:dyDescent="0.2">
      <c r="A102" s="74"/>
      <c r="B102" s="158" t="s">
        <v>136</v>
      </c>
      <c r="C102" s="71"/>
      <c r="D102" s="86" t="s">
        <v>95</v>
      </c>
      <c r="E102" s="71"/>
      <c r="F102" s="86" t="s">
        <v>95</v>
      </c>
      <c r="G102" s="86" t="s">
        <v>95</v>
      </c>
      <c r="H102" s="86" t="s">
        <v>95</v>
      </c>
      <c r="I102" s="86" t="s">
        <v>95</v>
      </c>
      <c r="J102" s="160"/>
      <c r="K102" s="139">
        <v>2</v>
      </c>
      <c r="L102" s="91"/>
    </row>
    <row r="103" spans="1:12" ht="13" customHeight="1" thickBot="1" x14ac:dyDescent="0.25">
      <c r="A103" s="94"/>
      <c r="B103" s="159"/>
      <c r="C103" s="87" t="str">
        <f t="shared" ref="C103:I103" si="50">IF(ISBLANK(C102),"",VLOOKUP(C102,$B$110:$L$146,11,0))</f>
        <v/>
      </c>
      <c r="D103" s="87">
        <f t="shared" si="50"/>
        <v>0</v>
      </c>
      <c r="E103" s="87" t="str">
        <f t="shared" si="50"/>
        <v/>
      </c>
      <c r="F103" s="87">
        <f t="shared" si="50"/>
        <v>0</v>
      </c>
      <c r="G103" s="87">
        <f t="shared" si="50"/>
        <v>0</v>
      </c>
      <c r="H103" s="87">
        <f t="shared" si="50"/>
        <v>0</v>
      </c>
      <c r="I103" s="87">
        <f t="shared" si="50"/>
        <v>0</v>
      </c>
      <c r="J103" s="161" t="s">
        <v>57</v>
      </c>
      <c r="K103" s="139"/>
      <c r="L103" s="91"/>
    </row>
    <row r="104" spans="1:12" s="39" customFormat="1" ht="13" customHeight="1" thickTop="1" x14ac:dyDescent="0.2">
      <c r="A104" s="74"/>
      <c r="B104" s="158" t="s">
        <v>135</v>
      </c>
      <c r="C104" s="71"/>
      <c r="D104" s="86"/>
      <c r="E104" s="71"/>
      <c r="F104" s="71"/>
      <c r="G104" s="137"/>
      <c r="H104" s="86" t="s">
        <v>95</v>
      </c>
      <c r="I104" s="86" t="s">
        <v>95</v>
      </c>
      <c r="J104" s="160"/>
      <c r="K104" s="139">
        <v>4</v>
      </c>
      <c r="L104" s="91"/>
    </row>
    <row r="105" spans="1:12" ht="13" customHeight="1" thickBot="1" x14ac:dyDescent="0.25">
      <c r="A105" s="94"/>
      <c r="B105" s="159"/>
      <c r="C105" s="87" t="str">
        <f t="shared" ref="C105:I105" si="51">IF(ISBLANK(C104),"",VLOOKUP(C104,$B$110:$L$146,11,0))</f>
        <v/>
      </c>
      <c r="D105" s="87" t="str">
        <f t="shared" si="51"/>
        <v/>
      </c>
      <c r="E105" s="87" t="str">
        <f t="shared" si="51"/>
        <v/>
      </c>
      <c r="F105" s="87" t="str">
        <f t="shared" si="51"/>
        <v/>
      </c>
      <c r="G105" s="87" t="str">
        <f t="shared" si="51"/>
        <v/>
      </c>
      <c r="H105" s="87">
        <f t="shared" si="51"/>
        <v>0</v>
      </c>
      <c r="I105" s="87">
        <f t="shared" si="51"/>
        <v>0</v>
      </c>
      <c r="J105" s="161" t="s">
        <v>57</v>
      </c>
      <c r="K105" s="139"/>
      <c r="L105" s="91"/>
    </row>
    <row r="106" spans="1:12" s="39" customFormat="1" ht="13" customHeight="1" thickTop="1" x14ac:dyDescent="0.2">
      <c r="A106" s="74">
        <f>7-(COUNTIF(C106:I106,"")+COUNTIF(C106:I106,$B$144))</f>
        <v>5</v>
      </c>
      <c r="B106" s="158" t="s">
        <v>29</v>
      </c>
      <c r="C106" s="86" t="s">
        <v>87</v>
      </c>
      <c r="D106" s="86" t="s">
        <v>87</v>
      </c>
      <c r="E106" s="71" t="s">
        <v>87</v>
      </c>
      <c r="F106" s="86" t="s">
        <v>87</v>
      </c>
      <c r="G106" s="86" t="s">
        <v>87</v>
      </c>
      <c r="H106" s="86" t="s">
        <v>95</v>
      </c>
      <c r="I106" s="86" t="s">
        <v>95</v>
      </c>
      <c r="J106" s="160"/>
      <c r="K106" s="139">
        <v>5</v>
      </c>
      <c r="L106" s="91"/>
    </row>
    <row r="107" spans="1:12" s="39" customFormat="1" ht="13" customHeight="1" thickBot="1" x14ac:dyDescent="0.25">
      <c r="A107" s="90"/>
      <c r="B107" s="167"/>
      <c r="C107" s="93" t="str">
        <f t="shared" ref="C107:I107" si="52">IF(ISBLANK(C106),"",VLOOKUP(C106,$B$110:$L$146,11,0))</f>
        <v>08H00-16H30</v>
      </c>
      <c r="D107" s="93" t="str">
        <f t="shared" si="52"/>
        <v>08H00-16H30</v>
      </c>
      <c r="E107" s="93" t="str">
        <f t="shared" si="52"/>
        <v>08H00-16H30</v>
      </c>
      <c r="F107" s="93" t="str">
        <f t="shared" si="52"/>
        <v>08H00-16H30</v>
      </c>
      <c r="G107" s="93" t="str">
        <f t="shared" si="52"/>
        <v>08H00-16H30</v>
      </c>
      <c r="H107" s="93">
        <f t="shared" si="52"/>
        <v>0</v>
      </c>
      <c r="I107" s="93">
        <f t="shared" si="52"/>
        <v>0</v>
      </c>
      <c r="J107" s="168"/>
      <c r="K107" s="139"/>
      <c r="L107" s="91"/>
    </row>
    <row r="108" spans="1:12" s="39" customFormat="1" ht="13" customHeight="1" thickTop="1" x14ac:dyDescent="0.2">
      <c r="A108" s="90"/>
      <c r="B108" s="90"/>
      <c r="C108" s="95">
        <f>C5</f>
        <v>43115</v>
      </c>
      <c r="D108" s="95">
        <f t="shared" ref="D108:I108" si="53">C108+1</f>
        <v>43116</v>
      </c>
      <c r="E108" s="95">
        <f t="shared" si="53"/>
        <v>43117</v>
      </c>
      <c r="F108" s="95">
        <f t="shared" si="53"/>
        <v>43118</v>
      </c>
      <c r="G108" s="95">
        <f t="shared" si="53"/>
        <v>43119</v>
      </c>
      <c r="H108" s="95">
        <f t="shared" si="53"/>
        <v>43120</v>
      </c>
      <c r="I108" s="95">
        <f t="shared" si="53"/>
        <v>43121</v>
      </c>
      <c r="J108" s="90"/>
      <c r="K108" s="90"/>
      <c r="L108" s="91"/>
    </row>
    <row r="109" spans="1:12" ht="13" customHeight="1" x14ac:dyDescent="0.2">
      <c r="A109" s="94"/>
      <c r="B109" s="96" t="s">
        <v>39</v>
      </c>
      <c r="C109" s="97"/>
      <c r="D109" s="97"/>
      <c r="E109" s="97"/>
      <c r="F109" s="97"/>
      <c r="G109" s="90"/>
      <c r="H109" s="90"/>
      <c r="I109" s="90"/>
      <c r="J109" s="98" t="s">
        <v>98</v>
      </c>
      <c r="K109" s="99" t="s">
        <v>107</v>
      </c>
      <c r="L109" s="100" t="s">
        <v>97</v>
      </c>
    </row>
    <row r="110" spans="1:12" ht="13" customHeight="1" x14ac:dyDescent="0.2">
      <c r="A110" s="94"/>
      <c r="B110" s="101" t="s">
        <v>117</v>
      </c>
      <c r="C110" s="102">
        <f t="shared" ref="C110:I119" si="54">COUNTIF(C$6:C$107,$B110)</f>
        <v>0</v>
      </c>
      <c r="D110" s="102">
        <f t="shared" si="54"/>
        <v>0</v>
      </c>
      <c r="E110" s="102">
        <f t="shared" si="54"/>
        <v>0</v>
      </c>
      <c r="F110" s="102">
        <f t="shared" si="54"/>
        <v>0</v>
      </c>
      <c r="G110" s="102">
        <f t="shared" si="54"/>
        <v>0</v>
      </c>
      <c r="H110" s="102">
        <f t="shared" si="54"/>
        <v>0</v>
      </c>
      <c r="I110" s="102">
        <f t="shared" si="54"/>
        <v>0</v>
      </c>
      <c r="J110" s="103">
        <f t="shared" ref="J110:J146" si="55">SUM(C110:I110)</f>
        <v>0</v>
      </c>
      <c r="K110" s="99">
        <v>3</v>
      </c>
      <c r="L110" s="104" t="s">
        <v>118</v>
      </c>
    </row>
    <row r="111" spans="1:12" ht="13" customHeight="1" x14ac:dyDescent="0.2">
      <c r="A111" s="94"/>
      <c r="B111" s="54" t="s">
        <v>160</v>
      </c>
      <c r="C111" s="102">
        <f t="shared" si="54"/>
        <v>0</v>
      </c>
      <c r="D111" s="102">
        <f t="shared" si="54"/>
        <v>0</v>
      </c>
      <c r="E111" s="102">
        <f t="shared" si="54"/>
        <v>0</v>
      </c>
      <c r="F111" s="102">
        <f t="shared" si="54"/>
        <v>0</v>
      </c>
      <c r="G111" s="102">
        <f t="shared" si="54"/>
        <v>0</v>
      </c>
      <c r="H111" s="102">
        <f t="shared" si="54"/>
        <v>0</v>
      </c>
      <c r="I111" s="102">
        <f t="shared" si="54"/>
        <v>0</v>
      </c>
      <c r="J111" s="103"/>
      <c r="K111" s="99"/>
      <c r="L111" s="104" t="s">
        <v>116</v>
      </c>
    </row>
    <row r="112" spans="1:12" ht="13" customHeight="1" x14ac:dyDescent="0.2">
      <c r="A112" s="94"/>
      <c r="B112" s="105" t="s">
        <v>79</v>
      </c>
      <c r="C112" s="102">
        <f t="shared" si="54"/>
        <v>1</v>
      </c>
      <c r="D112" s="102">
        <f t="shared" si="54"/>
        <v>1</v>
      </c>
      <c r="E112" s="102">
        <f t="shared" si="54"/>
        <v>1</v>
      </c>
      <c r="F112" s="102">
        <f t="shared" si="54"/>
        <v>1</v>
      </c>
      <c r="G112" s="102">
        <f t="shared" si="54"/>
        <v>1</v>
      </c>
      <c r="H112" s="102">
        <f t="shared" si="54"/>
        <v>1</v>
      </c>
      <c r="I112" s="102">
        <f t="shared" si="54"/>
        <v>1</v>
      </c>
      <c r="J112" s="103">
        <f t="shared" si="55"/>
        <v>7</v>
      </c>
      <c r="K112" s="99">
        <v>7</v>
      </c>
      <c r="L112" s="104" t="s">
        <v>34</v>
      </c>
    </row>
    <row r="113" spans="1:12" ht="13" customHeight="1" x14ac:dyDescent="0.2">
      <c r="A113" s="94"/>
      <c r="B113" s="70" t="s">
        <v>150</v>
      </c>
      <c r="C113" s="102">
        <f t="shared" si="54"/>
        <v>1</v>
      </c>
      <c r="D113" s="102">
        <f t="shared" si="54"/>
        <v>1</v>
      </c>
      <c r="E113" s="102">
        <f t="shared" si="54"/>
        <v>1</v>
      </c>
      <c r="F113" s="102">
        <f t="shared" si="54"/>
        <v>1</v>
      </c>
      <c r="G113" s="102">
        <f t="shared" si="54"/>
        <v>1</v>
      </c>
      <c r="H113" s="102">
        <f t="shared" si="54"/>
        <v>1</v>
      </c>
      <c r="I113" s="102">
        <f t="shared" si="54"/>
        <v>1</v>
      </c>
      <c r="J113" s="103">
        <f t="shared" si="55"/>
        <v>7</v>
      </c>
      <c r="K113" s="99">
        <v>7</v>
      </c>
      <c r="L113" s="104" t="s">
        <v>34</v>
      </c>
    </row>
    <row r="114" spans="1:12" ht="13" customHeight="1" x14ac:dyDescent="0.2">
      <c r="A114" s="94"/>
      <c r="B114" s="106" t="s">
        <v>80</v>
      </c>
      <c r="C114" s="102">
        <f t="shared" si="54"/>
        <v>1</v>
      </c>
      <c r="D114" s="102">
        <f t="shared" si="54"/>
        <v>1</v>
      </c>
      <c r="E114" s="102">
        <f t="shared" si="54"/>
        <v>1</v>
      </c>
      <c r="F114" s="102">
        <f t="shared" si="54"/>
        <v>1</v>
      </c>
      <c r="G114" s="102">
        <f t="shared" si="54"/>
        <v>1</v>
      </c>
      <c r="H114" s="102">
        <f t="shared" si="54"/>
        <v>1</v>
      </c>
      <c r="I114" s="102">
        <f t="shared" si="54"/>
        <v>1</v>
      </c>
      <c r="J114" s="103">
        <f t="shared" si="55"/>
        <v>7</v>
      </c>
      <c r="K114" s="99">
        <v>7</v>
      </c>
      <c r="L114" s="104" t="s">
        <v>32</v>
      </c>
    </row>
    <row r="115" spans="1:12" ht="13" customHeight="1" x14ac:dyDescent="0.2">
      <c r="A115" s="94"/>
      <c r="B115" s="107" t="s">
        <v>81</v>
      </c>
      <c r="C115" s="102">
        <f t="shared" si="54"/>
        <v>1</v>
      </c>
      <c r="D115" s="102">
        <f t="shared" si="54"/>
        <v>1</v>
      </c>
      <c r="E115" s="102">
        <f t="shared" si="54"/>
        <v>1</v>
      </c>
      <c r="F115" s="102">
        <f t="shared" si="54"/>
        <v>1</v>
      </c>
      <c r="G115" s="102">
        <f t="shared" si="54"/>
        <v>1</v>
      </c>
      <c r="H115" s="102">
        <f t="shared" si="54"/>
        <v>1</v>
      </c>
      <c r="I115" s="102">
        <f t="shared" si="54"/>
        <v>0</v>
      </c>
      <c r="J115" s="103">
        <f t="shared" si="55"/>
        <v>6</v>
      </c>
      <c r="K115" s="99">
        <v>7</v>
      </c>
      <c r="L115" s="104" t="s">
        <v>36</v>
      </c>
    </row>
    <row r="116" spans="1:12" ht="13" customHeight="1" x14ac:dyDescent="0.2">
      <c r="A116" s="90"/>
      <c r="B116" s="73" t="s">
        <v>154</v>
      </c>
      <c r="C116" s="102">
        <f t="shared" si="54"/>
        <v>1</v>
      </c>
      <c r="D116" s="102">
        <f t="shared" si="54"/>
        <v>1</v>
      </c>
      <c r="E116" s="102">
        <f t="shared" si="54"/>
        <v>1</v>
      </c>
      <c r="F116" s="102">
        <f t="shared" si="54"/>
        <v>1</v>
      </c>
      <c r="G116" s="102">
        <f t="shared" si="54"/>
        <v>1</v>
      </c>
      <c r="H116" s="102">
        <f t="shared" si="54"/>
        <v>0</v>
      </c>
      <c r="I116" s="102">
        <f t="shared" si="54"/>
        <v>0</v>
      </c>
      <c r="J116" s="103">
        <f t="shared" si="55"/>
        <v>5</v>
      </c>
      <c r="K116" s="99">
        <v>7</v>
      </c>
      <c r="L116" s="104" t="s">
        <v>125</v>
      </c>
    </row>
    <row r="117" spans="1:12" ht="13" customHeight="1" x14ac:dyDescent="0.2">
      <c r="A117" s="94"/>
      <c r="B117" s="108" t="s">
        <v>103</v>
      </c>
      <c r="C117" s="102">
        <f t="shared" si="54"/>
        <v>0</v>
      </c>
      <c r="D117" s="102">
        <f t="shared" si="54"/>
        <v>0</v>
      </c>
      <c r="E117" s="102">
        <f t="shared" si="54"/>
        <v>0</v>
      </c>
      <c r="F117" s="102">
        <f t="shared" si="54"/>
        <v>0</v>
      </c>
      <c r="G117" s="102">
        <f t="shared" si="54"/>
        <v>0</v>
      </c>
      <c r="H117" s="102">
        <f t="shared" si="54"/>
        <v>0</v>
      </c>
      <c r="I117" s="102">
        <f t="shared" si="54"/>
        <v>0</v>
      </c>
      <c r="J117" s="103">
        <f t="shared" si="55"/>
        <v>0</v>
      </c>
      <c r="K117" s="99">
        <v>0</v>
      </c>
      <c r="L117" s="104" t="s">
        <v>38</v>
      </c>
    </row>
    <row r="118" spans="1:12" ht="13" customHeight="1" x14ac:dyDescent="0.2">
      <c r="A118" s="94"/>
      <c r="B118" s="109" t="s">
        <v>149</v>
      </c>
      <c r="C118" s="102">
        <f t="shared" si="54"/>
        <v>1</v>
      </c>
      <c r="D118" s="102">
        <f t="shared" si="54"/>
        <v>1</v>
      </c>
      <c r="E118" s="102">
        <f t="shared" si="54"/>
        <v>1</v>
      </c>
      <c r="F118" s="102">
        <f t="shared" si="54"/>
        <v>1</v>
      </c>
      <c r="G118" s="102">
        <f t="shared" si="54"/>
        <v>1</v>
      </c>
      <c r="H118" s="102">
        <f t="shared" si="54"/>
        <v>1</v>
      </c>
      <c r="I118" s="102">
        <f t="shared" si="54"/>
        <v>1</v>
      </c>
      <c r="J118" s="103">
        <f t="shared" si="55"/>
        <v>7</v>
      </c>
      <c r="K118" s="99">
        <v>7</v>
      </c>
      <c r="L118" s="104" t="s">
        <v>34</v>
      </c>
    </row>
    <row r="119" spans="1:12" ht="13" customHeight="1" x14ac:dyDescent="0.2">
      <c r="A119" s="94"/>
      <c r="B119" s="110" t="s">
        <v>122</v>
      </c>
      <c r="C119" s="102">
        <f t="shared" si="54"/>
        <v>1</v>
      </c>
      <c r="D119" s="102">
        <f t="shared" si="54"/>
        <v>1</v>
      </c>
      <c r="E119" s="102">
        <f t="shared" si="54"/>
        <v>1</v>
      </c>
      <c r="F119" s="102">
        <f t="shared" si="54"/>
        <v>1</v>
      </c>
      <c r="G119" s="102">
        <f t="shared" si="54"/>
        <v>1</v>
      </c>
      <c r="H119" s="102">
        <f t="shared" si="54"/>
        <v>1</v>
      </c>
      <c r="I119" s="102">
        <f t="shared" si="54"/>
        <v>1</v>
      </c>
      <c r="J119" s="103">
        <f>SUM(C119:I119)</f>
        <v>7</v>
      </c>
      <c r="K119" s="99">
        <v>7</v>
      </c>
      <c r="L119" s="104" t="s">
        <v>32</v>
      </c>
    </row>
    <row r="120" spans="1:12" ht="13" customHeight="1" x14ac:dyDescent="0.2">
      <c r="A120" s="94"/>
      <c r="B120" s="111" t="s">
        <v>82</v>
      </c>
      <c r="C120" s="102">
        <f t="shared" ref="C120:I129" si="56">COUNTIF(C$6:C$107,$B120)</f>
        <v>2</v>
      </c>
      <c r="D120" s="102">
        <f t="shared" si="56"/>
        <v>2</v>
      </c>
      <c r="E120" s="102">
        <f t="shared" si="56"/>
        <v>2</v>
      </c>
      <c r="F120" s="102">
        <f t="shared" si="56"/>
        <v>2</v>
      </c>
      <c r="G120" s="102">
        <f t="shared" si="56"/>
        <v>2</v>
      </c>
      <c r="H120" s="102">
        <f t="shared" si="56"/>
        <v>2</v>
      </c>
      <c r="I120" s="102">
        <f t="shared" si="56"/>
        <v>2</v>
      </c>
      <c r="J120" s="103">
        <f t="shared" si="55"/>
        <v>14</v>
      </c>
      <c r="K120" s="99">
        <v>14</v>
      </c>
      <c r="L120" s="104" t="s">
        <v>32</v>
      </c>
    </row>
    <row r="121" spans="1:12" ht="13" customHeight="1" x14ac:dyDescent="0.2">
      <c r="A121" s="94"/>
      <c r="B121" s="111" t="s">
        <v>83</v>
      </c>
      <c r="C121" s="102">
        <f t="shared" si="56"/>
        <v>1</v>
      </c>
      <c r="D121" s="102">
        <f t="shared" si="56"/>
        <v>1</v>
      </c>
      <c r="E121" s="102">
        <f t="shared" si="56"/>
        <v>1</v>
      </c>
      <c r="F121" s="102">
        <f t="shared" si="56"/>
        <v>1</v>
      </c>
      <c r="G121" s="102">
        <f t="shared" si="56"/>
        <v>1</v>
      </c>
      <c r="H121" s="102">
        <f t="shared" si="56"/>
        <v>1</v>
      </c>
      <c r="I121" s="102">
        <f t="shared" si="56"/>
        <v>1</v>
      </c>
      <c r="J121" s="103">
        <f t="shared" si="55"/>
        <v>7</v>
      </c>
      <c r="K121" s="99">
        <v>7</v>
      </c>
      <c r="L121" s="104" t="s">
        <v>34</v>
      </c>
    </row>
    <row r="122" spans="1:12" ht="13" customHeight="1" x14ac:dyDescent="0.2">
      <c r="A122" s="94"/>
      <c r="B122" s="111" t="s">
        <v>109</v>
      </c>
      <c r="C122" s="102">
        <f t="shared" si="56"/>
        <v>0</v>
      </c>
      <c r="D122" s="102">
        <f t="shared" si="56"/>
        <v>0</v>
      </c>
      <c r="E122" s="102">
        <f t="shared" si="56"/>
        <v>0</v>
      </c>
      <c r="F122" s="102">
        <f t="shared" si="56"/>
        <v>0</v>
      </c>
      <c r="G122" s="102">
        <f t="shared" si="56"/>
        <v>0</v>
      </c>
      <c r="H122" s="102">
        <f t="shared" si="56"/>
        <v>0</v>
      </c>
      <c r="I122" s="102">
        <f t="shared" si="56"/>
        <v>0</v>
      </c>
      <c r="J122" s="103">
        <f t="shared" si="55"/>
        <v>0</v>
      </c>
      <c r="K122" s="99"/>
      <c r="L122" s="104" t="s">
        <v>126</v>
      </c>
    </row>
    <row r="123" spans="1:12" ht="13" customHeight="1" x14ac:dyDescent="0.2">
      <c r="A123" s="94"/>
      <c r="B123" s="112" t="s">
        <v>84</v>
      </c>
      <c r="C123" s="102">
        <f t="shared" si="56"/>
        <v>3</v>
      </c>
      <c r="D123" s="102">
        <f t="shared" si="56"/>
        <v>3</v>
      </c>
      <c r="E123" s="102">
        <f t="shared" si="56"/>
        <v>3</v>
      </c>
      <c r="F123" s="102">
        <f t="shared" si="56"/>
        <v>3</v>
      </c>
      <c r="G123" s="102">
        <f t="shared" si="56"/>
        <v>3</v>
      </c>
      <c r="H123" s="102">
        <f t="shared" si="56"/>
        <v>3</v>
      </c>
      <c r="I123" s="102">
        <f t="shared" si="56"/>
        <v>3</v>
      </c>
      <c r="J123" s="103">
        <f t="shared" si="55"/>
        <v>21</v>
      </c>
      <c r="K123" s="99">
        <v>21</v>
      </c>
      <c r="L123" s="104" t="s">
        <v>35</v>
      </c>
    </row>
    <row r="124" spans="1:12" ht="13" customHeight="1" x14ac:dyDescent="0.2">
      <c r="A124" s="94"/>
      <c r="B124" s="113" t="s">
        <v>123</v>
      </c>
      <c r="C124" s="102">
        <f t="shared" si="56"/>
        <v>1</v>
      </c>
      <c r="D124" s="102">
        <f t="shared" si="56"/>
        <v>1</v>
      </c>
      <c r="E124" s="102">
        <f t="shared" si="56"/>
        <v>1</v>
      </c>
      <c r="F124" s="102">
        <f t="shared" si="56"/>
        <v>1</v>
      </c>
      <c r="G124" s="102">
        <f t="shared" si="56"/>
        <v>1</v>
      </c>
      <c r="H124" s="102">
        <f t="shared" si="56"/>
        <v>1</v>
      </c>
      <c r="I124" s="102">
        <f t="shared" si="56"/>
        <v>1</v>
      </c>
      <c r="J124" s="103">
        <f>SUM(C124:I124)</f>
        <v>7</v>
      </c>
      <c r="K124" s="99">
        <v>7</v>
      </c>
      <c r="L124" s="104" t="s">
        <v>36</v>
      </c>
    </row>
    <row r="125" spans="1:12" ht="13" customHeight="1" x14ac:dyDescent="0.2">
      <c r="A125" s="94"/>
      <c r="B125" s="112" t="s">
        <v>85</v>
      </c>
      <c r="C125" s="102">
        <f t="shared" si="56"/>
        <v>1</v>
      </c>
      <c r="D125" s="102">
        <f t="shared" si="56"/>
        <v>1</v>
      </c>
      <c r="E125" s="102">
        <f t="shared" si="56"/>
        <v>1</v>
      </c>
      <c r="F125" s="102">
        <f t="shared" si="56"/>
        <v>1</v>
      </c>
      <c r="G125" s="102">
        <f t="shared" si="56"/>
        <v>1</v>
      </c>
      <c r="H125" s="102">
        <f t="shared" si="56"/>
        <v>1</v>
      </c>
      <c r="I125" s="102">
        <f t="shared" si="56"/>
        <v>1</v>
      </c>
      <c r="J125" s="103">
        <f t="shared" si="55"/>
        <v>7</v>
      </c>
      <c r="K125" s="99">
        <v>7</v>
      </c>
      <c r="L125" s="104" t="s">
        <v>36</v>
      </c>
    </row>
    <row r="126" spans="1:12" ht="13" customHeight="1" x14ac:dyDescent="0.2">
      <c r="A126" s="94"/>
      <c r="B126" s="114" t="s">
        <v>110</v>
      </c>
      <c r="C126" s="102">
        <f t="shared" si="56"/>
        <v>1</v>
      </c>
      <c r="D126" s="102">
        <f t="shared" si="56"/>
        <v>1</v>
      </c>
      <c r="E126" s="102">
        <f t="shared" si="56"/>
        <v>1</v>
      </c>
      <c r="F126" s="102">
        <f t="shared" si="56"/>
        <v>1</v>
      </c>
      <c r="G126" s="102">
        <f t="shared" si="56"/>
        <v>1</v>
      </c>
      <c r="H126" s="102">
        <f t="shared" si="56"/>
        <v>1</v>
      </c>
      <c r="I126" s="102">
        <f t="shared" si="56"/>
        <v>1</v>
      </c>
      <c r="J126" s="103">
        <f t="shared" si="55"/>
        <v>7</v>
      </c>
      <c r="K126" s="99">
        <v>7</v>
      </c>
      <c r="L126" s="104" t="s">
        <v>38</v>
      </c>
    </row>
    <row r="127" spans="1:12" ht="13" customHeight="1" x14ac:dyDescent="0.2">
      <c r="A127" s="94"/>
      <c r="B127" s="115" t="s">
        <v>86</v>
      </c>
      <c r="C127" s="102">
        <f t="shared" si="56"/>
        <v>0</v>
      </c>
      <c r="D127" s="102">
        <f t="shared" si="56"/>
        <v>0</v>
      </c>
      <c r="E127" s="102">
        <f t="shared" si="56"/>
        <v>0</v>
      </c>
      <c r="F127" s="102">
        <f t="shared" si="56"/>
        <v>0</v>
      </c>
      <c r="G127" s="102">
        <f t="shared" si="56"/>
        <v>0</v>
      </c>
      <c r="H127" s="102">
        <f t="shared" si="56"/>
        <v>0</v>
      </c>
      <c r="I127" s="102">
        <f t="shared" si="56"/>
        <v>0</v>
      </c>
      <c r="J127" s="103">
        <f t="shared" si="55"/>
        <v>0</v>
      </c>
      <c r="K127" s="99">
        <v>19</v>
      </c>
      <c r="L127" s="104" t="s">
        <v>32</v>
      </c>
    </row>
    <row r="128" spans="1:12" ht="13" customHeight="1" x14ac:dyDescent="0.2">
      <c r="A128" s="94"/>
      <c r="B128" s="115" t="s">
        <v>87</v>
      </c>
      <c r="C128" s="102">
        <f t="shared" si="56"/>
        <v>7</v>
      </c>
      <c r="D128" s="102">
        <f t="shared" si="56"/>
        <v>7</v>
      </c>
      <c r="E128" s="102">
        <f t="shared" si="56"/>
        <v>7</v>
      </c>
      <c r="F128" s="102">
        <f t="shared" si="56"/>
        <v>6</v>
      </c>
      <c r="G128" s="102">
        <f t="shared" si="56"/>
        <v>6</v>
      </c>
      <c r="H128" s="102">
        <f t="shared" si="56"/>
        <v>0</v>
      </c>
      <c r="I128" s="102">
        <f t="shared" si="56"/>
        <v>0</v>
      </c>
      <c r="J128" s="103">
        <f t="shared" si="55"/>
        <v>33</v>
      </c>
      <c r="K128" s="99">
        <v>20</v>
      </c>
      <c r="L128" s="104" t="s">
        <v>116</v>
      </c>
    </row>
    <row r="129" spans="1:12" ht="13" customHeight="1" x14ac:dyDescent="0.2">
      <c r="A129" s="94"/>
      <c r="B129" s="116" t="s">
        <v>88</v>
      </c>
      <c r="C129" s="102">
        <f t="shared" si="56"/>
        <v>0</v>
      </c>
      <c r="D129" s="102">
        <f t="shared" si="56"/>
        <v>0</v>
      </c>
      <c r="E129" s="102">
        <f t="shared" si="56"/>
        <v>0</v>
      </c>
      <c r="F129" s="102">
        <f t="shared" si="56"/>
        <v>0</v>
      </c>
      <c r="G129" s="102">
        <f t="shared" si="56"/>
        <v>0</v>
      </c>
      <c r="H129" s="102">
        <f t="shared" si="56"/>
        <v>0</v>
      </c>
      <c r="I129" s="102">
        <f t="shared" si="56"/>
        <v>0</v>
      </c>
      <c r="J129" s="103">
        <f t="shared" si="55"/>
        <v>0</v>
      </c>
      <c r="K129" s="99">
        <v>6</v>
      </c>
      <c r="L129" s="104" t="s">
        <v>36</v>
      </c>
    </row>
    <row r="130" spans="1:12" ht="13" customHeight="1" x14ac:dyDescent="0.2">
      <c r="A130" s="94"/>
      <c r="B130" s="117" t="s">
        <v>89</v>
      </c>
      <c r="C130" s="102">
        <f t="shared" ref="C130:I135" si="57">COUNTIF(C$6:C$107,$B130)</f>
        <v>1</v>
      </c>
      <c r="D130" s="102">
        <f t="shared" si="57"/>
        <v>1</v>
      </c>
      <c r="E130" s="102">
        <f t="shared" si="57"/>
        <v>1</v>
      </c>
      <c r="F130" s="102">
        <f t="shared" si="57"/>
        <v>1</v>
      </c>
      <c r="G130" s="102">
        <f t="shared" si="57"/>
        <v>1</v>
      </c>
      <c r="H130" s="102">
        <f t="shared" si="57"/>
        <v>0</v>
      </c>
      <c r="I130" s="102">
        <f t="shared" si="57"/>
        <v>0</v>
      </c>
      <c r="J130" s="103">
        <f t="shared" si="55"/>
        <v>5</v>
      </c>
      <c r="K130" s="99">
        <v>5</v>
      </c>
      <c r="L130" s="104" t="s">
        <v>37</v>
      </c>
    </row>
    <row r="131" spans="1:12" ht="13" customHeight="1" x14ac:dyDescent="0.2">
      <c r="A131" s="94"/>
      <c r="B131" s="118" t="s">
        <v>90</v>
      </c>
      <c r="C131" s="102">
        <f t="shared" si="57"/>
        <v>1</v>
      </c>
      <c r="D131" s="102">
        <f t="shared" si="57"/>
        <v>1</v>
      </c>
      <c r="E131" s="102">
        <f t="shared" si="57"/>
        <v>1</v>
      </c>
      <c r="F131" s="102">
        <f t="shared" si="57"/>
        <v>1</v>
      </c>
      <c r="G131" s="102">
        <f t="shared" si="57"/>
        <v>1</v>
      </c>
      <c r="H131" s="102">
        <f t="shared" si="57"/>
        <v>1</v>
      </c>
      <c r="I131" s="102">
        <f t="shared" si="57"/>
        <v>1</v>
      </c>
      <c r="J131" s="103">
        <f t="shared" si="55"/>
        <v>7</v>
      </c>
      <c r="K131" s="99">
        <v>7</v>
      </c>
      <c r="L131" s="104" t="s">
        <v>32</v>
      </c>
    </row>
    <row r="132" spans="1:12" ht="13" customHeight="1" x14ac:dyDescent="0.2">
      <c r="A132" s="94"/>
      <c r="B132" s="118" t="s">
        <v>91</v>
      </c>
      <c r="C132" s="102">
        <f t="shared" si="57"/>
        <v>1</v>
      </c>
      <c r="D132" s="102">
        <f t="shared" si="57"/>
        <v>1</v>
      </c>
      <c r="E132" s="102">
        <f t="shared" si="57"/>
        <v>1</v>
      </c>
      <c r="F132" s="102">
        <f t="shared" si="57"/>
        <v>1</v>
      </c>
      <c r="G132" s="102">
        <f t="shared" si="57"/>
        <v>1</v>
      </c>
      <c r="H132" s="102">
        <f t="shared" si="57"/>
        <v>1</v>
      </c>
      <c r="I132" s="102">
        <f t="shared" si="57"/>
        <v>1</v>
      </c>
      <c r="J132" s="103">
        <f t="shared" si="55"/>
        <v>7</v>
      </c>
      <c r="K132" s="99">
        <v>7</v>
      </c>
      <c r="L132" s="104" t="s">
        <v>32</v>
      </c>
    </row>
    <row r="133" spans="1:12" ht="13" customHeight="1" x14ac:dyDescent="0.2">
      <c r="A133" s="94"/>
      <c r="B133" s="118" t="s">
        <v>92</v>
      </c>
      <c r="C133" s="102">
        <f t="shared" si="57"/>
        <v>1</v>
      </c>
      <c r="D133" s="102">
        <f t="shared" si="57"/>
        <v>1</v>
      </c>
      <c r="E133" s="102">
        <f t="shared" si="57"/>
        <v>1</v>
      </c>
      <c r="F133" s="102">
        <f t="shared" si="57"/>
        <v>1</v>
      </c>
      <c r="G133" s="102">
        <f t="shared" si="57"/>
        <v>1</v>
      </c>
      <c r="H133" s="102">
        <f t="shared" si="57"/>
        <v>1</v>
      </c>
      <c r="I133" s="102">
        <f t="shared" si="57"/>
        <v>1</v>
      </c>
      <c r="J133" s="103">
        <f t="shared" si="55"/>
        <v>7</v>
      </c>
      <c r="K133" s="99">
        <v>7</v>
      </c>
      <c r="L133" s="104" t="s">
        <v>96</v>
      </c>
    </row>
    <row r="134" spans="1:12" ht="13" customHeight="1" x14ac:dyDescent="0.2">
      <c r="A134" s="94"/>
      <c r="B134" s="119" t="s">
        <v>31</v>
      </c>
      <c r="C134" s="102">
        <f t="shared" si="57"/>
        <v>1</v>
      </c>
      <c r="D134" s="102">
        <f t="shared" si="57"/>
        <v>1</v>
      </c>
      <c r="E134" s="102">
        <f t="shared" si="57"/>
        <v>1</v>
      </c>
      <c r="F134" s="102">
        <f t="shared" si="57"/>
        <v>1</v>
      </c>
      <c r="G134" s="102">
        <f t="shared" si="57"/>
        <v>1</v>
      </c>
      <c r="H134" s="102">
        <f t="shared" si="57"/>
        <v>1</v>
      </c>
      <c r="I134" s="102">
        <f t="shared" si="57"/>
        <v>1</v>
      </c>
      <c r="J134" s="103">
        <f t="shared" si="55"/>
        <v>7</v>
      </c>
      <c r="K134" s="99">
        <v>7</v>
      </c>
      <c r="L134" s="104" t="s">
        <v>32</v>
      </c>
    </row>
    <row r="135" spans="1:12" ht="13" customHeight="1" x14ac:dyDescent="0.2">
      <c r="A135" s="94"/>
      <c r="B135" s="120" t="s">
        <v>93</v>
      </c>
      <c r="C135" s="102">
        <f t="shared" si="57"/>
        <v>1</v>
      </c>
      <c r="D135" s="102">
        <f t="shared" si="57"/>
        <v>1</v>
      </c>
      <c r="E135" s="102">
        <f t="shared" si="57"/>
        <v>1</v>
      </c>
      <c r="F135" s="102">
        <f t="shared" si="57"/>
        <v>1</v>
      </c>
      <c r="G135" s="102">
        <f t="shared" si="57"/>
        <v>1</v>
      </c>
      <c r="H135" s="102">
        <f t="shared" si="57"/>
        <v>1</v>
      </c>
      <c r="I135" s="102">
        <f t="shared" si="57"/>
        <v>1</v>
      </c>
      <c r="J135" s="103">
        <f t="shared" si="55"/>
        <v>7</v>
      </c>
      <c r="K135" s="99">
        <v>7</v>
      </c>
      <c r="L135" s="104" t="s">
        <v>32</v>
      </c>
    </row>
    <row r="136" spans="1:12" ht="13" customHeight="1" x14ac:dyDescent="0.2">
      <c r="A136" s="90"/>
      <c r="B136" s="121" t="s">
        <v>137</v>
      </c>
      <c r="C136" s="102">
        <f t="shared" ref="C136:I138" si="58">COUNTIF(C$6:C$115,Actions)</f>
        <v>1</v>
      </c>
      <c r="D136" s="102">
        <f t="shared" si="58"/>
        <v>1</v>
      </c>
      <c r="E136" s="102">
        <f t="shared" si="58"/>
        <v>1</v>
      </c>
      <c r="F136" s="102">
        <f t="shared" si="58"/>
        <v>1</v>
      </c>
      <c r="G136" s="102">
        <f t="shared" si="58"/>
        <v>1</v>
      </c>
      <c r="H136" s="102">
        <f t="shared" si="58"/>
        <v>1</v>
      </c>
      <c r="I136" s="102">
        <f t="shared" si="58"/>
        <v>1</v>
      </c>
      <c r="J136" s="103">
        <f t="shared" si="55"/>
        <v>7</v>
      </c>
      <c r="K136" s="122">
        <v>7</v>
      </c>
      <c r="L136" s="123" t="s">
        <v>32</v>
      </c>
    </row>
    <row r="137" spans="1:12" ht="13" customHeight="1" x14ac:dyDescent="0.2">
      <c r="A137" s="90"/>
      <c r="B137" s="124" t="s">
        <v>139</v>
      </c>
      <c r="C137" s="102">
        <f t="shared" si="58"/>
        <v>1</v>
      </c>
      <c r="D137" s="102">
        <f t="shared" si="58"/>
        <v>1</v>
      </c>
      <c r="E137" s="102">
        <f t="shared" si="58"/>
        <v>1</v>
      </c>
      <c r="F137" s="102">
        <f t="shared" si="58"/>
        <v>1</v>
      </c>
      <c r="G137" s="102">
        <f t="shared" si="58"/>
        <v>1</v>
      </c>
      <c r="H137" s="102">
        <f t="shared" si="58"/>
        <v>1</v>
      </c>
      <c r="I137" s="102">
        <f t="shared" si="58"/>
        <v>1</v>
      </c>
      <c r="J137" s="103">
        <f t="shared" si="55"/>
        <v>7</v>
      </c>
      <c r="K137" s="125">
        <v>7</v>
      </c>
      <c r="L137" s="123" t="s">
        <v>140</v>
      </c>
    </row>
    <row r="138" spans="1:12" ht="13" customHeight="1" x14ac:dyDescent="0.2">
      <c r="A138" s="90"/>
      <c r="B138" s="126" t="s">
        <v>138</v>
      </c>
      <c r="C138" s="102">
        <f t="shared" si="58"/>
        <v>1</v>
      </c>
      <c r="D138" s="102">
        <f t="shared" si="58"/>
        <v>1</v>
      </c>
      <c r="E138" s="102">
        <f t="shared" si="58"/>
        <v>1</v>
      </c>
      <c r="F138" s="102">
        <f t="shared" si="58"/>
        <v>1</v>
      </c>
      <c r="G138" s="102">
        <f t="shared" si="58"/>
        <v>0</v>
      </c>
      <c r="H138" s="102">
        <f t="shared" si="58"/>
        <v>1</v>
      </c>
      <c r="I138" s="102">
        <f t="shared" si="58"/>
        <v>1</v>
      </c>
      <c r="J138" s="103">
        <f t="shared" si="55"/>
        <v>6</v>
      </c>
      <c r="K138" s="127">
        <v>7</v>
      </c>
      <c r="L138" s="123" t="s">
        <v>141</v>
      </c>
    </row>
    <row r="139" spans="1:12" ht="13" customHeight="1" x14ac:dyDescent="0.2">
      <c r="A139" s="94"/>
      <c r="B139" s="128" t="s">
        <v>151</v>
      </c>
      <c r="C139" s="102">
        <f t="shared" ref="C139:I146" si="59">COUNTIF(C$6:C$107,$B139)</f>
        <v>0</v>
      </c>
      <c r="D139" s="102">
        <f t="shared" si="59"/>
        <v>0</v>
      </c>
      <c r="E139" s="102">
        <f t="shared" si="59"/>
        <v>0</v>
      </c>
      <c r="F139" s="102">
        <f t="shared" si="59"/>
        <v>0</v>
      </c>
      <c r="G139" s="102">
        <f t="shared" si="59"/>
        <v>0</v>
      </c>
      <c r="H139" s="102">
        <f t="shared" si="59"/>
        <v>1</v>
      </c>
      <c r="I139" s="102">
        <f t="shared" si="59"/>
        <v>1</v>
      </c>
      <c r="J139" s="103">
        <f t="shared" si="55"/>
        <v>2</v>
      </c>
      <c r="K139" s="122">
        <v>2</v>
      </c>
      <c r="L139" s="123" t="s">
        <v>33</v>
      </c>
    </row>
    <row r="140" spans="1:12" ht="13" customHeight="1" x14ac:dyDescent="0.2">
      <c r="A140" s="94"/>
      <c r="B140" s="128" t="s">
        <v>94</v>
      </c>
      <c r="C140" s="102">
        <f t="shared" si="59"/>
        <v>0</v>
      </c>
      <c r="D140" s="102">
        <f t="shared" si="59"/>
        <v>0</v>
      </c>
      <c r="E140" s="102">
        <f t="shared" si="59"/>
        <v>0</v>
      </c>
      <c r="F140" s="102">
        <f t="shared" si="59"/>
        <v>0</v>
      </c>
      <c r="G140" s="102">
        <f t="shared" si="59"/>
        <v>0</v>
      </c>
      <c r="H140" s="102">
        <f t="shared" si="59"/>
        <v>0</v>
      </c>
      <c r="I140" s="102">
        <f t="shared" si="59"/>
        <v>0</v>
      </c>
      <c r="J140" s="103">
        <f t="shared" si="55"/>
        <v>0</v>
      </c>
      <c r="K140" s="125">
        <v>1</v>
      </c>
      <c r="L140" s="123" t="s">
        <v>33</v>
      </c>
    </row>
    <row r="141" spans="1:12" ht="13" customHeight="1" x14ac:dyDescent="0.2">
      <c r="A141" s="94"/>
      <c r="B141" s="129" t="s">
        <v>152</v>
      </c>
      <c r="C141" s="102">
        <f t="shared" si="59"/>
        <v>1</v>
      </c>
      <c r="D141" s="102">
        <f t="shared" si="59"/>
        <v>1</v>
      </c>
      <c r="E141" s="102">
        <f t="shared" si="59"/>
        <v>1</v>
      </c>
      <c r="F141" s="102">
        <f t="shared" si="59"/>
        <v>1</v>
      </c>
      <c r="G141" s="102">
        <f t="shared" si="59"/>
        <v>1</v>
      </c>
      <c r="H141" s="102">
        <f t="shared" si="59"/>
        <v>0</v>
      </c>
      <c r="I141" s="102">
        <f t="shared" si="59"/>
        <v>0</v>
      </c>
      <c r="J141" s="103">
        <f t="shared" si="55"/>
        <v>5</v>
      </c>
      <c r="K141" s="127">
        <v>5</v>
      </c>
      <c r="L141" s="123" t="s">
        <v>33</v>
      </c>
    </row>
    <row r="142" spans="1:12" ht="13" customHeight="1" x14ac:dyDescent="0.2">
      <c r="A142" s="94"/>
      <c r="B142" s="130" t="s">
        <v>40</v>
      </c>
      <c r="C142" s="102">
        <f t="shared" si="59"/>
        <v>1</v>
      </c>
      <c r="D142" s="102">
        <f t="shared" si="59"/>
        <v>1</v>
      </c>
      <c r="E142" s="102">
        <f t="shared" si="59"/>
        <v>1</v>
      </c>
      <c r="F142" s="102">
        <f t="shared" si="59"/>
        <v>2</v>
      </c>
      <c r="G142" s="102">
        <f t="shared" si="59"/>
        <v>4</v>
      </c>
      <c r="H142" s="102">
        <f t="shared" si="59"/>
        <v>2</v>
      </c>
      <c r="I142" s="102">
        <f t="shared" si="59"/>
        <v>0</v>
      </c>
      <c r="J142" s="103">
        <f t="shared" si="55"/>
        <v>11</v>
      </c>
      <c r="K142" s="131">
        <v>7</v>
      </c>
      <c r="L142" s="132"/>
    </row>
    <row r="143" spans="1:12" ht="13" customHeight="1" x14ac:dyDescent="0.2">
      <c r="A143" s="94"/>
      <c r="B143" s="130" t="s">
        <v>41</v>
      </c>
      <c r="C143" s="102">
        <f t="shared" si="59"/>
        <v>0</v>
      </c>
      <c r="D143" s="102">
        <f t="shared" si="59"/>
        <v>0</v>
      </c>
      <c r="E143" s="102">
        <f t="shared" si="59"/>
        <v>0</v>
      </c>
      <c r="F143" s="102">
        <f t="shared" si="59"/>
        <v>0</v>
      </c>
      <c r="G143" s="102">
        <f t="shared" si="59"/>
        <v>0</v>
      </c>
      <c r="H143" s="102">
        <f t="shared" si="59"/>
        <v>0</v>
      </c>
      <c r="I143" s="102">
        <f t="shared" si="59"/>
        <v>0</v>
      </c>
      <c r="J143" s="103">
        <f t="shared" si="55"/>
        <v>0</v>
      </c>
      <c r="K143" s="131">
        <v>0</v>
      </c>
      <c r="L143" s="132"/>
    </row>
    <row r="144" spans="1:12" ht="13" customHeight="1" x14ac:dyDescent="0.2">
      <c r="A144" s="94"/>
      <c r="B144" s="133" t="s">
        <v>95</v>
      </c>
      <c r="C144" s="102">
        <f t="shared" si="59"/>
        <v>3</v>
      </c>
      <c r="D144" s="102">
        <f t="shared" si="59"/>
        <v>2</v>
      </c>
      <c r="E144" s="102">
        <f t="shared" si="59"/>
        <v>1</v>
      </c>
      <c r="F144" s="102">
        <f t="shared" si="59"/>
        <v>1</v>
      </c>
      <c r="G144" s="102">
        <f t="shared" si="59"/>
        <v>1</v>
      </c>
      <c r="H144" s="102">
        <f t="shared" si="59"/>
        <v>18</v>
      </c>
      <c r="I144" s="102">
        <f t="shared" si="59"/>
        <v>24</v>
      </c>
      <c r="J144" s="103">
        <f t="shared" si="55"/>
        <v>50</v>
      </c>
      <c r="K144" s="131">
        <v>25</v>
      </c>
      <c r="L144" s="132"/>
    </row>
    <row r="145" spans="1:12" ht="13" customHeight="1" x14ac:dyDescent="0.2">
      <c r="A145" s="94"/>
      <c r="B145" s="134" t="s">
        <v>99</v>
      </c>
      <c r="C145" s="102">
        <f t="shared" si="59"/>
        <v>1</v>
      </c>
      <c r="D145" s="102">
        <f t="shared" si="59"/>
        <v>2</v>
      </c>
      <c r="E145" s="102">
        <f t="shared" si="59"/>
        <v>2</v>
      </c>
      <c r="F145" s="102">
        <f t="shared" si="59"/>
        <v>2</v>
      </c>
      <c r="G145" s="102">
        <f t="shared" si="59"/>
        <v>2</v>
      </c>
      <c r="H145" s="102">
        <f t="shared" si="59"/>
        <v>1</v>
      </c>
      <c r="I145" s="102">
        <f t="shared" si="59"/>
        <v>0</v>
      </c>
      <c r="J145" s="103">
        <f t="shared" si="55"/>
        <v>10</v>
      </c>
      <c r="K145" s="131">
        <v>0</v>
      </c>
      <c r="L145" s="132"/>
    </row>
    <row r="146" spans="1:12" ht="13" customHeight="1" x14ac:dyDescent="0.2">
      <c r="A146" s="94"/>
      <c r="B146" s="134" t="s">
        <v>100</v>
      </c>
      <c r="C146" s="102">
        <f t="shared" si="59"/>
        <v>0</v>
      </c>
      <c r="D146" s="102">
        <f t="shared" si="59"/>
        <v>0</v>
      </c>
      <c r="E146" s="102">
        <f t="shared" si="59"/>
        <v>0</v>
      </c>
      <c r="F146" s="102">
        <f t="shared" si="59"/>
        <v>0</v>
      </c>
      <c r="G146" s="102">
        <f t="shared" si="59"/>
        <v>0</v>
      </c>
      <c r="H146" s="102">
        <f t="shared" si="59"/>
        <v>0</v>
      </c>
      <c r="I146" s="102">
        <f t="shared" si="59"/>
        <v>1</v>
      </c>
      <c r="J146" s="103">
        <f t="shared" si="55"/>
        <v>1</v>
      </c>
      <c r="K146" s="131">
        <v>0</v>
      </c>
      <c r="L146" s="132" t="s">
        <v>101</v>
      </c>
    </row>
    <row r="147" spans="1:12" ht="13" customHeight="1" x14ac:dyDescent="0.2">
      <c r="A147" s="94"/>
      <c r="B147" s="135"/>
      <c r="C147" s="136">
        <f t="shared" ref="C147:I147" si="60">SUM(C110:C141)-SUM(C127:C130)-C110</f>
        <v>25</v>
      </c>
      <c r="D147" s="136">
        <f t="shared" si="60"/>
        <v>25</v>
      </c>
      <c r="E147" s="136">
        <f t="shared" si="60"/>
        <v>25</v>
      </c>
      <c r="F147" s="136">
        <f t="shared" si="60"/>
        <v>25</v>
      </c>
      <c r="G147" s="136">
        <f t="shared" si="60"/>
        <v>24</v>
      </c>
      <c r="H147" s="136">
        <f t="shared" si="60"/>
        <v>24</v>
      </c>
      <c r="I147" s="136">
        <f t="shared" si="60"/>
        <v>23</v>
      </c>
      <c r="J147" s="136">
        <f>SUM(J110:J141)</f>
        <v>209</v>
      </c>
      <c r="K147" s="90"/>
      <c r="L147" s="91"/>
    </row>
  </sheetData>
  <mergeCells count="104"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68:B69"/>
    <mergeCell ref="J68:J69"/>
    <mergeCell ref="B70:B71"/>
    <mergeCell ref="J70:J71"/>
    <mergeCell ref="B64:B65"/>
    <mergeCell ref="J64:J65"/>
    <mergeCell ref="B66:B67"/>
    <mergeCell ref="J66:J67"/>
    <mergeCell ref="B58:B59"/>
    <mergeCell ref="J58:J59"/>
    <mergeCell ref="B60:B61"/>
    <mergeCell ref="J60:J61"/>
    <mergeCell ref="B62:B63"/>
    <mergeCell ref="J62:J63"/>
    <mergeCell ref="B78:B79"/>
    <mergeCell ref="J78:J79"/>
    <mergeCell ref="B80:B81"/>
    <mergeCell ref="J80:J81"/>
    <mergeCell ref="B82:B83"/>
    <mergeCell ref="J82:J83"/>
    <mergeCell ref="B72:B73"/>
    <mergeCell ref="J72:J73"/>
    <mergeCell ref="B74:B75"/>
    <mergeCell ref="J74:J75"/>
    <mergeCell ref="B76:B77"/>
    <mergeCell ref="J76:J77"/>
    <mergeCell ref="B90:B91"/>
    <mergeCell ref="J90:J91"/>
    <mergeCell ref="B92:B93"/>
    <mergeCell ref="J92:J93"/>
    <mergeCell ref="B94:B95"/>
    <mergeCell ref="J94:J95"/>
    <mergeCell ref="B84:B85"/>
    <mergeCell ref="J84:J85"/>
    <mergeCell ref="B86:B87"/>
    <mergeCell ref="J86:J87"/>
    <mergeCell ref="B88:B89"/>
    <mergeCell ref="J88:J89"/>
    <mergeCell ref="B106:B107"/>
    <mergeCell ref="J106:J107"/>
    <mergeCell ref="B102:B103"/>
    <mergeCell ref="J102:J103"/>
    <mergeCell ref="B104:B105"/>
    <mergeCell ref="J104:J105"/>
    <mergeCell ref="B96:B97"/>
    <mergeCell ref="J96:J97"/>
    <mergeCell ref="B98:B99"/>
    <mergeCell ref="J98:J99"/>
    <mergeCell ref="B100:B101"/>
    <mergeCell ref="J100:J101"/>
  </mergeCells>
  <conditionalFormatting sqref="C147:I147">
    <cfRule type="cellIs" dxfId="5545" priority="1161" operator="lessThan">
      <formula>22</formula>
    </cfRule>
  </conditionalFormatting>
  <conditionalFormatting sqref="J110:J115 J117:J118 J120:J123 J125:J135">
    <cfRule type="cellIs" dxfId="5544" priority="1160" operator="notEqual">
      <formula>$K110</formula>
    </cfRule>
  </conditionalFormatting>
  <conditionalFormatting sqref="J139">
    <cfRule type="expression" dxfId="5543" priority="1159">
      <formula>$J$139+$J$140&lt;$K$139</formula>
    </cfRule>
  </conditionalFormatting>
  <conditionalFormatting sqref="J140">
    <cfRule type="expression" dxfId="5542" priority="1158">
      <formula>$J$139+$J$140&lt;$K$139</formula>
    </cfRule>
  </conditionalFormatting>
  <conditionalFormatting sqref="J142:J146">
    <cfRule type="cellIs" dxfId="5541" priority="1157" operator="notEqual">
      <formula>$K142</formula>
    </cfRule>
  </conditionalFormatting>
  <conditionalFormatting sqref="C93:I93">
    <cfRule type="expression" dxfId="5540" priority="1156">
      <formula>C93=$B$116</formula>
    </cfRule>
  </conditionalFormatting>
  <conditionalFormatting sqref="J116">
    <cfRule type="cellIs" dxfId="5539" priority="1155" operator="notEqual">
      <formula>$K116</formula>
    </cfRule>
  </conditionalFormatting>
  <conditionalFormatting sqref="C77:I77">
    <cfRule type="expression" dxfId="5538" priority="1153">
      <formula>C77=$B$116</formula>
    </cfRule>
  </conditionalFormatting>
  <conditionalFormatting sqref="C77:I77">
    <cfRule type="expression" dxfId="5537" priority="1154">
      <formula>C77=$B$111</formula>
    </cfRule>
  </conditionalFormatting>
  <conditionalFormatting sqref="J119">
    <cfRule type="cellIs" dxfId="5536" priority="1152" operator="notEqual">
      <formula>$K119</formula>
    </cfRule>
  </conditionalFormatting>
  <conditionalFormatting sqref="J124">
    <cfRule type="cellIs" dxfId="5535" priority="1151" operator="notEqual">
      <formula>$K124</formula>
    </cfRule>
  </conditionalFormatting>
  <conditionalFormatting sqref="H50">
    <cfRule type="expression" dxfId="5534" priority="1149">
      <formula>H50=$B$116</formula>
    </cfRule>
  </conditionalFormatting>
  <conditionalFormatting sqref="H50">
    <cfRule type="expression" dxfId="5533" priority="1150">
      <formula>H50=$B$111</formula>
    </cfRule>
  </conditionalFormatting>
  <conditionalFormatting sqref="C36">
    <cfRule type="expression" dxfId="5532" priority="1147">
      <formula>C36=$B$116</formula>
    </cfRule>
  </conditionalFormatting>
  <conditionalFormatting sqref="C36">
    <cfRule type="expression" dxfId="5531" priority="1148">
      <formula>C36=$B$111</formula>
    </cfRule>
  </conditionalFormatting>
  <conditionalFormatting sqref="C107:I107 C94:F94 C58:F58 C38 C50:I57 C39:I47 C106:D106 F106:I106 H94 C96 E86 C88:I93 I86 E104:F104 E102 H58:I58 C59:I63 C66:I85 C98:I101 E38:I38 C6:I37">
    <cfRule type="expression" dxfId="5530" priority="1163">
      <formula>C6=$B$130</formula>
    </cfRule>
    <cfRule type="expression" dxfId="5529" priority="1164">
      <formula>C6=$B$128</formula>
    </cfRule>
    <cfRule type="expression" dxfId="5528" priority="1165">
      <formula>C6=$B$124</formula>
    </cfRule>
    <cfRule type="expression" dxfId="5527" priority="1166">
      <formula>C6=$B$119</formula>
    </cfRule>
    <cfRule type="expression" dxfId="5526" priority="1167">
      <formula>C6=$B$116</formula>
    </cfRule>
    <cfRule type="expression" dxfId="5525" priority="1168">
      <formula>C6=$B$113</formula>
    </cfRule>
    <cfRule type="expression" dxfId="5524" priority="1169">
      <formula>C6=$B$116</formula>
    </cfRule>
    <cfRule type="expression" dxfId="5523" priority="1170">
      <formula>C6=$B$146</formula>
    </cfRule>
    <cfRule type="expression" dxfId="5522" priority="1171">
      <formula>C6=$B$118</formula>
    </cfRule>
    <cfRule type="expression" dxfId="5521" priority="1172">
      <formula>C6=$B$146</formula>
    </cfRule>
    <cfRule type="expression" dxfId="5520" priority="1173">
      <formula>C6=$B$145</formula>
    </cfRule>
    <cfRule type="expression" dxfId="5519" priority="1174">
      <formula>C6=$B$144</formula>
    </cfRule>
    <cfRule type="expression" dxfId="5518" priority="1175">
      <formula>C6=$B$143</formula>
    </cfRule>
    <cfRule type="expression" dxfId="5517" priority="1176">
      <formula>C6=$B$142</formula>
    </cfRule>
    <cfRule type="expression" dxfId="5516" priority="1177">
      <formula>C6=$B$141</formula>
    </cfRule>
    <cfRule type="expression" dxfId="5515" priority="1178">
      <formula>C6=$B$140</formula>
    </cfRule>
    <cfRule type="expression" dxfId="5514" priority="1179">
      <formula>C6=$B$139</formula>
    </cfRule>
    <cfRule type="expression" dxfId="5513" priority="1180">
      <formula>C6=$B$135</formula>
    </cfRule>
    <cfRule type="expression" dxfId="5512" priority="1181">
      <formula>C6=$B$134</formula>
    </cfRule>
    <cfRule type="expression" dxfId="5511" priority="1182">
      <formula>C6=$B$133</formula>
    </cfRule>
    <cfRule type="expression" dxfId="5510" priority="1183">
      <formula>C6=$B$132</formula>
    </cfRule>
    <cfRule type="expression" dxfId="5509" priority="1184">
      <formula>C6=$B$131</formula>
    </cfRule>
    <cfRule type="expression" dxfId="5508" priority="1185" stopIfTrue="1">
      <formula>C6=$B$130</formula>
    </cfRule>
    <cfRule type="expression" dxfId="5507" priority="1186">
      <formula>C6=$B$129</formula>
    </cfRule>
    <cfRule type="expression" dxfId="5506" priority="1187" stopIfTrue="1">
      <formula>C6=$B$128</formula>
    </cfRule>
    <cfRule type="expression" dxfId="5505" priority="1188">
      <formula>C6=$B$127</formula>
    </cfRule>
    <cfRule type="expression" dxfId="5504" priority="1189">
      <formula>C6=$B$126</formula>
    </cfRule>
    <cfRule type="expression" dxfId="5503" priority="1190">
      <formula>C6=$B$125</formula>
    </cfRule>
    <cfRule type="expression" dxfId="5502" priority="1191" stopIfTrue="1">
      <formula>C6=$B$123</formula>
    </cfRule>
    <cfRule type="expression" dxfId="5501" priority="1192" stopIfTrue="1">
      <formula>C6=$B$122</formula>
    </cfRule>
    <cfRule type="expression" dxfId="5500" priority="1193" stopIfTrue="1">
      <formula>C6=$B$121</formula>
    </cfRule>
    <cfRule type="expression" dxfId="5499" priority="1194">
      <formula>C6=$B$120</formula>
    </cfRule>
    <cfRule type="expression" dxfId="5498" priority="1195">
      <formula>C6=$B$117</formula>
    </cfRule>
    <cfRule type="expression" dxfId="5497" priority="1196" stopIfTrue="1">
      <formula>C6=$B$115</formula>
    </cfRule>
    <cfRule type="expression" dxfId="5496" priority="1197">
      <formula>C6=$B$114</formula>
    </cfRule>
    <cfRule type="expression" dxfId="5495" priority="1198">
      <formula>C6=$B$113</formula>
    </cfRule>
    <cfRule type="expression" dxfId="5494" priority="1199">
      <formula>C6=$B$112</formula>
    </cfRule>
    <cfRule type="expression" dxfId="5493" priority="1200">
      <formula>C6=$B$110</formula>
    </cfRule>
    <cfRule type="expression" dxfId="5492" priority="1201" stopIfTrue="1">
      <formula>C6=$B$111</formula>
    </cfRule>
    <cfRule type="expression" dxfId="5491" priority="1202" stopIfTrue="1">
      <formula>C$5=TODAY()</formula>
    </cfRule>
  </conditionalFormatting>
  <conditionalFormatting sqref="J141">
    <cfRule type="cellIs" dxfId="5490" priority="1146" operator="notEqual">
      <formula>$K141</formula>
    </cfRule>
  </conditionalFormatting>
  <conditionalFormatting sqref="C105:I105 G94:I94 H22:I22 C64:I65 C48:I49 C86:I87 C95:I95 H90:I90 H30:I30 H42:I42 C38:D38 G32:I32 E56:I56 G58 C97:I97 C96:E96 G96:I96 H104:I104 C102:I103 C104:F104 G84:I84 I76 G82:I82 E70:I70 H66:I66 H50:I50 C54:I54 D46 E98 E84 E76 H98 G100 H72:I72 H28:I28 C36:G36 C34:I34">
    <cfRule type="expression" dxfId="5489" priority="1105">
      <formula>C22=$B$145</formula>
    </cfRule>
    <cfRule type="expression" dxfId="5488" priority="1106">
      <formula>C22=$B$130</formula>
    </cfRule>
    <cfRule type="expression" dxfId="5487" priority="1107">
      <formula>C22=$B$128</formula>
    </cfRule>
    <cfRule type="expression" dxfId="5486" priority="1108">
      <formula>C22=$B$124</formula>
    </cfRule>
    <cfRule type="expression" dxfId="5485" priority="1109">
      <formula>C22=$B$119</formula>
    </cfRule>
    <cfRule type="expression" dxfId="5484" priority="1110">
      <formula>C22=$B$116</formula>
    </cfRule>
    <cfRule type="expression" dxfId="5483" priority="1111">
      <formula>C22=$B$113</formula>
    </cfRule>
    <cfRule type="expression" dxfId="5482" priority="1112">
      <formula>C22=$B$116</formula>
    </cfRule>
    <cfRule type="expression" dxfId="5481" priority="1113">
      <formula>C22=$B$146</formula>
    </cfRule>
    <cfRule type="expression" dxfId="5480" priority="1114">
      <formula>C22=$B$118</formula>
    </cfRule>
    <cfRule type="expression" dxfId="5479" priority="1115">
      <formula>C22=$B$146</formula>
    </cfRule>
    <cfRule type="expression" dxfId="5478" priority="1116">
      <formula>C22=$B$145</formula>
    </cfRule>
    <cfRule type="expression" dxfId="5477" priority="1117">
      <formula>C22=$B$144</formula>
    </cfRule>
    <cfRule type="expression" dxfId="5476" priority="1118">
      <formula>C22=$B$143</formula>
    </cfRule>
    <cfRule type="expression" dxfId="5475" priority="1119">
      <formula>C22=$B$142</formula>
    </cfRule>
    <cfRule type="expression" dxfId="5474" priority="1120">
      <formula>C22=$B$141</formula>
    </cfRule>
    <cfRule type="expression" dxfId="5473" priority="1121">
      <formula>C22=$B$140</formula>
    </cfRule>
    <cfRule type="expression" dxfId="5472" priority="1122">
      <formula>C22=$B$139</formula>
    </cfRule>
    <cfRule type="expression" dxfId="5471" priority="1123">
      <formula>C22=$B$135</formula>
    </cfRule>
    <cfRule type="expression" dxfId="5470" priority="1124">
      <formula>C22=$B$134</formula>
    </cfRule>
    <cfRule type="expression" dxfId="5469" priority="1125">
      <formula>C22=$B$133</formula>
    </cfRule>
    <cfRule type="expression" dxfId="5468" priority="1126">
      <formula>C22=$B$132</formula>
    </cfRule>
    <cfRule type="expression" dxfId="5467" priority="1127">
      <formula>C22=$B$131</formula>
    </cfRule>
    <cfRule type="expression" dxfId="5466" priority="1128" stopIfTrue="1">
      <formula>C22=$B$130</formula>
    </cfRule>
    <cfRule type="expression" dxfId="5465" priority="1129">
      <formula>C22=$B$129</formula>
    </cfRule>
    <cfRule type="expression" dxfId="5464" priority="1130" stopIfTrue="1">
      <formula>C22=$B$128</formula>
    </cfRule>
    <cfRule type="expression" dxfId="5463" priority="1131">
      <formula>C22=$B$127</formula>
    </cfRule>
    <cfRule type="expression" dxfId="5462" priority="1132">
      <formula>C22=$B$126</formula>
    </cfRule>
    <cfRule type="expression" dxfId="5461" priority="1133">
      <formula>C22=$B$125</formula>
    </cfRule>
    <cfRule type="expression" dxfId="5460" priority="1134" stopIfTrue="1">
      <formula>C22=$B$123</formula>
    </cfRule>
    <cfRule type="expression" dxfId="5459" priority="1135" stopIfTrue="1">
      <formula>C22=$B$122</formula>
    </cfRule>
    <cfRule type="expression" dxfId="5458" priority="1136" stopIfTrue="1">
      <formula>C22=$B$121</formula>
    </cfRule>
    <cfRule type="expression" dxfId="5457" priority="1137">
      <formula>C22=$B$120</formula>
    </cfRule>
    <cfRule type="expression" dxfId="5456" priority="1138">
      <formula>C22=$B$117</formula>
    </cfRule>
    <cfRule type="expression" dxfId="5455" priority="1139" stopIfTrue="1">
      <formula>C22=$B$115</formula>
    </cfRule>
    <cfRule type="expression" dxfId="5454" priority="1140">
      <formula>C22=$B$114</formula>
    </cfRule>
    <cfRule type="expression" dxfId="5453" priority="1141">
      <formula>C22=$B$113</formula>
    </cfRule>
    <cfRule type="expression" dxfId="5452" priority="1142">
      <formula>C22=$B$112</formula>
    </cfRule>
    <cfRule type="expression" dxfId="5451" priority="1143">
      <formula>C22=$B$110</formula>
    </cfRule>
    <cfRule type="expression" dxfId="5450" priority="1144" stopIfTrue="1">
      <formula>C22=$B$111</formula>
    </cfRule>
    <cfRule type="expression" dxfId="5449" priority="1145" stopIfTrue="1">
      <formula>C$5=TODAY()</formula>
    </cfRule>
  </conditionalFormatting>
  <conditionalFormatting sqref="H48">
    <cfRule type="expression" dxfId="5448" priority="1103">
      <formula>H48=$B$116</formula>
    </cfRule>
  </conditionalFormatting>
  <conditionalFormatting sqref="H48">
    <cfRule type="expression" dxfId="5447" priority="1104">
      <formula>H48=$B$111</formula>
    </cfRule>
  </conditionalFormatting>
  <conditionalFormatting sqref="H86">
    <cfRule type="expression" dxfId="5446" priority="1101">
      <formula>H86=$B$116</formula>
    </cfRule>
  </conditionalFormatting>
  <conditionalFormatting sqref="H86">
    <cfRule type="expression" dxfId="5445" priority="1102">
      <formula>H86=$B$111</formula>
    </cfRule>
  </conditionalFormatting>
  <conditionalFormatting sqref="H96">
    <cfRule type="expression" dxfId="5444" priority="1099">
      <formula>H96=$B$116</formula>
    </cfRule>
  </conditionalFormatting>
  <conditionalFormatting sqref="H96">
    <cfRule type="expression" dxfId="5443" priority="1100">
      <formula>H96=$B$111</formula>
    </cfRule>
  </conditionalFormatting>
  <conditionalFormatting sqref="C76 C38 C107:I107 C50:I57 C106:D106 F106:I106 C66:I75 E40:F40 E38 C96 E86 C88:I93 I86 E104:F104 E102 E76:I76 C59:I63 C77:I85 C98:I101 C6:I37">
    <cfRule type="expression" dxfId="5442" priority="1162">
      <formula>C6=$B$145</formula>
    </cfRule>
  </conditionalFormatting>
  <conditionalFormatting sqref="D46:I46 C47:I57 G96:I96 C96:E96 G94:I94 C105:I105 H104:I104 C104:F104 C59:I93 C97:I103 C6:I45">
    <cfRule type="expression" dxfId="5441" priority="1096">
      <formula>C6=$B$137</formula>
    </cfRule>
    <cfRule type="expression" dxfId="5440" priority="1097">
      <formula>C6=$B$138</formula>
    </cfRule>
    <cfRule type="expression" dxfId="5439" priority="1098">
      <formula>C6=$B$136</formula>
    </cfRule>
  </conditionalFormatting>
  <conditionalFormatting sqref="H94">
    <cfRule type="expression" dxfId="5438" priority="1094">
      <formula>H94=$B$116</formula>
    </cfRule>
  </conditionalFormatting>
  <conditionalFormatting sqref="H94">
    <cfRule type="expression" dxfId="5437" priority="1095">
      <formula>H94=$B$111</formula>
    </cfRule>
  </conditionalFormatting>
  <conditionalFormatting sqref="C95:I95">
    <cfRule type="expression" dxfId="5436" priority="1091">
      <formula>C95=$B$137</formula>
    </cfRule>
    <cfRule type="expression" dxfId="5435" priority="1092">
      <formula>C95=$B$138</formula>
    </cfRule>
    <cfRule type="expression" dxfId="5434" priority="1093">
      <formula>C95=$B$136</formula>
    </cfRule>
  </conditionalFormatting>
  <conditionalFormatting sqref="C94:F94">
    <cfRule type="expression" dxfId="5433" priority="1090">
      <formula>C94=$B$145</formula>
    </cfRule>
  </conditionalFormatting>
  <conditionalFormatting sqref="C94:F94">
    <cfRule type="expression" dxfId="5432" priority="1087">
      <formula>C94=$B$137</formula>
    </cfRule>
    <cfRule type="expression" dxfId="5431" priority="1088">
      <formula>C94=$B$138</formula>
    </cfRule>
    <cfRule type="expression" dxfId="5430" priority="1089">
      <formula>C94=$B$136</formula>
    </cfRule>
  </conditionalFormatting>
  <conditionalFormatting sqref="J138">
    <cfRule type="cellIs" dxfId="5429" priority="1086" operator="notEqual">
      <formula>$K138</formula>
    </cfRule>
  </conditionalFormatting>
  <conditionalFormatting sqref="G58">
    <cfRule type="expression" dxfId="5428" priority="1083">
      <formula>G58=$B$137</formula>
    </cfRule>
    <cfRule type="expression" dxfId="5427" priority="1084">
      <formula>G58=$B$138</formula>
    </cfRule>
    <cfRule type="expression" dxfId="5426" priority="1085">
      <formula>G58=$B$136</formula>
    </cfRule>
  </conditionalFormatting>
  <conditionalFormatting sqref="C58:F58">
    <cfRule type="expression" dxfId="5425" priority="1080">
      <formula>C58=$B$145</formula>
    </cfRule>
  </conditionalFormatting>
  <conditionalFormatting sqref="C58:F58">
    <cfRule type="expression" dxfId="5424" priority="1077">
      <formula>C58=$B$137</formula>
    </cfRule>
    <cfRule type="expression" dxfId="5423" priority="1078">
      <formula>C58=$B$138</formula>
    </cfRule>
    <cfRule type="expression" dxfId="5422" priority="1079">
      <formula>C58=$B$136</formula>
    </cfRule>
  </conditionalFormatting>
  <conditionalFormatting sqref="J136">
    <cfRule type="cellIs" dxfId="5421" priority="1076" operator="notEqual">
      <formula>$K136</formula>
    </cfRule>
  </conditionalFormatting>
  <conditionalFormatting sqref="A6:A106">
    <cfRule type="cellIs" dxfId="5420" priority="1074" operator="lessThan">
      <formula>5</formula>
    </cfRule>
    <cfRule type="cellIs" dxfId="5419" priority="1075" operator="greaterThanOrEqual">
      <formula>5</formula>
    </cfRule>
  </conditionalFormatting>
  <conditionalFormatting sqref="J137">
    <cfRule type="cellIs" dxfId="5418" priority="1073" operator="notEqual">
      <formula>$K137</formula>
    </cfRule>
  </conditionalFormatting>
  <conditionalFormatting sqref="H42:I42">
    <cfRule type="expression" dxfId="5417" priority="1072">
      <formula>H42=$B$145</formula>
    </cfRule>
  </conditionalFormatting>
  <conditionalFormatting sqref="I46">
    <cfRule type="expression" dxfId="5416" priority="1071">
      <formula>I46=$B$145</formula>
    </cfRule>
  </conditionalFormatting>
  <conditionalFormatting sqref="C46">
    <cfRule type="expression" dxfId="5415" priority="1066">
      <formula>C46=$B$145</formula>
    </cfRule>
  </conditionalFormatting>
  <conditionalFormatting sqref="C46">
    <cfRule type="expression" dxfId="5414" priority="1063">
      <formula>C46=$B$137</formula>
    </cfRule>
    <cfRule type="expression" dxfId="5413" priority="1064">
      <formula>C46=$B$138</formula>
    </cfRule>
    <cfRule type="expression" dxfId="5412" priority="1065">
      <formula>C46=$B$136</formula>
    </cfRule>
  </conditionalFormatting>
  <conditionalFormatting sqref="C74">
    <cfRule type="expression" dxfId="5411" priority="1062">
      <formula>C74=$B$145</formula>
    </cfRule>
  </conditionalFormatting>
  <conditionalFormatting sqref="C74">
    <cfRule type="expression" dxfId="5410" priority="1059">
      <formula>C74=$B$137</formula>
    </cfRule>
    <cfRule type="expression" dxfId="5409" priority="1060">
      <formula>C74=$B$138</formula>
    </cfRule>
    <cfRule type="expression" dxfId="5408" priority="1061">
      <formula>C74=$B$136</formula>
    </cfRule>
  </conditionalFormatting>
  <conditionalFormatting sqref="E104">
    <cfRule type="expression" dxfId="5407" priority="1016">
      <formula>E104=$B$130</formula>
    </cfRule>
    <cfRule type="expression" dxfId="5406" priority="1017">
      <formula>E104=$B$128</formula>
    </cfRule>
    <cfRule type="expression" dxfId="5405" priority="1018">
      <formula>E104=$B$124</formula>
    </cfRule>
    <cfRule type="expression" dxfId="5404" priority="1019">
      <formula>E104=$B$119</formula>
    </cfRule>
    <cfRule type="expression" dxfId="5403" priority="1020">
      <formula>E104=$B$116</formula>
    </cfRule>
    <cfRule type="expression" dxfId="5402" priority="1021">
      <formula>E104=$B$113</formula>
    </cfRule>
    <cfRule type="expression" dxfId="5401" priority="1022">
      <formula>E104=$B$116</formula>
    </cfRule>
    <cfRule type="expression" dxfId="5400" priority="1023">
      <formula>E104=$B$146</formula>
    </cfRule>
    <cfRule type="expression" dxfId="5399" priority="1024">
      <formula>E104=$B$118</formula>
    </cfRule>
    <cfRule type="expression" dxfId="5398" priority="1025">
      <formula>E104=$B$146</formula>
    </cfRule>
    <cfRule type="expression" dxfId="5397" priority="1026">
      <formula>E104=$B$145</formula>
    </cfRule>
    <cfRule type="expression" dxfId="5396" priority="1027">
      <formula>E104=$B$144</formula>
    </cfRule>
    <cfRule type="expression" dxfId="5395" priority="1028">
      <formula>E104=$B$143</formula>
    </cfRule>
    <cfRule type="expression" dxfId="5394" priority="1029">
      <formula>E104=$B$142</formula>
    </cfRule>
    <cfRule type="expression" dxfId="5393" priority="1030">
      <formula>E104=$B$141</formula>
    </cfRule>
    <cfRule type="expression" dxfId="5392" priority="1031">
      <formula>E104=$B$140</formula>
    </cfRule>
    <cfRule type="expression" dxfId="5391" priority="1032">
      <formula>E104=$B$139</formula>
    </cfRule>
    <cfRule type="expression" dxfId="5390" priority="1033">
      <formula>E104=$B$135</formula>
    </cfRule>
    <cfRule type="expression" dxfId="5389" priority="1034">
      <formula>E104=$B$134</formula>
    </cfRule>
    <cfRule type="expression" dxfId="5388" priority="1035">
      <formula>E104=$B$133</formula>
    </cfRule>
    <cfRule type="expression" dxfId="5387" priority="1036">
      <formula>E104=$B$132</formula>
    </cfRule>
    <cfRule type="expression" dxfId="5386" priority="1037">
      <formula>E104=$B$131</formula>
    </cfRule>
    <cfRule type="expression" dxfId="5385" priority="1038" stopIfTrue="1">
      <formula>E104=$B$130</formula>
    </cfRule>
    <cfRule type="expression" dxfId="5384" priority="1039">
      <formula>E104=$B$129</formula>
    </cfRule>
    <cfRule type="expression" dxfId="5383" priority="1040" stopIfTrue="1">
      <formula>E104=$B$128</formula>
    </cfRule>
    <cfRule type="expression" dxfId="5382" priority="1041">
      <formula>E104=$B$127</formula>
    </cfRule>
    <cfRule type="expression" dxfId="5381" priority="1042">
      <formula>E104=$B$126</formula>
    </cfRule>
    <cfRule type="expression" dxfId="5380" priority="1043">
      <formula>E104=$B$125</formula>
    </cfRule>
    <cfRule type="expression" dxfId="5379" priority="1044" stopIfTrue="1">
      <formula>E104=$B$123</formula>
    </cfRule>
    <cfRule type="expression" dxfId="5378" priority="1045" stopIfTrue="1">
      <formula>E104=$B$122</formula>
    </cfRule>
    <cfRule type="expression" dxfId="5377" priority="1046" stopIfTrue="1">
      <formula>E104=$B$121</formula>
    </cfRule>
    <cfRule type="expression" dxfId="5376" priority="1047">
      <formula>E104=$B$120</formula>
    </cfRule>
    <cfRule type="expression" dxfId="5375" priority="1048">
      <formula>E104=$B$117</formula>
    </cfRule>
    <cfRule type="expression" dxfId="5374" priority="1049" stopIfTrue="1">
      <formula>E104=$B$115</formula>
    </cfRule>
    <cfRule type="expression" dxfId="5373" priority="1050">
      <formula>E104=$B$114</formula>
    </cfRule>
    <cfRule type="expression" dxfId="5372" priority="1051">
      <formula>E104=$B$113</formula>
    </cfRule>
    <cfRule type="expression" dxfId="5371" priority="1052">
      <formula>E104=$B$112</formula>
    </cfRule>
    <cfRule type="expression" dxfId="5370" priority="1053">
      <formula>E104=$B$110</formula>
    </cfRule>
    <cfRule type="expression" dxfId="5369" priority="1054" stopIfTrue="1">
      <formula>E104=$B$111</formula>
    </cfRule>
    <cfRule type="expression" dxfId="5368" priority="1055" stopIfTrue="1">
      <formula>E$5=TODAY()</formula>
    </cfRule>
  </conditionalFormatting>
  <conditionalFormatting sqref="E104">
    <cfRule type="expression" dxfId="5367" priority="1015">
      <formula>E104=$B$145</formula>
    </cfRule>
  </conditionalFormatting>
  <conditionalFormatting sqref="E102">
    <cfRule type="expression" dxfId="5366" priority="975">
      <formula>E102=$B$130</formula>
    </cfRule>
    <cfRule type="expression" dxfId="5365" priority="976">
      <formula>E102=$B$128</formula>
    </cfRule>
    <cfRule type="expression" dxfId="5364" priority="977">
      <formula>E102=$B$124</formula>
    </cfRule>
    <cfRule type="expression" dxfId="5363" priority="978">
      <formula>E102=$B$119</formula>
    </cfRule>
    <cfRule type="expression" dxfId="5362" priority="979">
      <formula>E102=$B$116</formula>
    </cfRule>
    <cfRule type="expression" dxfId="5361" priority="980">
      <formula>E102=$B$113</formula>
    </cfRule>
    <cfRule type="expression" dxfId="5360" priority="981">
      <formula>E102=$B$116</formula>
    </cfRule>
    <cfRule type="expression" dxfId="5359" priority="982">
      <formula>E102=$B$146</formula>
    </cfRule>
    <cfRule type="expression" dxfId="5358" priority="983">
      <formula>E102=$B$118</formula>
    </cfRule>
    <cfRule type="expression" dxfId="5357" priority="984">
      <formula>E102=$B$146</formula>
    </cfRule>
    <cfRule type="expression" dxfId="5356" priority="985">
      <formula>E102=$B$145</formula>
    </cfRule>
    <cfRule type="expression" dxfId="5355" priority="986">
      <formula>E102=$B$144</formula>
    </cfRule>
    <cfRule type="expression" dxfId="5354" priority="987">
      <formula>E102=$B$143</formula>
    </cfRule>
    <cfRule type="expression" dxfId="5353" priority="988">
      <formula>E102=$B$142</formula>
    </cfRule>
    <cfRule type="expression" dxfId="5352" priority="989">
      <formula>E102=$B$141</formula>
    </cfRule>
    <cfRule type="expression" dxfId="5351" priority="990">
      <formula>E102=$B$140</formula>
    </cfRule>
    <cfRule type="expression" dxfId="5350" priority="991">
      <formula>E102=$B$139</formula>
    </cfRule>
    <cfRule type="expression" dxfId="5349" priority="992">
      <formula>E102=$B$135</formula>
    </cfRule>
    <cfRule type="expression" dxfId="5348" priority="993">
      <formula>E102=$B$134</formula>
    </cfRule>
    <cfRule type="expression" dxfId="5347" priority="994">
      <formula>E102=$B$133</formula>
    </cfRule>
    <cfRule type="expression" dxfId="5346" priority="995">
      <formula>E102=$B$132</formula>
    </cfRule>
    <cfRule type="expression" dxfId="5345" priority="996">
      <formula>E102=$B$131</formula>
    </cfRule>
    <cfRule type="expression" dxfId="5344" priority="997" stopIfTrue="1">
      <formula>E102=$B$130</formula>
    </cfRule>
    <cfRule type="expression" dxfId="5343" priority="998">
      <formula>E102=$B$129</formula>
    </cfRule>
    <cfRule type="expression" dxfId="5342" priority="999" stopIfTrue="1">
      <formula>E102=$B$128</formula>
    </cfRule>
    <cfRule type="expression" dxfId="5341" priority="1000">
      <formula>E102=$B$127</formula>
    </cfRule>
    <cfRule type="expression" dxfId="5340" priority="1001">
      <formula>E102=$B$126</formula>
    </cfRule>
    <cfRule type="expression" dxfId="5339" priority="1002">
      <formula>E102=$B$125</formula>
    </cfRule>
    <cfRule type="expression" dxfId="5338" priority="1003" stopIfTrue="1">
      <formula>E102=$B$123</formula>
    </cfRule>
    <cfRule type="expression" dxfId="5337" priority="1004" stopIfTrue="1">
      <formula>E102=$B$122</formula>
    </cfRule>
    <cfRule type="expression" dxfId="5336" priority="1005" stopIfTrue="1">
      <formula>E102=$B$121</formula>
    </cfRule>
    <cfRule type="expression" dxfId="5335" priority="1006">
      <formula>E102=$B$120</formula>
    </cfRule>
    <cfRule type="expression" dxfId="5334" priority="1007">
      <formula>E102=$B$117</formula>
    </cfRule>
    <cfRule type="expression" dxfId="5333" priority="1008" stopIfTrue="1">
      <formula>E102=$B$115</formula>
    </cfRule>
    <cfRule type="expression" dxfId="5332" priority="1009">
      <formula>E102=$B$114</formula>
    </cfRule>
    <cfRule type="expression" dxfId="5331" priority="1010">
      <formula>E102=$B$113</formula>
    </cfRule>
    <cfRule type="expression" dxfId="5330" priority="1011">
      <formula>E102=$B$112</formula>
    </cfRule>
    <cfRule type="expression" dxfId="5329" priority="1012">
      <formula>E102=$B$110</formula>
    </cfRule>
    <cfRule type="expression" dxfId="5328" priority="1013" stopIfTrue="1">
      <formula>E102=$B$111</formula>
    </cfRule>
    <cfRule type="expression" dxfId="5327" priority="1014" stopIfTrue="1">
      <formula>E$5=TODAY()</formula>
    </cfRule>
  </conditionalFormatting>
  <conditionalFormatting sqref="E102">
    <cfRule type="expression" dxfId="5326" priority="974">
      <formula>E102=$B$145</formula>
    </cfRule>
  </conditionalFormatting>
  <conditionalFormatting sqref="H42:I42">
    <cfRule type="expression" dxfId="5325" priority="973">
      <formula>H42=$B$145</formula>
    </cfRule>
  </conditionalFormatting>
  <conditionalFormatting sqref="H90:I90">
    <cfRule type="expression" dxfId="5324" priority="932">
      <formula>H90=$B$145</formula>
    </cfRule>
  </conditionalFormatting>
  <conditionalFormatting sqref="H56">
    <cfRule type="expression" dxfId="5323" priority="889">
      <formula>H56=$B$116</formula>
    </cfRule>
  </conditionalFormatting>
  <conditionalFormatting sqref="H56">
    <cfRule type="expression" dxfId="5322" priority="890">
      <formula>H56=$B$111</formula>
    </cfRule>
  </conditionalFormatting>
  <conditionalFormatting sqref="H82">
    <cfRule type="expression" dxfId="5321" priority="846">
      <formula>H82=$B$116</formula>
    </cfRule>
  </conditionalFormatting>
  <conditionalFormatting sqref="H82">
    <cfRule type="expression" dxfId="5320" priority="847">
      <formula>H82=$B$111</formula>
    </cfRule>
  </conditionalFormatting>
  <conditionalFormatting sqref="H70">
    <cfRule type="expression" dxfId="5319" priority="803">
      <formula>H70=$B$116</formula>
    </cfRule>
  </conditionalFormatting>
  <conditionalFormatting sqref="H70">
    <cfRule type="expression" dxfId="5318" priority="804">
      <formula>H70=$B$111</formula>
    </cfRule>
  </conditionalFormatting>
  <conditionalFormatting sqref="H32">
    <cfRule type="expression" dxfId="5317" priority="760">
      <formula>H32=$B$116</formula>
    </cfRule>
  </conditionalFormatting>
  <conditionalFormatting sqref="H32">
    <cfRule type="expression" dxfId="5316" priority="761">
      <formula>H32=$B$111</formula>
    </cfRule>
  </conditionalFormatting>
  <conditionalFormatting sqref="H84">
    <cfRule type="expression" dxfId="5315" priority="717">
      <formula>H84=$B$116</formula>
    </cfRule>
  </conditionalFormatting>
  <conditionalFormatting sqref="H84">
    <cfRule type="expression" dxfId="5314" priority="718">
      <formula>H84=$B$111</formula>
    </cfRule>
  </conditionalFormatting>
  <conditionalFormatting sqref="D76">
    <cfRule type="expression" dxfId="5313" priority="635">
      <formula>D76=$B$145</formula>
    </cfRule>
  </conditionalFormatting>
  <conditionalFormatting sqref="H82">
    <cfRule type="expression" dxfId="5312" priority="592">
      <formula>H82=$B$116</formula>
    </cfRule>
  </conditionalFormatting>
  <conditionalFormatting sqref="H82">
    <cfRule type="expression" dxfId="5311" priority="593">
      <formula>H82=$B$111</formula>
    </cfRule>
  </conditionalFormatting>
  <conditionalFormatting sqref="H54">
    <cfRule type="expression" dxfId="5310" priority="549">
      <formula>H54=$B$116</formula>
    </cfRule>
  </conditionalFormatting>
  <conditionalFormatting sqref="H54">
    <cfRule type="expression" dxfId="5309" priority="550">
      <formula>H54=$B$111</formula>
    </cfRule>
  </conditionalFormatting>
  <conditionalFormatting sqref="H42:I42">
    <cfRule type="expression" dxfId="5308" priority="548">
      <formula>H42=$B$145</formula>
    </cfRule>
  </conditionalFormatting>
  <conditionalFormatting sqref="H94">
    <cfRule type="expression" dxfId="5307" priority="463">
      <formula>H94=$B$145</formula>
    </cfRule>
  </conditionalFormatting>
  <conditionalFormatting sqref="E106">
    <cfRule type="expression" dxfId="5306" priority="422">
      <formula>E106=$B$145</formula>
    </cfRule>
    <cfRule type="expression" dxfId="5305" priority="423">
      <formula>E106=$B$130</formula>
    </cfRule>
    <cfRule type="expression" dxfId="5304" priority="424">
      <formula>E106=$B$128</formula>
    </cfRule>
    <cfRule type="expression" dxfId="5303" priority="425">
      <formula>E106=$B$124</formula>
    </cfRule>
    <cfRule type="expression" dxfId="5302" priority="426">
      <formula>E106=$B$119</formula>
    </cfRule>
    <cfRule type="expression" dxfId="5301" priority="427">
      <formula>E106=$B$116</formula>
    </cfRule>
    <cfRule type="expression" dxfId="5300" priority="428">
      <formula>E106=$B$113</formula>
    </cfRule>
    <cfRule type="expression" dxfId="5299" priority="429">
      <formula>E106=$B$116</formula>
    </cfRule>
    <cfRule type="expression" dxfId="5298" priority="430">
      <formula>E106=$B$146</formula>
    </cfRule>
    <cfRule type="expression" dxfId="5297" priority="431">
      <formula>E106=$B$118</formula>
    </cfRule>
    <cfRule type="expression" dxfId="5296" priority="432">
      <formula>E106=$B$146</formula>
    </cfRule>
    <cfRule type="expression" dxfId="5295" priority="433">
      <formula>E106=$B$145</formula>
    </cfRule>
    <cfRule type="expression" dxfId="5294" priority="434">
      <formula>E106=$B$144</formula>
    </cfRule>
    <cfRule type="expression" dxfId="5293" priority="435">
      <formula>E106=$B$143</formula>
    </cfRule>
    <cfRule type="expression" dxfId="5292" priority="436">
      <formula>E106=$B$142</formula>
    </cfRule>
    <cfRule type="expression" dxfId="5291" priority="437">
      <formula>E106=$B$141</formula>
    </cfRule>
    <cfRule type="expression" dxfId="5290" priority="438">
      <formula>E106=$B$140</formula>
    </cfRule>
    <cfRule type="expression" dxfId="5289" priority="439">
      <formula>E106=$B$139</formula>
    </cfRule>
    <cfRule type="expression" dxfId="5288" priority="440">
      <formula>E106=$B$135</formula>
    </cfRule>
    <cfRule type="expression" dxfId="5287" priority="441">
      <formula>E106=$B$134</formula>
    </cfRule>
    <cfRule type="expression" dxfId="5286" priority="442">
      <formula>E106=$B$133</formula>
    </cfRule>
    <cfRule type="expression" dxfId="5285" priority="443">
      <formula>E106=$B$132</formula>
    </cfRule>
    <cfRule type="expression" dxfId="5284" priority="444">
      <formula>E106=$B$131</formula>
    </cfRule>
    <cfRule type="expression" dxfId="5283" priority="445" stopIfTrue="1">
      <formula>E106=$B$130</formula>
    </cfRule>
    <cfRule type="expression" dxfId="5282" priority="446">
      <formula>E106=$B$129</formula>
    </cfRule>
    <cfRule type="expression" dxfId="5281" priority="447" stopIfTrue="1">
      <formula>E106=$B$128</formula>
    </cfRule>
    <cfRule type="expression" dxfId="5280" priority="448">
      <formula>E106=$B$127</formula>
    </cfRule>
    <cfRule type="expression" dxfId="5279" priority="449">
      <formula>E106=$B$126</formula>
    </cfRule>
    <cfRule type="expression" dxfId="5278" priority="450">
      <formula>E106=$B$125</formula>
    </cfRule>
    <cfRule type="expression" dxfId="5277" priority="451" stopIfTrue="1">
      <formula>E106=$B$123</formula>
    </cfRule>
    <cfRule type="expression" dxfId="5276" priority="452" stopIfTrue="1">
      <formula>E106=$B$122</formula>
    </cfRule>
    <cfRule type="expression" dxfId="5275" priority="453" stopIfTrue="1">
      <formula>E106=$B$121</formula>
    </cfRule>
    <cfRule type="expression" dxfId="5274" priority="454">
      <formula>E106=$B$120</formula>
    </cfRule>
    <cfRule type="expression" dxfId="5273" priority="455">
      <formula>E106=$B$117</formula>
    </cfRule>
    <cfRule type="expression" dxfId="5272" priority="456" stopIfTrue="1">
      <formula>E106=$B$115</formula>
    </cfRule>
    <cfRule type="expression" dxfId="5271" priority="457">
      <formula>E106=$B$114</formula>
    </cfRule>
    <cfRule type="expression" dxfId="5270" priority="458">
      <formula>E106=$B$113</formula>
    </cfRule>
    <cfRule type="expression" dxfId="5269" priority="459">
      <formula>E106=$B$112</formula>
    </cfRule>
    <cfRule type="expression" dxfId="5268" priority="460">
      <formula>E106=$B$110</formula>
    </cfRule>
    <cfRule type="expression" dxfId="5267" priority="461" stopIfTrue="1">
      <formula>E106=$B$111</formula>
    </cfRule>
    <cfRule type="expression" dxfId="5266" priority="462" stopIfTrue="1">
      <formula>E$5=TODAY()</formula>
    </cfRule>
  </conditionalFormatting>
  <conditionalFormatting sqref="E106">
    <cfRule type="expression" dxfId="5265" priority="382">
      <formula>E106=$B$130</formula>
    </cfRule>
    <cfRule type="expression" dxfId="5264" priority="383">
      <formula>E106=$B$128</formula>
    </cfRule>
    <cfRule type="expression" dxfId="5263" priority="384">
      <formula>E106=$B$124</formula>
    </cfRule>
    <cfRule type="expression" dxfId="5262" priority="385">
      <formula>E106=$B$119</formula>
    </cfRule>
    <cfRule type="expression" dxfId="5261" priority="386">
      <formula>E106=$B$116</formula>
    </cfRule>
    <cfRule type="expression" dxfId="5260" priority="387">
      <formula>E106=$B$113</formula>
    </cfRule>
    <cfRule type="expression" dxfId="5259" priority="388">
      <formula>E106=$B$116</formula>
    </cfRule>
    <cfRule type="expression" dxfId="5258" priority="389">
      <formula>E106=$B$146</formula>
    </cfRule>
    <cfRule type="expression" dxfId="5257" priority="390">
      <formula>E106=$B$118</formula>
    </cfRule>
    <cfRule type="expression" dxfId="5256" priority="391">
      <formula>E106=$B$146</formula>
    </cfRule>
    <cfRule type="expression" dxfId="5255" priority="392">
      <formula>E106=$B$145</formula>
    </cfRule>
    <cfRule type="expression" dxfId="5254" priority="393">
      <formula>E106=$B$144</formula>
    </cfRule>
    <cfRule type="expression" dxfId="5253" priority="394">
      <formula>E106=$B$143</formula>
    </cfRule>
    <cfRule type="expression" dxfId="5252" priority="395">
      <formula>E106=$B$142</formula>
    </cfRule>
    <cfRule type="expression" dxfId="5251" priority="396">
      <formula>E106=$B$141</formula>
    </cfRule>
    <cfRule type="expression" dxfId="5250" priority="397">
      <formula>E106=$B$140</formula>
    </cfRule>
    <cfRule type="expression" dxfId="5249" priority="398">
      <formula>E106=$B$139</formula>
    </cfRule>
    <cfRule type="expression" dxfId="5248" priority="399">
      <formula>E106=$B$135</formula>
    </cfRule>
    <cfRule type="expression" dxfId="5247" priority="400">
      <formula>E106=$B$134</formula>
    </cfRule>
    <cfRule type="expression" dxfId="5246" priority="401">
      <formula>E106=$B$133</formula>
    </cfRule>
    <cfRule type="expression" dxfId="5245" priority="402">
      <formula>E106=$B$132</formula>
    </cfRule>
    <cfRule type="expression" dxfId="5244" priority="403">
      <formula>E106=$B$131</formula>
    </cfRule>
    <cfRule type="expression" dxfId="5243" priority="404" stopIfTrue="1">
      <formula>E106=$B$130</formula>
    </cfRule>
    <cfRule type="expression" dxfId="5242" priority="405">
      <formula>E106=$B$129</formula>
    </cfRule>
    <cfRule type="expression" dxfId="5241" priority="406" stopIfTrue="1">
      <formula>E106=$B$128</formula>
    </cfRule>
    <cfRule type="expression" dxfId="5240" priority="407">
      <formula>E106=$B$127</formula>
    </cfRule>
    <cfRule type="expression" dxfId="5239" priority="408">
      <formula>E106=$B$126</formula>
    </cfRule>
    <cfRule type="expression" dxfId="5238" priority="409">
      <formula>E106=$B$125</formula>
    </cfRule>
    <cfRule type="expression" dxfId="5237" priority="410" stopIfTrue="1">
      <formula>E106=$B$123</formula>
    </cfRule>
    <cfRule type="expression" dxfId="5236" priority="411" stopIfTrue="1">
      <formula>E106=$B$122</formula>
    </cfRule>
    <cfRule type="expression" dxfId="5235" priority="412" stopIfTrue="1">
      <formula>E106=$B$121</formula>
    </cfRule>
    <cfRule type="expression" dxfId="5234" priority="413">
      <formula>E106=$B$120</formula>
    </cfRule>
    <cfRule type="expression" dxfId="5233" priority="414">
      <formula>E106=$B$117</formula>
    </cfRule>
    <cfRule type="expression" dxfId="5232" priority="415" stopIfTrue="1">
      <formula>E106=$B$115</formula>
    </cfRule>
    <cfRule type="expression" dxfId="5231" priority="416">
      <formula>E106=$B$114</formula>
    </cfRule>
    <cfRule type="expression" dxfId="5230" priority="417">
      <formula>E106=$B$113</formula>
    </cfRule>
    <cfRule type="expression" dxfId="5229" priority="418">
      <formula>E106=$B$112</formula>
    </cfRule>
    <cfRule type="expression" dxfId="5228" priority="419">
      <formula>E106=$B$110</formula>
    </cfRule>
    <cfRule type="expression" dxfId="5227" priority="420" stopIfTrue="1">
      <formula>E106=$B$111</formula>
    </cfRule>
    <cfRule type="expression" dxfId="5226" priority="421" stopIfTrue="1">
      <formula>E$5=TODAY()</formula>
    </cfRule>
  </conditionalFormatting>
  <conditionalFormatting sqref="E106">
    <cfRule type="expression" dxfId="5225" priority="381">
      <formula>E106=$B$145</formula>
    </cfRule>
  </conditionalFormatting>
  <conditionalFormatting sqref="E106">
    <cfRule type="expression" dxfId="5224" priority="378">
      <formula>E106=$B$137</formula>
    </cfRule>
    <cfRule type="expression" dxfId="5223" priority="379">
      <formula>E106=$B$138</formula>
    </cfRule>
    <cfRule type="expression" dxfId="5222" priority="380">
      <formula>E106=$B$136</formula>
    </cfRule>
  </conditionalFormatting>
  <conditionalFormatting sqref="H98">
    <cfRule type="expression" dxfId="5221" priority="296">
      <formula>H98=$B$145</formula>
    </cfRule>
  </conditionalFormatting>
  <conditionalFormatting sqref="H58:I58">
    <cfRule type="expression" dxfId="5220" priority="255">
      <formula>H58=$B$145</formula>
    </cfRule>
  </conditionalFormatting>
  <conditionalFormatting sqref="H58:I58">
    <cfRule type="expression" dxfId="5219" priority="252">
      <formula>H58=$B$137</formula>
    </cfRule>
    <cfRule type="expression" dxfId="5218" priority="253">
      <formula>H58=$B$138</formula>
    </cfRule>
    <cfRule type="expression" dxfId="5217" priority="254">
      <formula>H58=$B$136</formula>
    </cfRule>
  </conditionalFormatting>
  <conditionalFormatting sqref="C88">
    <cfRule type="expression" dxfId="5216" priority="127">
      <formula>C88=$B$116</formula>
    </cfRule>
  </conditionalFormatting>
  <conditionalFormatting sqref="C88">
    <cfRule type="expression" dxfId="5215" priority="128">
      <formula>C88=$B$111</formula>
    </cfRule>
  </conditionalFormatting>
  <conditionalFormatting sqref="C34:I34">
    <cfRule type="expression" dxfId="5214" priority="84">
      <formula>C34=$B$116</formula>
    </cfRule>
  </conditionalFormatting>
  <conditionalFormatting sqref="C34:I34">
    <cfRule type="expression" dxfId="5213" priority="85">
      <formula>C34=$B$111</formula>
    </cfRule>
  </conditionalFormatting>
  <conditionalFormatting sqref="I80">
    <cfRule type="expression" dxfId="5212" priority="43">
      <formula>I80=$B$145</formula>
    </cfRule>
    <cfRule type="expression" dxfId="5211" priority="44">
      <formula>I80=$B$130</formula>
    </cfRule>
    <cfRule type="expression" dxfId="5210" priority="45">
      <formula>I80=$B$128</formula>
    </cfRule>
    <cfRule type="expression" dxfId="5209" priority="46">
      <formula>I80=$B$124</formula>
    </cfRule>
    <cfRule type="expression" dxfId="5208" priority="47">
      <formula>I80=$B$119</formula>
    </cfRule>
    <cfRule type="expression" dxfId="5207" priority="48">
      <formula>I80=$B$116</formula>
    </cfRule>
    <cfRule type="expression" dxfId="5206" priority="49">
      <formula>I80=$B$113</formula>
    </cfRule>
    <cfRule type="expression" dxfId="5205" priority="50">
      <formula>I80=$B$116</formula>
    </cfRule>
    <cfRule type="expression" dxfId="5204" priority="51">
      <formula>I80=$B$146</formula>
    </cfRule>
    <cfRule type="expression" dxfId="5203" priority="52">
      <formula>I80=$B$118</formula>
    </cfRule>
    <cfRule type="expression" dxfId="5202" priority="53">
      <formula>I80=$B$146</formula>
    </cfRule>
    <cfRule type="expression" dxfId="5201" priority="54">
      <formula>I80=$B$145</formula>
    </cfRule>
    <cfRule type="expression" dxfId="5200" priority="55">
      <formula>I80=$B$144</formula>
    </cfRule>
    <cfRule type="expression" dxfId="5199" priority="56">
      <formula>I80=$B$143</formula>
    </cfRule>
    <cfRule type="expression" dxfId="5198" priority="57">
      <formula>I80=$B$142</formula>
    </cfRule>
    <cfRule type="expression" dxfId="5197" priority="58">
      <formula>I80=$B$141</formula>
    </cfRule>
    <cfRule type="expression" dxfId="5196" priority="59">
      <formula>I80=$B$140</formula>
    </cfRule>
    <cfRule type="expression" dxfId="5195" priority="60">
      <formula>I80=$B$139</formula>
    </cfRule>
    <cfRule type="expression" dxfId="5194" priority="61">
      <formula>I80=$B$135</formula>
    </cfRule>
    <cfRule type="expression" dxfId="5193" priority="62">
      <formula>I80=$B$134</formula>
    </cfRule>
    <cfRule type="expression" dxfId="5192" priority="63">
      <formula>I80=$B$133</formula>
    </cfRule>
    <cfRule type="expression" dxfId="5191" priority="64">
      <formula>I80=$B$132</formula>
    </cfRule>
    <cfRule type="expression" dxfId="5190" priority="65">
      <formula>I80=$B$131</formula>
    </cfRule>
    <cfRule type="expression" dxfId="5189" priority="66" stopIfTrue="1">
      <formula>I80=$B$130</formula>
    </cfRule>
    <cfRule type="expression" dxfId="5188" priority="67">
      <formula>I80=$B$129</formula>
    </cfRule>
    <cfRule type="expression" dxfId="5187" priority="68" stopIfTrue="1">
      <formula>I80=$B$128</formula>
    </cfRule>
    <cfRule type="expression" dxfId="5186" priority="69">
      <formula>I80=$B$127</formula>
    </cfRule>
    <cfRule type="expression" dxfId="5185" priority="70">
      <formula>I80=$B$126</formula>
    </cfRule>
    <cfRule type="expression" dxfId="5184" priority="71">
      <formula>I80=$B$125</formula>
    </cfRule>
    <cfRule type="expression" dxfId="5183" priority="72" stopIfTrue="1">
      <formula>I80=$B$123</formula>
    </cfRule>
    <cfRule type="expression" dxfId="5182" priority="73" stopIfTrue="1">
      <formula>I80=$B$122</formula>
    </cfRule>
    <cfRule type="expression" dxfId="5181" priority="74" stopIfTrue="1">
      <formula>I80=$B$121</formula>
    </cfRule>
    <cfRule type="expression" dxfId="5180" priority="75">
      <formula>I80=$B$120</formula>
    </cfRule>
    <cfRule type="expression" dxfId="5179" priority="76">
      <formula>I80=$B$117</formula>
    </cfRule>
    <cfRule type="expression" dxfId="5178" priority="77" stopIfTrue="1">
      <formula>I80=$B$115</formula>
    </cfRule>
    <cfRule type="expression" dxfId="5177" priority="78">
      <formula>I80=$B$114</formula>
    </cfRule>
    <cfRule type="expression" dxfId="5176" priority="79">
      <formula>I80=$B$113</formula>
    </cfRule>
    <cfRule type="expression" dxfId="5175" priority="80">
      <formula>I80=$B$112</formula>
    </cfRule>
    <cfRule type="expression" dxfId="5174" priority="81">
      <formula>I80=$B$110</formula>
    </cfRule>
    <cfRule type="expression" dxfId="5173" priority="82" stopIfTrue="1">
      <formula>I80=$B$111</formula>
    </cfRule>
    <cfRule type="expression" dxfId="5172" priority="83" stopIfTrue="1">
      <formula>I$5=TODAY()</formula>
    </cfRule>
  </conditionalFormatting>
  <conditionalFormatting sqref="G98">
    <cfRule type="expression" dxfId="5171" priority="2">
      <formula>G98=$B$145</formula>
    </cfRule>
    <cfRule type="expression" dxfId="5170" priority="3">
      <formula>G98=$B$130</formula>
    </cfRule>
    <cfRule type="expression" dxfId="5169" priority="4">
      <formula>G98=$B$128</formula>
    </cfRule>
    <cfRule type="expression" dxfId="5168" priority="5">
      <formula>G98=$B$124</formula>
    </cfRule>
    <cfRule type="expression" dxfId="5167" priority="6">
      <formula>G98=$B$119</formula>
    </cfRule>
    <cfRule type="expression" dxfId="5166" priority="7">
      <formula>G98=$B$116</formula>
    </cfRule>
    <cfRule type="expression" dxfId="5165" priority="8">
      <formula>G98=$B$113</formula>
    </cfRule>
    <cfRule type="expression" dxfId="5164" priority="9">
      <formula>G98=$B$116</formula>
    </cfRule>
    <cfRule type="expression" dxfId="5163" priority="10">
      <formula>G98=$B$146</formula>
    </cfRule>
    <cfRule type="expression" dxfId="5162" priority="11">
      <formula>G98=$B$118</formula>
    </cfRule>
    <cfRule type="expression" dxfId="5161" priority="12">
      <formula>G98=$B$146</formula>
    </cfRule>
    <cfRule type="expression" dxfId="5160" priority="13">
      <formula>G98=$B$145</formula>
    </cfRule>
    <cfRule type="expression" dxfId="5159" priority="14">
      <formula>G98=$B$144</formula>
    </cfRule>
    <cfRule type="expression" dxfId="5158" priority="15">
      <formula>G98=$B$143</formula>
    </cfRule>
    <cfRule type="expression" dxfId="5157" priority="16">
      <formula>G98=$B$142</formula>
    </cfRule>
    <cfRule type="expression" dxfId="5156" priority="17">
      <formula>G98=$B$141</formula>
    </cfRule>
    <cfRule type="expression" dxfId="5155" priority="18">
      <formula>G98=$B$140</formula>
    </cfRule>
    <cfRule type="expression" dxfId="5154" priority="19">
      <formula>G98=$B$139</formula>
    </cfRule>
    <cfRule type="expression" dxfId="5153" priority="20">
      <formula>G98=$B$135</formula>
    </cfRule>
    <cfRule type="expression" dxfId="5152" priority="21">
      <formula>G98=$B$134</formula>
    </cfRule>
    <cfRule type="expression" dxfId="5151" priority="22">
      <formula>G98=$B$133</formula>
    </cfRule>
    <cfRule type="expression" dxfId="5150" priority="23">
      <formula>G98=$B$132</formula>
    </cfRule>
    <cfRule type="expression" dxfId="5149" priority="24">
      <formula>G98=$B$131</formula>
    </cfRule>
    <cfRule type="expression" dxfId="5148" priority="25" stopIfTrue="1">
      <formula>G98=$B$130</formula>
    </cfRule>
    <cfRule type="expression" dxfId="5147" priority="26">
      <formula>G98=$B$129</formula>
    </cfRule>
    <cfRule type="expression" dxfId="5146" priority="27" stopIfTrue="1">
      <formula>G98=$B$128</formula>
    </cfRule>
    <cfRule type="expression" dxfId="5145" priority="28">
      <formula>G98=$B$127</formula>
    </cfRule>
    <cfRule type="expression" dxfId="5144" priority="29">
      <formula>G98=$B$126</formula>
    </cfRule>
    <cfRule type="expression" dxfId="5143" priority="30">
      <formula>G98=$B$125</formula>
    </cfRule>
    <cfRule type="expression" dxfId="5142" priority="31" stopIfTrue="1">
      <formula>G98=$B$123</formula>
    </cfRule>
    <cfRule type="expression" dxfId="5141" priority="32" stopIfTrue="1">
      <formula>G98=$B$122</formula>
    </cfRule>
    <cfRule type="expression" dxfId="5140" priority="33" stopIfTrue="1">
      <formula>G98=$B$121</formula>
    </cfRule>
    <cfRule type="expression" dxfId="5139" priority="34">
      <formula>G98=$B$120</formula>
    </cfRule>
    <cfRule type="expression" dxfId="5138" priority="35">
      <formula>G98=$B$117</formula>
    </cfRule>
    <cfRule type="expression" dxfId="5137" priority="36" stopIfTrue="1">
      <formula>G98=$B$115</formula>
    </cfRule>
    <cfRule type="expression" dxfId="5136" priority="37">
      <formula>G98=$B$114</formula>
    </cfRule>
    <cfRule type="expression" dxfId="5135" priority="38">
      <formula>G98=$B$113</formula>
    </cfRule>
    <cfRule type="expression" dxfId="5134" priority="39">
      <formula>G98=$B$112</formula>
    </cfRule>
    <cfRule type="expression" dxfId="5133" priority="40">
      <formula>G98=$B$110</formula>
    </cfRule>
    <cfRule type="expression" dxfId="5132" priority="41" stopIfTrue="1">
      <formula>G98=$B$111</formula>
    </cfRule>
    <cfRule type="expression" dxfId="5131" priority="42" stopIfTrue="1">
      <formula>G$5=TODAY()</formula>
    </cfRule>
  </conditionalFormatting>
  <conditionalFormatting sqref="G98">
    <cfRule type="expression" dxfId="5130" priority="1">
      <formula>G98=$B$145</formula>
    </cfRule>
  </conditionalFormatting>
  <dataValidations count="1">
    <dataValidation type="list" allowBlank="1" showInputMessage="1" showErrorMessage="1" sqref="C44:I44 C58:I58 C24:I24 C62:I62 C94:I94 C88:I88 C100:I100 C40:I40 C36:I36 C86:I86 H104:I104 C28:I28 C38:I38 G96:I96 C72:I72 C98:I98 C42:I42 C56:I56 C80:I80 C46:I46 C52:I52 C64:I64 C60:I60 C22:I22 C84:I84 C92:I92 C78:I78 C30:I30 C68:I68 C20:I20 C6:I6 C82:I82 C66:I66 C32:I32 C104:F104 C90:I90 C50:I50 C74:I74 C54:I54 C48:I48 C76:I76 C70:I70 C106:I106 C34:I34 C16:I16 C10:I10 C14:I14 C18:I18 C8:I8 C12:I12 C96:E96 C102:I102 C26:I26" xr:uid="{00000000-0002-0000-0200-000000000000}">
      <formula1>Actions</formula1>
    </dataValidation>
  </dataValidations>
  <pageMargins left="0.7" right="0.7" top="0.75" bottom="0.75" header="0.3" footer="0.3"/>
  <pageSetup paperSize="9" scale="44" orientation="portrait" r:id="rId1"/>
  <colBreaks count="1" manualBreakCount="1">
    <brk id="1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3"/>
  <dimension ref="A1:L147"/>
  <sheetViews>
    <sheetView zoomScale="140" zoomScaleNormal="140" zoomScalePageLayoutView="125" workbookViewId="0">
      <pane ySplit="5" topLeftCell="A71" activePane="bottomLeft" state="frozen"/>
      <selection pane="bottomLeft" activeCell="D61" sqref="D61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COUNTIF(C6:C107,$B$127)+COUNTIF(C6:C107,$B$128)+COUNTIF(C6:C107,$B$129)+COUNTIF(C6:C107,$B$130)</f>
        <v>8</v>
      </c>
      <c r="D1" s="22">
        <f t="shared" si="0"/>
        <v>8</v>
      </c>
      <c r="E1" s="22">
        <f t="shared" si="0"/>
        <v>7</v>
      </c>
      <c r="F1" s="22">
        <f t="shared" si="0"/>
        <v>7</v>
      </c>
      <c r="G1" s="22">
        <f t="shared" si="0"/>
        <v>7</v>
      </c>
      <c r="H1" s="22">
        <f t="shared" si="0"/>
        <v>0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184"/>
      <c r="D2" s="184"/>
      <c r="E2" s="184"/>
      <c r="F2" s="184"/>
      <c r="G2" s="184"/>
      <c r="H2" s="184"/>
      <c r="I2" s="184"/>
      <c r="J2" s="21"/>
      <c r="K2" s="21"/>
      <c r="L2" s="23"/>
    </row>
    <row r="3" spans="1:12" s="24" customFormat="1" hidden="1" x14ac:dyDescent="0.2">
      <c r="A3" s="21"/>
      <c r="B3" s="26">
        <v>43122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157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43122</v>
      </c>
      <c r="D5" s="33">
        <f t="shared" ref="D5:I5" si="1">C5+1</f>
        <v>43123</v>
      </c>
      <c r="E5" s="33">
        <f t="shared" si="1"/>
        <v>43124</v>
      </c>
      <c r="F5" s="33">
        <f t="shared" si="1"/>
        <v>43125</v>
      </c>
      <c r="G5" s="33">
        <f t="shared" si="1"/>
        <v>43126</v>
      </c>
      <c r="H5" s="33">
        <f t="shared" si="1"/>
        <v>43127</v>
      </c>
      <c r="I5" s="33">
        <f t="shared" si="1"/>
        <v>43128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7-(COUNTIF(C6:I6,"")+COUNTIF(C6:I6,$B$144))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IF(ISBLANK(C6),"",VLOOKUP(C6,$B$110:$L$146,11,0))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7-(COUNTIF(C8:I8,"")+COUNTIF(C8:I8,$B$144))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IF(ISBLANK(C8),"",VLOOKUP(C8,$B$110:$L$146,11,0))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7-(COUNTIF(C10:I10,"")+COUNTIF(C10:I10,$B$144))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IF(ISBLANK(C10),"",VLOOKUP(C10,$B$110:$L$146,11,0))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7-(COUNTIF(C12:I12,"")+COUNTIF(C12:I12,$B$144))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IF(ISBLANK(C12),"",VLOOKUP(C12,$B$110:$L$146,11,0))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7-(COUNTIF(C14:I14,"")+COUNTIF(C14:I14,$B$144))</f>
        <v>5</v>
      </c>
      <c r="B14" s="178" t="s">
        <v>5</v>
      </c>
      <c r="C14" s="35" t="s">
        <v>87</v>
      </c>
      <c r="D14" s="35" t="s">
        <v>87</v>
      </c>
      <c r="E14" s="35" t="s">
        <v>99</v>
      </c>
      <c r="F14" s="35" t="s">
        <v>99</v>
      </c>
      <c r="G14" s="35" t="s">
        <v>99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IF(ISBLANK(C14),"",VLOOKUP(C14,$B$110:$L$146,11,0))</f>
        <v>08H00-16H30</v>
      </c>
      <c r="D15" s="37" t="str">
        <f t="shared" si="6"/>
        <v>08H00-16H30</v>
      </c>
      <c r="E15" s="37">
        <f t="shared" si="6"/>
        <v>0</v>
      </c>
      <c r="F15" s="37">
        <f t="shared" si="6"/>
        <v>0</v>
      </c>
      <c r="G15" s="37">
        <f t="shared" si="6"/>
        <v>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7-(COUNTIF(C16:I16,"")+COUNTIF(C16:I16,$B$144))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IF(ISBLANK(C16),"",VLOOKUP(C16,$B$110:$L$146,11,0))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7-(COUNTIF(C18:I18,"")+COUNTIF(C18:I18,$B$144))</f>
        <v>5</v>
      </c>
      <c r="B18" s="186" t="s">
        <v>7</v>
      </c>
      <c r="C18" s="38" t="s">
        <v>89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IF(ISBLANK(C18),"",VLOOKUP(C18,$B$110:$L$146,11,0))</f>
        <v>18H00-22H00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7-(COUNTIF(C20:I20,"")+COUNTIF(C20:I20,$B$144))</f>
        <v>4</v>
      </c>
      <c r="B20" s="178" t="s">
        <v>111</v>
      </c>
      <c r="C20" s="36" t="s">
        <v>93</v>
      </c>
      <c r="D20" s="36"/>
      <c r="E20" s="36"/>
      <c r="F20" s="36" t="s">
        <v>137</v>
      </c>
      <c r="G20" s="36"/>
      <c r="H20" s="36" t="s">
        <v>154</v>
      </c>
      <c r="I20" s="36" t="s">
        <v>83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IF(ISBLANK(C20),"",VLOOKUP(C20,$B$110:$L$146,11,0))</f>
        <v>06H00-14H30</v>
      </c>
      <c r="D21" s="37" t="str">
        <f t="shared" si="9"/>
        <v/>
      </c>
      <c r="E21" s="37" t="str">
        <f t="shared" si="9"/>
        <v/>
      </c>
      <c r="F21" s="37" t="str">
        <f t="shared" si="9"/>
        <v>06H00-14H30</v>
      </c>
      <c r="G21" s="37" t="str">
        <f t="shared" si="9"/>
        <v/>
      </c>
      <c r="H21" s="37" t="str">
        <f t="shared" si="9"/>
        <v>13H00-21H30</v>
      </c>
      <c r="I21" s="37" t="str">
        <f t="shared" si="9"/>
        <v>09H00-17H30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7-(COUNTIF(C22:I22,"")+COUNTIF(C22:I22,$B$144))</f>
        <v>5</v>
      </c>
      <c r="B22" s="193" t="s">
        <v>3</v>
      </c>
      <c r="C22" s="38"/>
      <c r="D22" s="38" t="s">
        <v>139</v>
      </c>
      <c r="E22" s="38" t="s">
        <v>149</v>
      </c>
      <c r="F22" s="38"/>
      <c r="G22" s="36" t="s">
        <v>137</v>
      </c>
      <c r="H22" s="36" t="s">
        <v>92</v>
      </c>
      <c r="I22" s="36" t="s">
        <v>84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IF(ISBLANK(C22),"",VLOOKUP(C22,$B$110:$L$146,11,0))</f>
        <v/>
      </c>
      <c r="D23" s="37" t="str">
        <f t="shared" si="10"/>
        <v>14H00-22H30</v>
      </c>
      <c r="E23" s="37" t="str">
        <f t="shared" si="10"/>
        <v>09H00-17H30</v>
      </c>
      <c r="F23" s="37" t="str">
        <f t="shared" si="10"/>
        <v/>
      </c>
      <c r="G23" s="37" t="str">
        <f t="shared" si="10"/>
        <v>06H00-14H30</v>
      </c>
      <c r="H23" s="37" t="str">
        <f t="shared" si="10"/>
        <v>10H00-18H30</v>
      </c>
      <c r="I23" s="37" t="str">
        <f t="shared" si="10"/>
        <v>13H30-22H00</v>
      </c>
      <c r="J23" s="181"/>
      <c r="K23" s="139"/>
    </row>
    <row r="24" spans="1:12" s="39" customFormat="1" ht="13" customHeight="1" thickTop="1" x14ac:dyDescent="0.2">
      <c r="A24" s="21">
        <f>7-(COUNTIF(C24:I24,"")+COUNTIF(C24:I24,$B$144))</f>
        <v>4</v>
      </c>
      <c r="B24" s="195" t="s">
        <v>8</v>
      </c>
      <c r="C24" s="36" t="s">
        <v>40</v>
      </c>
      <c r="D24" s="36" t="s">
        <v>40</v>
      </c>
      <c r="E24" s="36" t="s">
        <v>40</v>
      </c>
      <c r="F24" s="36" t="s">
        <v>40</v>
      </c>
      <c r="G24" s="36" t="s">
        <v>95</v>
      </c>
      <c r="H24" s="36" t="s">
        <v>95</v>
      </c>
      <c r="I24" s="36" t="s">
        <v>95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>
        <f t="shared" ref="C25:I25" si="11">IF(ISBLANK(C24),"",VLOOKUP(C24,$B$110:$L$146,11,0))</f>
        <v>0</v>
      </c>
      <c r="D25" s="37">
        <f t="shared" si="11"/>
        <v>0</v>
      </c>
      <c r="E25" s="37">
        <f t="shared" si="11"/>
        <v>0</v>
      </c>
      <c r="F25" s="37">
        <f t="shared" si="11"/>
        <v>0</v>
      </c>
      <c r="G25" s="37">
        <f t="shared" si="11"/>
        <v>0</v>
      </c>
      <c r="H25" s="37">
        <f t="shared" si="11"/>
        <v>0</v>
      </c>
      <c r="I25" s="37">
        <f t="shared" si="11"/>
        <v>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7-(COUNTIF(C26:I26,"")+COUNTIF(C26:I26,$B$144))</f>
        <v>5</v>
      </c>
      <c r="B26" s="178" t="s">
        <v>9</v>
      </c>
      <c r="C26" s="36" t="s">
        <v>95</v>
      </c>
      <c r="D26" s="36" t="s">
        <v>79</v>
      </c>
      <c r="E26" s="36" t="s">
        <v>80</v>
      </c>
      <c r="F26" s="36" t="s">
        <v>84</v>
      </c>
      <c r="G26" s="36"/>
      <c r="H26" s="36" t="s">
        <v>85</v>
      </c>
      <c r="I26" s="36" t="s">
        <v>149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>
        <f t="shared" ref="C27:I27" si="12">IF(ISBLANK(C26),"",VLOOKUP(C26,$B$110:$L$146,11,0))</f>
        <v>0</v>
      </c>
      <c r="D27" s="37" t="str">
        <f t="shared" si="12"/>
        <v>09H00-17H30</v>
      </c>
      <c r="E27" s="37" t="str">
        <f t="shared" si="12"/>
        <v>06H00-14H30</v>
      </c>
      <c r="F27" s="37" t="str">
        <f t="shared" si="12"/>
        <v>13H30-22H00</v>
      </c>
      <c r="G27" s="37" t="str">
        <f t="shared" si="12"/>
        <v/>
      </c>
      <c r="H27" s="37" t="str">
        <f t="shared" si="12"/>
        <v>14H30-23H00</v>
      </c>
      <c r="I27" s="37" t="str">
        <f t="shared" si="12"/>
        <v>09H00-17H30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7-(COUNTIF(C28:I28,"")+COUNTIF(C28:I28,$B$144))</f>
        <v>4</v>
      </c>
      <c r="B28" s="178" t="s">
        <v>10</v>
      </c>
      <c r="C28" s="36" t="s">
        <v>91</v>
      </c>
      <c r="D28" s="36" t="s">
        <v>82</v>
      </c>
      <c r="E28" s="36"/>
      <c r="F28" s="36"/>
      <c r="G28" s="36" t="s">
        <v>81</v>
      </c>
      <c r="H28" s="36"/>
      <c r="I28" s="36" t="s">
        <v>31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IF(ISBLANK(C28),"",VLOOKUP(C28,$B$110:$L$146,11,0))</f>
        <v>06H00-14H30</v>
      </c>
      <c r="D29" s="37" t="str">
        <f t="shared" si="13"/>
        <v>06H00-14H30</v>
      </c>
      <c r="E29" s="37" t="str">
        <f t="shared" si="13"/>
        <v/>
      </c>
      <c r="F29" s="37" t="str">
        <f t="shared" si="13"/>
        <v/>
      </c>
      <c r="G29" s="37" t="str">
        <f t="shared" si="13"/>
        <v>14H30-23H00</v>
      </c>
      <c r="H29" s="37" t="str">
        <f t="shared" si="13"/>
        <v/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7-(COUNTIF(C30:I30,"")+COUNTIF(C30:I30,$B$144))</f>
        <v>5</v>
      </c>
      <c r="B30" s="178" t="s">
        <v>11</v>
      </c>
      <c r="C30" s="36" t="s">
        <v>110</v>
      </c>
      <c r="D30" s="36" t="s">
        <v>138</v>
      </c>
      <c r="E30" s="36"/>
      <c r="F30" s="36"/>
      <c r="G30" s="36" t="s">
        <v>79</v>
      </c>
      <c r="H30" s="36" t="s">
        <v>31</v>
      </c>
      <c r="I30" s="36" t="s">
        <v>110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IF(ISBLANK(C30),"",VLOOKUP(C30,$B$110:$L$146,11,0))</f>
        <v>21H45-06H15</v>
      </c>
      <c r="D31" s="37" t="str">
        <f t="shared" si="14"/>
        <v>22H00-06H30</v>
      </c>
      <c r="E31" s="37" t="str">
        <f t="shared" si="14"/>
        <v/>
      </c>
      <c r="F31" s="37" t="str">
        <f t="shared" si="14"/>
        <v/>
      </c>
      <c r="G31" s="37" t="str">
        <f t="shared" si="14"/>
        <v>09H00-17H30</v>
      </c>
      <c r="H31" s="37" t="str">
        <f t="shared" si="14"/>
        <v>06H00-14H30</v>
      </c>
      <c r="I31" s="37" t="str">
        <f t="shared" si="14"/>
        <v>21H45-06H15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7-(COUNTIF(C32:I32,"")+COUNTIF(C32:I32,$B$144))</f>
        <v>5</v>
      </c>
      <c r="B32" s="201" t="s">
        <v>12</v>
      </c>
      <c r="C32" s="36" t="s">
        <v>40</v>
      </c>
      <c r="D32" s="36" t="s">
        <v>40</v>
      </c>
      <c r="E32" s="36" t="s">
        <v>40</v>
      </c>
      <c r="F32" s="36" t="s">
        <v>40</v>
      </c>
      <c r="G32" s="36" t="s">
        <v>40</v>
      </c>
      <c r="H32" s="36" t="s">
        <v>95</v>
      </c>
      <c r="I32" s="36" t="s">
        <v>95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>
        <f t="shared" ref="C33:I33" si="15">IF(ISBLANK(C32),"",VLOOKUP(C32,$B$110:$L$146,11,0))</f>
        <v>0</v>
      </c>
      <c r="D33" s="37">
        <f t="shared" si="15"/>
        <v>0</v>
      </c>
      <c r="E33" s="37">
        <f t="shared" si="15"/>
        <v>0</v>
      </c>
      <c r="F33" s="37">
        <f t="shared" si="15"/>
        <v>0</v>
      </c>
      <c r="G33" s="37">
        <f t="shared" si="15"/>
        <v>0</v>
      </c>
      <c r="H33" s="37">
        <f t="shared" si="15"/>
        <v>0</v>
      </c>
      <c r="I33" s="37">
        <f t="shared" si="15"/>
        <v>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7-(COUNTIF(C34:I34,"")+COUNTIF(C34:I34,$B$144))</f>
        <v>3</v>
      </c>
      <c r="B34" s="197" t="s">
        <v>13</v>
      </c>
      <c r="C34" s="36" t="s">
        <v>152</v>
      </c>
      <c r="D34" s="36"/>
      <c r="E34" s="36" t="s">
        <v>154</v>
      </c>
      <c r="F34" s="36"/>
      <c r="G34" s="36"/>
      <c r="H34" s="36" t="s">
        <v>137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8"/>
      <c r="C35" s="37" t="str">
        <f t="shared" ref="C35:I35" si="16">IF(ISBLANK(C34),"",VLOOKUP(C34,$B$110:$L$146,11,0))</f>
        <v>08H30-17H00</v>
      </c>
      <c r="D35" s="37" t="str">
        <f t="shared" si="16"/>
        <v/>
      </c>
      <c r="E35" s="37" t="str">
        <f t="shared" si="16"/>
        <v>13H00-21H30</v>
      </c>
      <c r="F35" s="37" t="str">
        <f t="shared" si="16"/>
        <v/>
      </c>
      <c r="G35" s="37" t="str">
        <f t="shared" si="16"/>
        <v/>
      </c>
      <c r="H35" s="37" t="str">
        <f t="shared" si="16"/>
        <v>06H00-14H30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7-(COUNTIF(C36:I36,"")+COUNTIF(C36:I36,$B$144))</f>
        <v>5</v>
      </c>
      <c r="B36" s="199" t="s">
        <v>43</v>
      </c>
      <c r="C36" s="36" t="s">
        <v>31</v>
      </c>
      <c r="D36" s="36" t="s">
        <v>84</v>
      </c>
      <c r="E36" s="36" t="s">
        <v>150</v>
      </c>
      <c r="F36" s="36" t="s">
        <v>80</v>
      </c>
      <c r="G36" s="36" t="s">
        <v>123</v>
      </c>
      <c r="H36" s="36" t="s">
        <v>95</v>
      </c>
      <c r="I36" s="36" t="s">
        <v>95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 t="str">
        <f t="shared" ref="C37:I37" si="17">IF(ISBLANK(C36),"",VLOOKUP(C36,$B$110:$L$146,11,0))</f>
        <v>06H00-14H30</v>
      </c>
      <c r="D37" s="37" t="str">
        <f t="shared" si="17"/>
        <v>13H30-22H00</v>
      </c>
      <c r="E37" s="37" t="str">
        <f t="shared" si="17"/>
        <v>09H00-17H30</v>
      </c>
      <c r="F37" s="37" t="str">
        <f t="shared" si="17"/>
        <v>06H00-14H30</v>
      </c>
      <c r="G37" s="37" t="str">
        <f t="shared" si="17"/>
        <v>14H30-23H00</v>
      </c>
      <c r="H37" s="37">
        <f t="shared" si="17"/>
        <v>0</v>
      </c>
      <c r="I37" s="37">
        <f t="shared" si="17"/>
        <v>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7-(COUNTIF(C38:I38,"")+COUNTIF(C38:I38,$B$144))</f>
        <v>4</v>
      </c>
      <c r="B38" s="178" t="s">
        <v>14</v>
      </c>
      <c r="C38" s="36"/>
      <c r="D38" s="35" t="s">
        <v>93</v>
      </c>
      <c r="E38" s="36" t="s">
        <v>85</v>
      </c>
      <c r="F38" s="36"/>
      <c r="G38" s="36" t="s">
        <v>150</v>
      </c>
      <c r="H38" s="36" t="s">
        <v>82</v>
      </c>
      <c r="I38" s="36"/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IF(ISBLANK(C38),"",VLOOKUP(C38,$B$110:$L$146,11,0))</f>
        <v/>
      </c>
      <c r="D39" s="37" t="str">
        <f t="shared" si="18"/>
        <v>06H00-14H30</v>
      </c>
      <c r="E39" s="37" t="str">
        <f t="shared" si="18"/>
        <v>14H30-23H00</v>
      </c>
      <c r="F39" s="37" t="str">
        <f t="shared" si="18"/>
        <v/>
      </c>
      <c r="G39" s="37" t="str">
        <f t="shared" si="18"/>
        <v>09H00-17H30</v>
      </c>
      <c r="H39" s="37" t="str">
        <f t="shared" si="18"/>
        <v>06H00-14H30</v>
      </c>
      <c r="I39" s="37" t="str">
        <f t="shared" si="18"/>
        <v/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7-(COUNTIF(C40:I40,"")+COUNTIF(C40:I40,$B$144))</f>
        <v>5</v>
      </c>
      <c r="B40" s="201" t="s">
        <v>15</v>
      </c>
      <c r="C40" s="38" t="s">
        <v>138</v>
      </c>
      <c r="D40" s="38"/>
      <c r="E40" s="38" t="s">
        <v>79</v>
      </c>
      <c r="F40" s="38" t="s">
        <v>152</v>
      </c>
      <c r="G40" s="38" t="s">
        <v>110</v>
      </c>
      <c r="H40" s="38"/>
      <c r="I40" s="38" t="s">
        <v>138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IF(ISBLANK(C40),"",VLOOKUP(C40,$B$110:$L$146,11,0))</f>
        <v>22H00-06H30</v>
      </c>
      <c r="D41" s="37" t="str">
        <f t="shared" si="19"/>
        <v/>
      </c>
      <c r="E41" s="37" t="str">
        <f t="shared" si="19"/>
        <v>09H00-17H30</v>
      </c>
      <c r="F41" s="37" t="str">
        <f t="shared" si="19"/>
        <v>08H30-17H00</v>
      </c>
      <c r="G41" s="37" t="str">
        <f t="shared" si="19"/>
        <v>21H45-06H15</v>
      </c>
      <c r="H41" s="37" t="str">
        <f t="shared" si="19"/>
        <v/>
      </c>
      <c r="I41" s="37" t="str">
        <f t="shared" si="19"/>
        <v>22H00-06H30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7-(COUNTIF(C42:I42,"")+COUNTIF(C42:I42,$B$144))</f>
        <v>5</v>
      </c>
      <c r="B42" s="186" t="s">
        <v>119</v>
      </c>
      <c r="C42" s="38" t="s">
        <v>149</v>
      </c>
      <c r="D42" s="38" t="s">
        <v>150</v>
      </c>
      <c r="E42" s="36" t="s">
        <v>110</v>
      </c>
      <c r="F42" s="38"/>
      <c r="G42" s="36" t="s">
        <v>138</v>
      </c>
      <c r="H42" s="36" t="s">
        <v>110</v>
      </c>
      <c r="I42" s="36"/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IF(ISBLANK(C42),"",VLOOKUP(C42,$B$110:$L$146,11,0))</f>
        <v>09H00-17H30</v>
      </c>
      <c r="D43" s="43" t="str">
        <f t="shared" si="20"/>
        <v>09H00-17H30</v>
      </c>
      <c r="E43" s="43" t="str">
        <f t="shared" si="20"/>
        <v>21H45-06H15</v>
      </c>
      <c r="F43" s="43" t="str">
        <f t="shared" si="20"/>
        <v/>
      </c>
      <c r="G43" s="43" t="str">
        <f t="shared" si="20"/>
        <v>22H00-06H30</v>
      </c>
      <c r="H43" s="43" t="str">
        <f t="shared" si="20"/>
        <v>21H45-06H15</v>
      </c>
      <c r="I43" s="43" t="str">
        <f t="shared" si="20"/>
        <v/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7-(COUNTIF(C44:I44,"")+COUNTIF(C44:I44,$B$144))</f>
        <v>5</v>
      </c>
      <c r="B44" s="178" t="s">
        <v>16</v>
      </c>
      <c r="C44" s="36" t="s">
        <v>150</v>
      </c>
      <c r="D44" s="36" t="s">
        <v>123</v>
      </c>
      <c r="E44" s="36"/>
      <c r="F44" s="36" t="s">
        <v>149</v>
      </c>
      <c r="G44" s="36" t="s">
        <v>84</v>
      </c>
      <c r="H44" s="36"/>
      <c r="I44" s="36" t="s">
        <v>137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IF(ISBLANK(C44),"",VLOOKUP(C44,$B$110:$L$146,11,0))</f>
        <v>09H00-17H30</v>
      </c>
      <c r="D45" s="37" t="str">
        <f t="shared" si="21"/>
        <v>14H30-23H00</v>
      </c>
      <c r="E45" s="37" t="str">
        <f t="shared" si="21"/>
        <v/>
      </c>
      <c r="F45" s="37" t="str">
        <f t="shared" si="21"/>
        <v>09H00-17H30</v>
      </c>
      <c r="G45" s="37" t="str">
        <f t="shared" si="21"/>
        <v>13H30-22H00</v>
      </c>
      <c r="H45" s="37" t="str">
        <f t="shared" si="21"/>
        <v/>
      </c>
      <c r="I45" s="37" t="str">
        <f t="shared" si="21"/>
        <v>06H00-14H30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7-(COUNTIF(C46:I46,"")+COUNTIF(C46:I46,$B$144))</f>
        <v>5</v>
      </c>
      <c r="B46" s="178" t="s">
        <v>102</v>
      </c>
      <c r="C46" s="36" t="s">
        <v>40</v>
      </c>
      <c r="D46" s="36" t="s">
        <v>40</v>
      </c>
      <c r="E46" s="36" t="s">
        <v>152</v>
      </c>
      <c r="F46" s="36" t="s">
        <v>79</v>
      </c>
      <c r="G46" s="36" t="s">
        <v>84</v>
      </c>
      <c r="H46" s="36" t="s">
        <v>95</v>
      </c>
      <c r="I46" s="36" t="s">
        <v>95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>
        <f t="shared" ref="C47:I47" si="22">IF(ISBLANK(C46),"",VLOOKUP(C46,$B$110:$L$146,11,0))</f>
        <v>0</v>
      </c>
      <c r="D47" s="37">
        <f t="shared" si="22"/>
        <v>0</v>
      </c>
      <c r="E47" s="37" t="str">
        <f t="shared" si="22"/>
        <v>08H30-17H00</v>
      </c>
      <c r="F47" s="37" t="str">
        <f t="shared" si="22"/>
        <v>09H00-17H30</v>
      </c>
      <c r="G47" s="37" t="str">
        <f t="shared" si="22"/>
        <v>13H30-22H00</v>
      </c>
      <c r="H47" s="37">
        <f t="shared" si="22"/>
        <v>0</v>
      </c>
      <c r="I47" s="37">
        <f t="shared" si="22"/>
        <v>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7-(COUNTIF(C48:I48,"")+COUNTIF(C48:I48,$B$144))</f>
        <v>5</v>
      </c>
      <c r="B48" s="178" t="s">
        <v>132</v>
      </c>
      <c r="C48" s="36" t="s">
        <v>84</v>
      </c>
      <c r="D48" s="36"/>
      <c r="E48" s="36" t="s">
        <v>31</v>
      </c>
      <c r="F48" s="36" t="s">
        <v>150</v>
      </c>
      <c r="G48" s="36" t="s">
        <v>122</v>
      </c>
      <c r="H48" s="36"/>
      <c r="I48" s="36" t="s">
        <v>85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IF(ISBLANK(C48),"",VLOOKUP(C48,$B$110:$L$146,11,0))</f>
        <v>13H30-22H00</v>
      </c>
      <c r="D49" s="37" t="str">
        <f t="shared" si="23"/>
        <v/>
      </c>
      <c r="E49" s="37" t="str">
        <f t="shared" si="23"/>
        <v>06H00-14H30</v>
      </c>
      <c r="F49" s="37" t="str">
        <f t="shared" si="23"/>
        <v>09H00-17H30</v>
      </c>
      <c r="G49" s="37" t="str">
        <f t="shared" si="23"/>
        <v>06H00-14H30</v>
      </c>
      <c r="H49" s="37" t="str">
        <f t="shared" si="23"/>
        <v/>
      </c>
      <c r="I49" s="37" t="str">
        <f t="shared" si="23"/>
        <v>14H30-23H00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7-(COUNTIF(C50:I50,"")+COUNTIF(C50:I50,$B$144))</f>
        <v>5</v>
      </c>
      <c r="B50" s="201" t="s">
        <v>17</v>
      </c>
      <c r="C50" s="36" t="s">
        <v>122</v>
      </c>
      <c r="D50" s="36" t="s">
        <v>31</v>
      </c>
      <c r="E50" s="36"/>
      <c r="F50" s="36" t="s">
        <v>81</v>
      </c>
      <c r="G50" s="36"/>
      <c r="H50" s="36" t="s">
        <v>93</v>
      </c>
      <c r="I50" s="36" t="s">
        <v>79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 t="str">
        <f t="shared" ref="C51:I51" si="24">IF(ISBLANK(C50),"",VLOOKUP(C50,$B$110:$L$146,11,0))</f>
        <v>06H00-14H30</v>
      </c>
      <c r="D51" s="37" t="str">
        <f t="shared" si="24"/>
        <v>06H00-14H30</v>
      </c>
      <c r="E51" s="37" t="str">
        <f t="shared" si="24"/>
        <v/>
      </c>
      <c r="F51" s="37" t="str">
        <f t="shared" si="24"/>
        <v>14H30-23H00</v>
      </c>
      <c r="G51" s="37" t="str">
        <f t="shared" si="24"/>
        <v/>
      </c>
      <c r="H51" s="37" t="str">
        <f t="shared" si="24"/>
        <v>06H00-14H30</v>
      </c>
      <c r="I51" s="37" t="str">
        <f t="shared" si="24"/>
        <v>09H00-17H30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7-(COUNTIF(C52:I52,"")+COUNTIF(C52:I52,$B$144))</f>
        <v>4</v>
      </c>
      <c r="B52" s="178" t="s">
        <v>127</v>
      </c>
      <c r="C52" s="36" t="s">
        <v>92</v>
      </c>
      <c r="D52" s="36" t="s">
        <v>95</v>
      </c>
      <c r="E52" s="36" t="s">
        <v>95</v>
      </c>
      <c r="F52" s="36"/>
      <c r="G52" s="36" t="s">
        <v>82</v>
      </c>
      <c r="H52" s="36" t="s">
        <v>150</v>
      </c>
      <c r="I52" s="36" t="s">
        <v>139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IF(ISBLANK(C52),"",VLOOKUP(C52,$B$110:$L$146,11,0))</f>
        <v>10H00-18H30</v>
      </c>
      <c r="D53" s="37">
        <f t="shared" si="25"/>
        <v>0</v>
      </c>
      <c r="E53" s="37">
        <f t="shared" si="25"/>
        <v>0</v>
      </c>
      <c r="F53" s="37" t="str">
        <f t="shared" si="25"/>
        <v/>
      </c>
      <c r="G53" s="37" t="str">
        <f t="shared" si="25"/>
        <v>06H00-14H30</v>
      </c>
      <c r="H53" s="37" t="str">
        <f t="shared" si="25"/>
        <v>09H00-17H30</v>
      </c>
      <c r="I53" s="37" t="str">
        <f t="shared" si="25"/>
        <v>14H00-22H30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7-(COUNTIF(C54:I54,"")+COUNTIF(C54:I54,$B$144))</f>
        <v>4</v>
      </c>
      <c r="B54" s="201" t="s">
        <v>18</v>
      </c>
      <c r="C54" s="36"/>
      <c r="D54" s="36" t="s">
        <v>110</v>
      </c>
      <c r="E54" s="36"/>
      <c r="F54" s="36" t="s">
        <v>138</v>
      </c>
      <c r="G54" s="36"/>
      <c r="H54" s="36" t="s">
        <v>84</v>
      </c>
      <c r="I54" s="36" t="s">
        <v>81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 t="str">
        <f t="shared" ref="C55:I55" si="26">IF(ISBLANK(C54),"",VLOOKUP(C54,$B$110:$L$146,11,0))</f>
        <v/>
      </c>
      <c r="D55" s="37" t="str">
        <f t="shared" si="26"/>
        <v>21H45-06H15</v>
      </c>
      <c r="E55" s="37" t="str">
        <f t="shared" si="26"/>
        <v/>
      </c>
      <c r="F55" s="37" t="str">
        <f t="shared" si="26"/>
        <v>22H00-06H30</v>
      </c>
      <c r="G55" s="37" t="str">
        <f t="shared" si="26"/>
        <v/>
      </c>
      <c r="H55" s="37" t="str">
        <f t="shared" si="26"/>
        <v>13H30-22H00</v>
      </c>
      <c r="I55" s="37" t="str">
        <f t="shared" si="26"/>
        <v>14H30-23H00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7-(COUNTIF(C56:I56,"")+COUNTIF(C56:I56,$B$144))</f>
        <v>5</v>
      </c>
      <c r="B56" s="178" t="s">
        <v>19</v>
      </c>
      <c r="C56" s="36" t="s">
        <v>137</v>
      </c>
      <c r="D56" s="36" t="s">
        <v>91</v>
      </c>
      <c r="E56" s="36"/>
      <c r="F56" s="36"/>
      <c r="G56" s="36" t="s">
        <v>83</v>
      </c>
      <c r="H56" s="36" t="s">
        <v>81</v>
      </c>
      <c r="I56" s="36" t="s">
        <v>150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IF(ISBLANK(C56),"",VLOOKUP(C56,$B$110:$L$146,11,0))</f>
        <v>06H00-14H30</v>
      </c>
      <c r="D57" s="37" t="str">
        <f t="shared" si="27"/>
        <v>06H00-14H30</v>
      </c>
      <c r="E57" s="37" t="str">
        <f t="shared" si="27"/>
        <v/>
      </c>
      <c r="F57" s="37" t="str">
        <f t="shared" si="27"/>
        <v/>
      </c>
      <c r="G57" s="37" t="str">
        <f t="shared" si="27"/>
        <v>09H00-17H30</v>
      </c>
      <c r="H57" s="37" t="str">
        <f t="shared" si="27"/>
        <v>14H30-23H00</v>
      </c>
      <c r="I57" s="37" t="str">
        <f t="shared" si="27"/>
        <v>09H00-17H30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7-(COUNTIF(C58:I58,"")+COUNTIF(C58:I58,$B$144))</f>
        <v>5</v>
      </c>
      <c r="B58" s="178" t="s">
        <v>20</v>
      </c>
      <c r="C58" s="36" t="s">
        <v>82</v>
      </c>
      <c r="D58" s="36"/>
      <c r="E58" s="36" t="s">
        <v>91</v>
      </c>
      <c r="F58" s="36" t="s">
        <v>90</v>
      </c>
      <c r="G58" s="36" t="s">
        <v>85</v>
      </c>
      <c r="H58" s="36" t="s">
        <v>84</v>
      </c>
      <c r="I58" s="36"/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IF(ISBLANK(C58),"",VLOOKUP(C58,$B$110:$L$146,11,0))</f>
        <v>06H00-14H30</v>
      </c>
      <c r="D59" s="38" t="str">
        <f t="shared" si="28"/>
        <v/>
      </c>
      <c r="E59" s="38" t="str">
        <f t="shared" si="28"/>
        <v>06H00-14H30</v>
      </c>
      <c r="F59" s="38" t="str">
        <f t="shared" si="28"/>
        <v>06H00-14H30</v>
      </c>
      <c r="G59" s="38" t="str">
        <f t="shared" si="28"/>
        <v>14H30-23H00</v>
      </c>
      <c r="H59" s="38" t="str">
        <f t="shared" si="28"/>
        <v>13H30-22H00</v>
      </c>
      <c r="I59" s="38" t="str">
        <f t="shared" si="28"/>
        <v/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7-(COUNTIF(C60:I60,"")+COUNTIF(C60:I60,$B$144))</f>
        <v>5</v>
      </c>
      <c r="B60" s="193" t="s">
        <v>133</v>
      </c>
      <c r="C60" s="36" t="s">
        <v>90</v>
      </c>
      <c r="D60" s="36" t="s">
        <v>80</v>
      </c>
      <c r="E60" s="36" t="s">
        <v>84</v>
      </c>
      <c r="F60" s="36"/>
      <c r="G60" s="36" t="s">
        <v>93</v>
      </c>
      <c r="H60" s="36" t="s">
        <v>139</v>
      </c>
      <c r="I60" s="36" t="s">
        <v>95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IF(ISBLANK(C60),"",VLOOKUP(C60,$B$110:$L$146,11,0))</f>
        <v>06H00-14H30</v>
      </c>
      <c r="D61" s="37" t="str">
        <f t="shared" si="29"/>
        <v>06H00-14H30</v>
      </c>
      <c r="E61" s="37" t="str">
        <f t="shared" si="29"/>
        <v>13H30-22H00</v>
      </c>
      <c r="F61" s="37" t="str">
        <f t="shared" si="29"/>
        <v/>
      </c>
      <c r="G61" s="37" t="str">
        <f t="shared" si="29"/>
        <v>06H00-14H30</v>
      </c>
      <c r="H61" s="37" t="str">
        <f t="shared" si="29"/>
        <v>14H00-22H30</v>
      </c>
      <c r="I61" s="37">
        <f t="shared" si="29"/>
        <v>0</v>
      </c>
      <c r="J61" s="181"/>
      <c r="K61" s="139"/>
    </row>
    <row r="62" spans="1:12" s="39" customFormat="1" ht="13" customHeight="1" thickTop="1" x14ac:dyDescent="0.2">
      <c r="A62" s="21">
        <f>7-(COUNTIF(C62:I62,"")+COUNTIF(C62:I62,$B$144))</f>
        <v>5</v>
      </c>
      <c r="B62" s="178" t="s">
        <v>21</v>
      </c>
      <c r="C62" s="36" t="s">
        <v>80</v>
      </c>
      <c r="D62" s="36" t="s">
        <v>149</v>
      </c>
      <c r="E62" s="36" t="s">
        <v>93</v>
      </c>
      <c r="F62" s="36" t="s">
        <v>122</v>
      </c>
      <c r="G62" s="36" t="s">
        <v>139</v>
      </c>
      <c r="H62" s="36" t="s">
        <v>95</v>
      </c>
      <c r="I62" s="36" t="s">
        <v>95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IF(ISBLANK(C62),"",VLOOKUP(C62,$B$110:$L$146,11,0))</f>
        <v>06H00-14H30</v>
      </c>
      <c r="D63" s="37" t="str">
        <f t="shared" si="30"/>
        <v>09H00-17H30</v>
      </c>
      <c r="E63" s="37" t="str">
        <f t="shared" si="30"/>
        <v>06H00-14H30</v>
      </c>
      <c r="F63" s="37" t="str">
        <f t="shared" si="30"/>
        <v>06H00-14H30</v>
      </c>
      <c r="G63" s="37" t="str">
        <f t="shared" si="30"/>
        <v>14H00-22H30</v>
      </c>
      <c r="H63" s="37">
        <f t="shared" si="30"/>
        <v>0</v>
      </c>
      <c r="I63" s="37">
        <f t="shared" si="30"/>
        <v>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7-(COUNTIF(C64:I64,"")+COUNTIF(C64:I64,$B$144))</f>
        <v>5</v>
      </c>
      <c r="B64" s="193" t="s">
        <v>131</v>
      </c>
      <c r="C64" s="38" t="s">
        <v>123</v>
      </c>
      <c r="D64" s="36"/>
      <c r="E64" s="36" t="s">
        <v>84</v>
      </c>
      <c r="F64" s="36"/>
      <c r="G64" s="36" t="s">
        <v>80</v>
      </c>
      <c r="H64" s="36" t="s">
        <v>149</v>
      </c>
      <c r="I64" s="36" t="s">
        <v>93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IF(ISBLANK(C64),"",VLOOKUP(C64,$B$110:$L$146,11,0))</f>
        <v>14H30-23H00</v>
      </c>
      <c r="D65" s="37" t="str">
        <f t="shared" si="31"/>
        <v/>
      </c>
      <c r="E65" s="37" t="str">
        <f t="shared" si="31"/>
        <v>13H30-22H00</v>
      </c>
      <c r="F65" s="37" t="str">
        <f t="shared" si="31"/>
        <v/>
      </c>
      <c r="G65" s="37" t="str">
        <f t="shared" si="31"/>
        <v>06H00-14H30</v>
      </c>
      <c r="H65" s="37" t="str">
        <f t="shared" si="31"/>
        <v>09H00-17H30</v>
      </c>
      <c r="I65" s="37" t="str">
        <f t="shared" si="31"/>
        <v>06H00-14H30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7-(COUNTIF(C66:I66,"")+COUNTIF(C66:I66,$B$144))</f>
        <v>5</v>
      </c>
      <c r="B66" s="178" t="s">
        <v>124</v>
      </c>
      <c r="C66" s="36"/>
      <c r="D66" s="36" t="s">
        <v>84</v>
      </c>
      <c r="E66" s="36" t="s">
        <v>123</v>
      </c>
      <c r="F66" s="36"/>
      <c r="G66" s="36" t="s">
        <v>82</v>
      </c>
      <c r="H66" s="36" t="s">
        <v>82</v>
      </c>
      <c r="I66" s="36" t="s">
        <v>90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IF(ISBLANK(C66),"",VLOOKUP(C66,$B$110:$L$146,11,0))</f>
        <v/>
      </c>
      <c r="D67" s="37" t="str">
        <f t="shared" si="32"/>
        <v>13H30-22H00</v>
      </c>
      <c r="E67" s="37" t="str">
        <f t="shared" si="32"/>
        <v>14H30-23H00</v>
      </c>
      <c r="F67" s="37" t="str">
        <f t="shared" si="32"/>
        <v/>
      </c>
      <c r="G67" s="37" t="str">
        <f t="shared" si="32"/>
        <v>06H00-14H30</v>
      </c>
      <c r="H67" s="37" t="str">
        <f t="shared" si="32"/>
        <v>06H00-14H30</v>
      </c>
      <c r="I67" s="37" t="str">
        <f t="shared" si="32"/>
        <v>06H00-14H30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7-(COUNTIF(C68:I68,"")+COUNTIF(C68:I68,$B$144))</f>
        <v>5</v>
      </c>
      <c r="B68" s="186" t="s">
        <v>146</v>
      </c>
      <c r="C68" s="38" t="s">
        <v>84</v>
      </c>
      <c r="D68" s="36" t="s">
        <v>83</v>
      </c>
      <c r="E68" s="36"/>
      <c r="F68" s="36" t="s">
        <v>92</v>
      </c>
      <c r="G68" s="36" t="s">
        <v>149</v>
      </c>
      <c r="H68" s="36" t="s">
        <v>123</v>
      </c>
      <c r="I68" s="36" t="s">
        <v>95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IF(ISBLANK(C68),"",VLOOKUP(C68,$B$110:$L$146,11,0))</f>
        <v>13H30-22H00</v>
      </c>
      <c r="D69" s="37" t="str">
        <f t="shared" si="33"/>
        <v>09H00-17H30</v>
      </c>
      <c r="E69" s="37" t="str">
        <f t="shared" si="33"/>
        <v/>
      </c>
      <c r="F69" s="37" t="str">
        <f t="shared" si="33"/>
        <v>10H00-18H30</v>
      </c>
      <c r="G69" s="37" t="str">
        <f t="shared" si="33"/>
        <v>09H00-17H30</v>
      </c>
      <c r="H69" s="37" t="str">
        <f t="shared" si="33"/>
        <v>14H30-23H00</v>
      </c>
      <c r="I69" s="37">
        <f t="shared" si="33"/>
        <v>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7-(COUNTIF(C70:I70,"")+COUNTIF(C70:I70,$B$144))</f>
        <v>5</v>
      </c>
      <c r="B70" s="178" t="s">
        <v>104</v>
      </c>
      <c r="C70" s="36"/>
      <c r="D70" s="36" t="s">
        <v>84</v>
      </c>
      <c r="E70" s="36" t="s">
        <v>92</v>
      </c>
      <c r="F70" s="36" t="s">
        <v>82</v>
      </c>
      <c r="G70" s="38" t="s">
        <v>91</v>
      </c>
      <c r="H70" s="36"/>
      <c r="I70" s="36" t="s">
        <v>123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IF(ISBLANK(C70),"",VLOOKUP(C70,$B$110:$L$146,11,0))</f>
        <v/>
      </c>
      <c r="D71" s="37" t="str">
        <f t="shared" si="34"/>
        <v>13H30-22H00</v>
      </c>
      <c r="E71" s="37" t="str">
        <f t="shared" si="34"/>
        <v>10H00-18H30</v>
      </c>
      <c r="F71" s="37" t="str">
        <f t="shared" si="34"/>
        <v>06H00-14H30</v>
      </c>
      <c r="G71" s="37" t="str">
        <f t="shared" si="34"/>
        <v>06H00-14H30</v>
      </c>
      <c r="H71" s="37" t="str">
        <f t="shared" si="34"/>
        <v/>
      </c>
      <c r="I71" s="37" t="str">
        <f t="shared" si="34"/>
        <v>14H30-23H00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7-(COUNTIF(C72:I72,"")+COUNTIF(C72:I72,$B$144))</f>
        <v>5</v>
      </c>
      <c r="B72" s="178" t="s">
        <v>22</v>
      </c>
      <c r="C72" s="36" t="s">
        <v>99</v>
      </c>
      <c r="D72" s="36" t="s">
        <v>99</v>
      </c>
      <c r="E72" s="36" t="s">
        <v>99</v>
      </c>
      <c r="F72" s="36" t="s">
        <v>99</v>
      </c>
      <c r="G72" s="36" t="s">
        <v>99</v>
      </c>
      <c r="H72" s="36" t="s">
        <v>95</v>
      </c>
      <c r="I72" s="36" t="s">
        <v>95</v>
      </c>
      <c r="J72" s="180" t="s">
        <v>67</v>
      </c>
      <c r="K72" s="139">
        <v>3</v>
      </c>
      <c r="L72" s="40"/>
    </row>
    <row r="73" spans="1:12" s="39" customFormat="1" ht="13" customHeight="1" thickBot="1" x14ac:dyDescent="0.25">
      <c r="B73" s="179"/>
      <c r="C73" s="37">
        <f t="shared" ref="C73:I73" si="35">IF(ISBLANK(C72),"",VLOOKUP(C72,$B$110:$L$146,11,0))</f>
        <v>0</v>
      </c>
      <c r="D73" s="37">
        <f t="shared" si="35"/>
        <v>0</v>
      </c>
      <c r="E73" s="37">
        <f t="shared" si="35"/>
        <v>0</v>
      </c>
      <c r="F73" s="37">
        <f t="shared" si="35"/>
        <v>0</v>
      </c>
      <c r="G73" s="37">
        <f t="shared" si="35"/>
        <v>0</v>
      </c>
      <c r="H73" s="37">
        <f t="shared" si="35"/>
        <v>0</v>
      </c>
      <c r="I73" s="37">
        <f t="shared" si="35"/>
        <v>0</v>
      </c>
      <c r="J73" s="181" t="s">
        <v>68</v>
      </c>
      <c r="K73" s="139"/>
      <c r="L73" s="40"/>
    </row>
    <row r="74" spans="1:12" s="39" customFormat="1" ht="13" customHeight="1" thickTop="1" x14ac:dyDescent="0.2">
      <c r="A74" s="21">
        <f>7-(COUNTIF(C74:I74,"")+COUNTIF(C74:I74,$B$144))</f>
        <v>5</v>
      </c>
      <c r="B74" s="201" t="s">
        <v>23</v>
      </c>
      <c r="C74" s="36" t="s">
        <v>83</v>
      </c>
      <c r="D74" s="36" t="s">
        <v>90</v>
      </c>
      <c r="E74" s="36" t="s">
        <v>138</v>
      </c>
      <c r="F74" s="36" t="s">
        <v>110</v>
      </c>
      <c r="G74" s="36"/>
      <c r="H74" s="36" t="s">
        <v>138</v>
      </c>
      <c r="I74" s="36" t="s">
        <v>95</v>
      </c>
      <c r="J74" s="180" t="s">
        <v>68</v>
      </c>
      <c r="K74" s="139">
        <v>5</v>
      </c>
      <c r="L74" s="40"/>
    </row>
    <row r="75" spans="1:12" s="39" customFormat="1" ht="13" customHeight="1" thickBot="1" x14ac:dyDescent="0.25">
      <c r="B75" s="196"/>
      <c r="C75" s="37" t="str">
        <f t="shared" ref="C75:I75" si="36">IF(ISBLANK(C74),"",VLOOKUP(C74,$B$110:$L$146,11,0))</f>
        <v>09H00-17H30</v>
      </c>
      <c r="D75" s="37" t="str">
        <f t="shared" si="36"/>
        <v>06H00-14H30</v>
      </c>
      <c r="E75" s="37" t="str">
        <f t="shared" si="36"/>
        <v>22H00-06H30</v>
      </c>
      <c r="F75" s="37" t="str">
        <f t="shared" si="36"/>
        <v>21H45-06H15</v>
      </c>
      <c r="G75" s="37" t="str">
        <f t="shared" si="36"/>
        <v/>
      </c>
      <c r="H75" s="37" t="str">
        <f t="shared" si="36"/>
        <v>22H00-06H30</v>
      </c>
      <c r="I75" s="37">
        <f t="shared" si="36"/>
        <v>0</v>
      </c>
      <c r="J75" s="181" t="s">
        <v>69</v>
      </c>
      <c r="K75" s="139"/>
      <c r="L75" s="40"/>
    </row>
    <row r="76" spans="1:12" s="39" customFormat="1" ht="13" customHeight="1" thickTop="1" x14ac:dyDescent="0.2">
      <c r="A76" s="21">
        <f>7-(COUNTIF(C76:I76,"")+COUNTIF(C76:I76,$B$144))</f>
        <v>4</v>
      </c>
      <c r="B76" s="193" t="s">
        <v>120</v>
      </c>
      <c r="C76" s="36" t="s">
        <v>82</v>
      </c>
      <c r="D76" s="44"/>
      <c r="E76" s="36"/>
      <c r="F76" s="36" t="s">
        <v>123</v>
      </c>
      <c r="G76" s="36"/>
      <c r="H76" s="36" t="s">
        <v>90</v>
      </c>
      <c r="I76" s="36" t="s">
        <v>122</v>
      </c>
      <c r="J76" s="180" t="s">
        <v>121</v>
      </c>
      <c r="K76" s="139">
        <v>4</v>
      </c>
      <c r="L76" s="40"/>
    </row>
    <row r="77" spans="1:12" s="39" customFormat="1" ht="13" customHeight="1" thickBot="1" x14ac:dyDescent="0.25">
      <c r="B77" s="194"/>
      <c r="C77" s="37" t="str">
        <f t="shared" ref="C77:I77" si="37">IF(ISBLANK(C76),"",VLOOKUP(C76,$B$110:$L$146,11,0))</f>
        <v>06H00-14H30</v>
      </c>
      <c r="D77" s="37" t="str">
        <f t="shared" si="37"/>
        <v/>
      </c>
      <c r="E77" s="37" t="str">
        <f t="shared" si="37"/>
        <v/>
      </c>
      <c r="F77" s="37" t="str">
        <f t="shared" si="37"/>
        <v>14H30-23H00</v>
      </c>
      <c r="G77" s="37" t="str">
        <f t="shared" si="37"/>
        <v/>
      </c>
      <c r="H77" s="37" t="str">
        <f t="shared" si="37"/>
        <v>06H00-14H30</v>
      </c>
      <c r="I77" s="37" t="str">
        <f t="shared" si="37"/>
        <v>06H00-14H30</v>
      </c>
      <c r="J77" s="181" t="s">
        <v>63</v>
      </c>
      <c r="K77" s="139"/>
      <c r="L77" s="40"/>
    </row>
    <row r="78" spans="1:12" s="39" customFormat="1" ht="13" customHeight="1" thickTop="1" x14ac:dyDescent="0.2">
      <c r="A78" s="21">
        <f>7-(COUNTIF(C78:I78,"")+COUNTIF(C78:I78,$B$144))</f>
        <v>5</v>
      </c>
      <c r="B78" s="178" t="s">
        <v>113</v>
      </c>
      <c r="C78" s="36" t="s">
        <v>139</v>
      </c>
      <c r="D78" s="36"/>
      <c r="E78" s="36" t="s">
        <v>82</v>
      </c>
      <c r="F78" s="36" t="s">
        <v>91</v>
      </c>
      <c r="G78" s="36"/>
      <c r="H78" s="36" t="s">
        <v>122</v>
      </c>
      <c r="I78" s="36" t="s">
        <v>80</v>
      </c>
      <c r="J78" s="180" t="s">
        <v>45</v>
      </c>
      <c r="K78" s="139">
        <v>5</v>
      </c>
      <c r="L78" s="40"/>
    </row>
    <row r="79" spans="1:12" s="39" customFormat="1" ht="13" customHeight="1" thickBot="1" x14ac:dyDescent="0.25">
      <c r="B79" s="202"/>
      <c r="C79" s="37" t="str">
        <f t="shared" ref="C79:I79" si="38">IF(ISBLANK(C78),"",VLOOKUP(C78,$B$110:$L$146,11,0))</f>
        <v>14H00-22H30</v>
      </c>
      <c r="D79" s="37" t="str">
        <f t="shared" si="38"/>
        <v/>
      </c>
      <c r="E79" s="37" t="str">
        <f t="shared" si="38"/>
        <v>06H00-14H30</v>
      </c>
      <c r="F79" s="37" t="str">
        <f t="shared" si="38"/>
        <v>06H00-14H30</v>
      </c>
      <c r="G79" s="37" t="str">
        <f t="shared" si="38"/>
        <v/>
      </c>
      <c r="H79" s="37" t="str">
        <f t="shared" si="38"/>
        <v>06H00-14H30</v>
      </c>
      <c r="I79" s="37" t="str">
        <f t="shared" si="38"/>
        <v>06H00-14H30</v>
      </c>
      <c r="J79" s="181" t="s">
        <v>44</v>
      </c>
      <c r="K79" s="139"/>
      <c r="L79" s="40"/>
    </row>
    <row r="80" spans="1:12" s="39" customFormat="1" ht="13" customHeight="1" thickTop="1" x14ac:dyDescent="0.2">
      <c r="A80" s="21">
        <f>7-(COUNTIF(C80:I80,"")+COUNTIF(C80:I80,$B$144))</f>
        <v>5</v>
      </c>
      <c r="B80" s="204" t="s">
        <v>24</v>
      </c>
      <c r="C80" s="36" t="s">
        <v>99</v>
      </c>
      <c r="D80" s="36" t="s">
        <v>99</v>
      </c>
      <c r="E80" s="36" t="s">
        <v>99</v>
      </c>
      <c r="F80" s="36" t="s">
        <v>99</v>
      </c>
      <c r="G80" s="36" t="s">
        <v>99</v>
      </c>
      <c r="H80" s="146" t="s">
        <v>95</v>
      </c>
      <c r="I80" s="146" t="s">
        <v>95</v>
      </c>
      <c r="J80" s="180" t="s">
        <v>69</v>
      </c>
      <c r="K80" s="139">
        <v>3</v>
      </c>
      <c r="L80" s="40"/>
    </row>
    <row r="81" spans="1:12" s="39" customFormat="1" ht="13" customHeight="1" thickBot="1" x14ac:dyDescent="0.25">
      <c r="B81" s="205"/>
      <c r="C81" s="37">
        <f t="shared" ref="C81:I81" si="39">IF(ISBLANK(C80),"",VLOOKUP(C80,$B$110:$L$146,11,0))</f>
        <v>0</v>
      </c>
      <c r="D81" s="37">
        <f t="shared" si="39"/>
        <v>0</v>
      </c>
      <c r="E81" s="37">
        <f t="shared" si="39"/>
        <v>0</v>
      </c>
      <c r="F81" s="37">
        <f t="shared" si="39"/>
        <v>0</v>
      </c>
      <c r="G81" s="37">
        <f t="shared" si="39"/>
        <v>0</v>
      </c>
      <c r="H81" s="37">
        <f t="shared" si="39"/>
        <v>0</v>
      </c>
      <c r="I81" s="37">
        <f t="shared" si="39"/>
        <v>0</v>
      </c>
      <c r="J81" s="181" t="s">
        <v>70</v>
      </c>
      <c r="K81" s="139"/>
      <c r="L81" s="40"/>
    </row>
    <row r="82" spans="1:12" s="39" customFormat="1" ht="13" customHeight="1" thickTop="1" x14ac:dyDescent="0.2">
      <c r="A82" s="21">
        <f>7-(COUNTIF(C82:I82,"")+COUNTIF(C82:I82,$B$144))</f>
        <v>5</v>
      </c>
      <c r="B82" s="207" t="s">
        <v>25</v>
      </c>
      <c r="C82" s="36" t="s">
        <v>81</v>
      </c>
      <c r="D82" s="36"/>
      <c r="E82" s="36" t="s">
        <v>82</v>
      </c>
      <c r="F82" s="36" t="s">
        <v>31</v>
      </c>
      <c r="G82" s="36" t="s">
        <v>152</v>
      </c>
      <c r="H82" s="36"/>
      <c r="I82" s="36" t="s">
        <v>100</v>
      </c>
      <c r="J82" s="180" t="s">
        <v>70</v>
      </c>
      <c r="K82" s="139">
        <v>5</v>
      </c>
      <c r="L82" s="40"/>
    </row>
    <row r="83" spans="1:12" s="39" customFormat="1" ht="13" customHeight="1" thickBot="1" x14ac:dyDescent="0.25">
      <c r="B83" s="208"/>
      <c r="C83" s="38" t="str">
        <f t="shared" ref="C83:I83" si="40">IF(ISBLANK(C82),"",VLOOKUP(C82,$B$110:$L$146,11,0))</f>
        <v>14H30-23H00</v>
      </c>
      <c r="D83" s="38" t="str">
        <f t="shared" si="40"/>
        <v/>
      </c>
      <c r="E83" s="38" t="str">
        <f t="shared" si="40"/>
        <v>06H00-14H30</v>
      </c>
      <c r="F83" s="38" t="str">
        <f t="shared" si="40"/>
        <v>06H00-14H30</v>
      </c>
      <c r="G83" s="38" t="str">
        <f t="shared" si="40"/>
        <v>08H30-17H00</v>
      </c>
      <c r="H83" s="38" t="str">
        <f t="shared" si="40"/>
        <v/>
      </c>
      <c r="I83" s="38" t="str">
        <f t="shared" si="40"/>
        <v>c.f. GDI</v>
      </c>
      <c r="J83" s="188" t="s">
        <v>71</v>
      </c>
      <c r="K83" s="139"/>
      <c r="L83" s="40"/>
    </row>
    <row r="84" spans="1:12" s="39" customFormat="1" ht="13" customHeight="1" thickTop="1" x14ac:dyDescent="0.2">
      <c r="A84" s="21">
        <f>7-(COUNTIF(C84:I84,"")+COUNTIF(C84:I84,$B$144))</f>
        <v>5</v>
      </c>
      <c r="B84" s="178" t="s">
        <v>105</v>
      </c>
      <c r="C84" s="36"/>
      <c r="D84" s="36" t="s">
        <v>82</v>
      </c>
      <c r="E84" s="36" t="s">
        <v>137</v>
      </c>
      <c r="F84" s="36" t="s">
        <v>83</v>
      </c>
      <c r="G84" s="36"/>
      <c r="H84" s="36" t="s">
        <v>79</v>
      </c>
      <c r="I84" s="36" t="s">
        <v>151</v>
      </c>
      <c r="J84" s="180" t="s">
        <v>71</v>
      </c>
      <c r="K84" s="139">
        <v>5</v>
      </c>
      <c r="L84" s="40"/>
    </row>
    <row r="85" spans="1:12" s="39" customFormat="1" ht="13" customHeight="1" thickBot="1" x14ac:dyDescent="0.25">
      <c r="B85" s="179"/>
      <c r="C85" s="37" t="str">
        <f t="shared" ref="C85:I85" si="41">IF(ISBLANK(C84),"",VLOOKUP(C84,$B$110:$L$146,11,0))</f>
        <v/>
      </c>
      <c r="D85" s="37" t="str">
        <f t="shared" si="41"/>
        <v>06H00-14H30</v>
      </c>
      <c r="E85" s="37" t="str">
        <f t="shared" si="41"/>
        <v>06H00-14H30</v>
      </c>
      <c r="F85" s="37" t="str">
        <f t="shared" si="41"/>
        <v>09H00-17H30</v>
      </c>
      <c r="G85" s="37" t="str">
        <f t="shared" si="41"/>
        <v/>
      </c>
      <c r="H85" s="37" t="str">
        <f t="shared" si="41"/>
        <v>09H00-17H30</v>
      </c>
      <c r="I85" s="37" t="str">
        <f t="shared" si="41"/>
        <v>08H30-17H00</v>
      </c>
      <c r="J85" s="181" t="s">
        <v>72</v>
      </c>
      <c r="K85" s="139"/>
      <c r="L85" s="40"/>
    </row>
    <row r="86" spans="1:12" s="39" customFormat="1" ht="13" customHeight="1" thickTop="1" x14ac:dyDescent="0.2">
      <c r="A86" s="21">
        <f>7-(COUNTIF(C86:I86,"")+COUNTIF(C86:I86,$B$144))</f>
        <v>5</v>
      </c>
      <c r="B86" s="178" t="s">
        <v>143</v>
      </c>
      <c r="C86" s="36" t="s">
        <v>85</v>
      </c>
      <c r="D86" s="36" t="s">
        <v>92</v>
      </c>
      <c r="E86" s="36" t="s">
        <v>90</v>
      </c>
      <c r="F86" s="36" t="s">
        <v>93</v>
      </c>
      <c r="G86" s="36" t="s">
        <v>84</v>
      </c>
      <c r="H86" s="35" t="s">
        <v>95</v>
      </c>
      <c r="I86" s="35" t="s">
        <v>95</v>
      </c>
      <c r="J86" s="180" t="s">
        <v>142</v>
      </c>
      <c r="K86" s="139">
        <v>4</v>
      </c>
      <c r="L86" s="40"/>
    </row>
    <row r="87" spans="1:12" ht="13" customHeight="1" thickBot="1" x14ac:dyDescent="0.25">
      <c r="A87" s="41"/>
      <c r="B87" s="179"/>
      <c r="C87" s="37" t="str">
        <f t="shared" ref="C87:I87" si="42">IF(ISBLANK(C86),"",VLOOKUP(C86,$B$110:$L$146,11,0))</f>
        <v>14H30-23H00</v>
      </c>
      <c r="D87" s="37" t="str">
        <f t="shared" si="42"/>
        <v>10H00-18H30</v>
      </c>
      <c r="E87" s="37" t="str">
        <f t="shared" si="42"/>
        <v>06H00-14H30</v>
      </c>
      <c r="F87" s="37" t="str">
        <f t="shared" si="42"/>
        <v>06H00-14H30</v>
      </c>
      <c r="G87" s="37" t="str">
        <f t="shared" si="42"/>
        <v>13H30-22H00</v>
      </c>
      <c r="H87" s="37">
        <f t="shared" si="42"/>
        <v>0</v>
      </c>
      <c r="I87" s="37">
        <f t="shared" si="42"/>
        <v>0</v>
      </c>
      <c r="J87" s="181" t="s">
        <v>57</v>
      </c>
      <c r="K87" s="139"/>
    </row>
    <row r="88" spans="1:12" s="39" customFormat="1" ht="13" customHeight="1" thickTop="1" x14ac:dyDescent="0.2">
      <c r="A88" s="21">
        <f>7-(COUNTIF(C88:I88,"")+COUNTIF(C88:I88,$B$144))</f>
        <v>5</v>
      </c>
      <c r="B88" s="201" t="s">
        <v>26</v>
      </c>
      <c r="C88" s="36" t="s">
        <v>95</v>
      </c>
      <c r="D88" s="36" t="s">
        <v>152</v>
      </c>
      <c r="E88" s="36" t="s">
        <v>139</v>
      </c>
      <c r="F88" s="36" t="s">
        <v>154</v>
      </c>
      <c r="G88" s="36"/>
      <c r="H88" s="36" t="s">
        <v>80</v>
      </c>
      <c r="I88" s="36" t="s">
        <v>82</v>
      </c>
      <c r="J88" s="180" t="s">
        <v>72</v>
      </c>
      <c r="K88" s="139">
        <v>5</v>
      </c>
      <c r="L88" s="40"/>
    </row>
    <row r="89" spans="1:12" s="39" customFormat="1" ht="13" customHeight="1" thickBot="1" x14ac:dyDescent="0.25">
      <c r="B89" s="196"/>
      <c r="C89" s="37">
        <f t="shared" ref="C89:I89" si="43">IF(ISBLANK(C88),"",VLOOKUP(C88,$B$110:$L$146,11,0))</f>
        <v>0</v>
      </c>
      <c r="D89" s="37" t="str">
        <f t="shared" si="43"/>
        <v>08H30-17H00</v>
      </c>
      <c r="E89" s="37" t="str">
        <f t="shared" si="43"/>
        <v>14H00-22H30</v>
      </c>
      <c r="F89" s="37" t="str">
        <f t="shared" si="43"/>
        <v>13H00-21H30</v>
      </c>
      <c r="G89" s="37" t="str">
        <f t="shared" si="43"/>
        <v/>
      </c>
      <c r="H89" s="37" t="str">
        <f t="shared" si="43"/>
        <v>06H00-14H30</v>
      </c>
      <c r="I89" s="37" t="str">
        <f t="shared" si="43"/>
        <v>06H00-14H30</v>
      </c>
      <c r="J89" s="181" t="s">
        <v>73</v>
      </c>
      <c r="K89" s="139"/>
      <c r="L89" s="40"/>
    </row>
    <row r="90" spans="1:12" s="39" customFormat="1" ht="13" customHeight="1" thickTop="1" x14ac:dyDescent="0.2">
      <c r="A90" s="21">
        <f>7-(COUNTIF(C90:I90,"")+COUNTIF(C90:I90,$B$144))</f>
        <v>5</v>
      </c>
      <c r="B90" s="201" t="s">
        <v>27</v>
      </c>
      <c r="C90" s="36" t="s">
        <v>95</v>
      </c>
      <c r="D90" s="36" t="s">
        <v>81</v>
      </c>
      <c r="E90" s="36" t="s">
        <v>83</v>
      </c>
      <c r="F90" s="36" t="s">
        <v>84</v>
      </c>
      <c r="G90" s="36" t="s">
        <v>92</v>
      </c>
      <c r="H90" s="36" t="s">
        <v>95</v>
      </c>
      <c r="I90" s="36" t="s">
        <v>99</v>
      </c>
      <c r="J90" s="180" t="s">
        <v>74</v>
      </c>
      <c r="K90" s="139">
        <v>5</v>
      </c>
      <c r="L90" s="40"/>
    </row>
    <row r="91" spans="1:12" s="39" customFormat="1" ht="13" customHeight="1" thickBot="1" x14ac:dyDescent="0.25">
      <c r="B91" s="196"/>
      <c r="C91" s="37">
        <f t="shared" ref="C91:I91" si="44">IF(ISBLANK(C90),"",VLOOKUP(C90,$B$110:$L$146,11,0))</f>
        <v>0</v>
      </c>
      <c r="D91" s="37" t="str">
        <f t="shared" si="44"/>
        <v>14H30-23H00</v>
      </c>
      <c r="E91" s="37" t="str">
        <f t="shared" si="44"/>
        <v>09H00-17H30</v>
      </c>
      <c r="F91" s="37" t="str">
        <f t="shared" si="44"/>
        <v>13H30-22H00</v>
      </c>
      <c r="G91" s="37" t="str">
        <f t="shared" si="44"/>
        <v>10H00-18H30</v>
      </c>
      <c r="H91" s="37">
        <f t="shared" si="44"/>
        <v>0</v>
      </c>
      <c r="I91" s="37">
        <f t="shared" si="44"/>
        <v>0</v>
      </c>
      <c r="J91" s="181" t="s">
        <v>75</v>
      </c>
      <c r="K91" s="139"/>
      <c r="L91" s="40"/>
    </row>
    <row r="92" spans="1:12" s="39" customFormat="1" ht="13" customHeight="1" thickTop="1" x14ac:dyDescent="0.2">
      <c r="A92" s="21">
        <f>7-(COUNTIF(C92:I92,"")+COUNTIF(C92:I92,$B$144))</f>
        <v>5</v>
      </c>
      <c r="B92" s="193" t="s">
        <v>115</v>
      </c>
      <c r="C92" s="38"/>
      <c r="D92" s="36" t="s">
        <v>137</v>
      </c>
      <c r="E92" s="36" t="s">
        <v>122</v>
      </c>
      <c r="F92" s="38" t="s">
        <v>85</v>
      </c>
      <c r="G92" s="38"/>
      <c r="H92" s="36" t="s">
        <v>83</v>
      </c>
      <c r="I92" s="38" t="s">
        <v>84</v>
      </c>
      <c r="J92" s="188" t="s">
        <v>63</v>
      </c>
      <c r="K92" s="139">
        <v>5</v>
      </c>
      <c r="L92" s="40"/>
    </row>
    <row r="93" spans="1:12" s="39" customFormat="1" ht="13" customHeight="1" thickBot="1" x14ac:dyDescent="0.25">
      <c r="B93" s="206"/>
      <c r="C93" s="43" t="str">
        <f t="shared" ref="C93:I93" si="45">IF(ISBLANK(C92),"",VLOOKUP(C92,$B$110:$L$146,11,0))</f>
        <v/>
      </c>
      <c r="D93" s="43" t="str">
        <f t="shared" si="45"/>
        <v>06H00-14H30</v>
      </c>
      <c r="E93" s="43" t="str">
        <f t="shared" si="45"/>
        <v>06H00-14H30</v>
      </c>
      <c r="F93" s="43" t="str">
        <f t="shared" si="45"/>
        <v>14H30-23H00</v>
      </c>
      <c r="G93" s="43" t="str">
        <f t="shared" si="45"/>
        <v/>
      </c>
      <c r="H93" s="43" t="str">
        <f t="shared" si="45"/>
        <v>09H00-17H30</v>
      </c>
      <c r="I93" s="43" t="str">
        <f t="shared" si="45"/>
        <v>13H30-22H00</v>
      </c>
      <c r="J93" s="203"/>
      <c r="K93" s="139"/>
      <c r="L93" s="40"/>
    </row>
    <row r="94" spans="1:12" s="39" customFormat="1" ht="13" customHeight="1" thickTop="1" x14ac:dyDescent="0.2">
      <c r="A94" s="21">
        <f>7-(COUNTIF(C94:I94,"")+COUNTIF(C94:I94,$B$144))</f>
        <v>4</v>
      </c>
      <c r="B94" s="178" t="s">
        <v>148</v>
      </c>
      <c r="C94" s="36"/>
      <c r="D94" s="36" t="s">
        <v>85</v>
      </c>
      <c r="E94" s="36"/>
      <c r="F94" s="36" t="s">
        <v>84</v>
      </c>
      <c r="G94" s="36"/>
      <c r="H94" s="36" t="s">
        <v>99</v>
      </c>
      <c r="I94" s="36" t="s">
        <v>91</v>
      </c>
      <c r="J94" s="180" t="s">
        <v>144</v>
      </c>
      <c r="K94" s="139">
        <v>4</v>
      </c>
      <c r="L94" s="40"/>
    </row>
    <row r="95" spans="1:12" ht="13" customHeight="1" thickBot="1" x14ac:dyDescent="0.25">
      <c r="A95" s="41"/>
      <c r="B95" s="179"/>
      <c r="C95" s="37" t="str">
        <f t="shared" ref="C95:I95" si="46">IF(ISBLANK(C94),"",VLOOKUP(C94,$B$110:$L$146,11,0))</f>
        <v/>
      </c>
      <c r="D95" s="37" t="str">
        <f t="shared" si="46"/>
        <v>14H30-23H00</v>
      </c>
      <c r="E95" s="37" t="str">
        <f t="shared" si="46"/>
        <v/>
      </c>
      <c r="F95" s="37" t="str">
        <f t="shared" si="46"/>
        <v>13H30-22H00</v>
      </c>
      <c r="G95" s="37" t="str">
        <f t="shared" si="46"/>
        <v/>
      </c>
      <c r="H95" s="37">
        <f t="shared" si="46"/>
        <v>0</v>
      </c>
      <c r="I95" s="37" t="str">
        <f t="shared" si="46"/>
        <v>06H00-14H30</v>
      </c>
      <c r="J95" s="181" t="s">
        <v>57</v>
      </c>
      <c r="K95" s="139"/>
    </row>
    <row r="96" spans="1:12" s="39" customFormat="1" ht="13" customHeight="1" thickTop="1" x14ac:dyDescent="0.2">
      <c r="A96" s="21">
        <f>7-(COUNTIF(C96:I96,"")+COUNTIF(C96:I96,$B$144))</f>
        <v>5</v>
      </c>
      <c r="B96" s="178" t="s">
        <v>147</v>
      </c>
      <c r="C96" s="36"/>
      <c r="D96" s="36" t="s">
        <v>122</v>
      </c>
      <c r="E96" s="36" t="s">
        <v>84</v>
      </c>
      <c r="F96" s="36" t="s">
        <v>139</v>
      </c>
      <c r="G96" s="36"/>
      <c r="H96" s="36" t="s">
        <v>84</v>
      </c>
      <c r="I96" s="36" t="s">
        <v>92</v>
      </c>
      <c r="J96" s="180" t="s">
        <v>145</v>
      </c>
      <c r="K96" s="139">
        <v>4</v>
      </c>
      <c r="L96" s="40"/>
    </row>
    <row r="97" spans="1:12" ht="13" customHeight="1" thickBot="1" x14ac:dyDescent="0.25">
      <c r="A97" s="41"/>
      <c r="B97" s="179"/>
      <c r="C97" s="37" t="str">
        <f t="shared" ref="C97:I97" si="47">IF(ISBLANK(C96),"",VLOOKUP(C96,$B$110:$L$146,11,0))</f>
        <v/>
      </c>
      <c r="D97" s="37" t="str">
        <f t="shared" si="47"/>
        <v>06H00-14H30</v>
      </c>
      <c r="E97" s="37" t="str">
        <f t="shared" si="47"/>
        <v>13H30-22H00</v>
      </c>
      <c r="F97" s="37" t="str">
        <f t="shared" si="47"/>
        <v>14H00-22H30</v>
      </c>
      <c r="G97" s="37" t="str">
        <f t="shared" si="47"/>
        <v/>
      </c>
      <c r="H97" s="37" t="str">
        <f t="shared" si="47"/>
        <v>13H30-22H00</v>
      </c>
      <c r="I97" s="37" t="str">
        <f t="shared" si="47"/>
        <v>10H00-18H30</v>
      </c>
      <c r="J97" s="181" t="s">
        <v>57</v>
      </c>
      <c r="K97" s="139"/>
    </row>
    <row r="98" spans="1:12" s="39" customFormat="1" ht="13" customHeight="1" thickTop="1" x14ac:dyDescent="0.2">
      <c r="A98" s="21">
        <f>7-(COUNTIF(C98:I98,"")+COUNTIF(C98:I98,$B$144))</f>
        <v>5</v>
      </c>
      <c r="B98" s="201" t="s">
        <v>106</v>
      </c>
      <c r="C98" s="36" t="s">
        <v>79</v>
      </c>
      <c r="D98" s="36" t="s">
        <v>154</v>
      </c>
      <c r="E98" s="36"/>
      <c r="F98" s="36" t="s">
        <v>82</v>
      </c>
      <c r="G98" s="36" t="s">
        <v>31</v>
      </c>
      <c r="H98" s="36" t="s">
        <v>151</v>
      </c>
      <c r="I98" s="36"/>
      <c r="J98" s="180" t="s">
        <v>75</v>
      </c>
      <c r="K98" s="139">
        <v>5</v>
      </c>
      <c r="L98" s="40"/>
    </row>
    <row r="99" spans="1:12" s="39" customFormat="1" ht="13" customHeight="1" thickBot="1" x14ac:dyDescent="0.25">
      <c r="B99" s="196"/>
      <c r="C99" s="37" t="str">
        <f t="shared" ref="C99:I99" si="48">IF(ISBLANK(C98),"",VLOOKUP(C98,$B$110:$L$146,11,0))</f>
        <v>09H00-17H30</v>
      </c>
      <c r="D99" s="37" t="str">
        <f t="shared" si="48"/>
        <v>13H00-21H30</v>
      </c>
      <c r="E99" s="37" t="str">
        <f t="shared" si="48"/>
        <v/>
      </c>
      <c r="F99" s="37" t="str">
        <f t="shared" si="48"/>
        <v>06H00-14H30</v>
      </c>
      <c r="G99" s="37" t="str">
        <f t="shared" si="48"/>
        <v>06H00-14H30</v>
      </c>
      <c r="H99" s="37" t="str">
        <f t="shared" si="48"/>
        <v>08H30-17H00</v>
      </c>
      <c r="I99" s="37" t="str">
        <f t="shared" si="48"/>
        <v/>
      </c>
      <c r="J99" s="181" t="s">
        <v>76</v>
      </c>
      <c r="K99" s="139"/>
      <c r="L99" s="40"/>
    </row>
    <row r="100" spans="1:12" s="39" customFormat="1" ht="13" customHeight="1" thickTop="1" x14ac:dyDescent="0.2">
      <c r="A100" s="21">
        <f>7-(COUNTIF(C100:I100,"")+COUNTIF(C100:I100,$B$144))</f>
        <v>5</v>
      </c>
      <c r="B100" s="178" t="s">
        <v>28</v>
      </c>
      <c r="C100" s="36" t="s">
        <v>84</v>
      </c>
      <c r="D100" s="36"/>
      <c r="E100" s="36" t="s">
        <v>81</v>
      </c>
      <c r="F100" s="36"/>
      <c r="G100" s="36" t="s">
        <v>90</v>
      </c>
      <c r="H100" s="36" t="s">
        <v>91</v>
      </c>
      <c r="I100" s="36" t="s">
        <v>82</v>
      </c>
      <c r="J100" s="180" t="s">
        <v>76</v>
      </c>
      <c r="K100" s="139">
        <v>5</v>
      </c>
      <c r="L100" s="40"/>
    </row>
    <row r="101" spans="1:12" s="39" customFormat="1" ht="13" customHeight="1" thickBot="1" x14ac:dyDescent="0.25">
      <c r="B101" s="179"/>
      <c r="C101" s="37" t="str">
        <f t="shared" ref="C101:I101" si="49">IF(ISBLANK(C100),"",VLOOKUP(C100,$B$110:$L$146,11,0))</f>
        <v>13H30-22H00</v>
      </c>
      <c r="D101" s="37" t="str">
        <f t="shared" si="49"/>
        <v/>
      </c>
      <c r="E101" s="37" t="str">
        <f t="shared" si="49"/>
        <v>14H30-23H00</v>
      </c>
      <c r="F101" s="37" t="str">
        <f t="shared" si="49"/>
        <v/>
      </c>
      <c r="G101" s="37" t="str">
        <f t="shared" si="49"/>
        <v>06H00-14H30</v>
      </c>
      <c r="H101" s="37" t="str">
        <f t="shared" si="49"/>
        <v>06H00-14H30</v>
      </c>
      <c r="I101" s="37" t="str">
        <f t="shared" si="49"/>
        <v>06H00-14H30</v>
      </c>
      <c r="J101" s="181" t="s">
        <v>77</v>
      </c>
      <c r="K101" s="139"/>
      <c r="L101" s="40"/>
    </row>
    <row r="102" spans="1:12" s="39" customFormat="1" ht="13" customHeight="1" thickTop="1" x14ac:dyDescent="0.2">
      <c r="A102" s="21"/>
      <c r="B102" s="178" t="s">
        <v>136</v>
      </c>
      <c r="C102" s="36"/>
      <c r="D102" s="35" t="s">
        <v>95</v>
      </c>
      <c r="E102" s="36"/>
      <c r="F102" s="35" t="s">
        <v>95</v>
      </c>
      <c r="G102" s="35" t="s">
        <v>95</v>
      </c>
      <c r="H102" s="35" t="s">
        <v>95</v>
      </c>
      <c r="I102" s="35" t="s">
        <v>95</v>
      </c>
      <c r="J102" s="180"/>
      <c r="K102" s="139">
        <v>2</v>
      </c>
      <c r="L102" s="40"/>
    </row>
    <row r="103" spans="1:12" ht="13" customHeight="1" thickBot="1" x14ac:dyDescent="0.25">
      <c r="A103" s="41"/>
      <c r="B103" s="179"/>
      <c r="C103" s="37" t="str">
        <f t="shared" ref="C103:I103" si="50">IF(ISBLANK(C102),"",VLOOKUP(C102,$B$110:$L$146,11,0))</f>
        <v/>
      </c>
      <c r="D103" s="37">
        <f t="shared" si="50"/>
        <v>0</v>
      </c>
      <c r="E103" s="37" t="str">
        <f t="shared" si="50"/>
        <v/>
      </c>
      <c r="F103" s="37">
        <f t="shared" si="50"/>
        <v>0</v>
      </c>
      <c r="G103" s="37">
        <f t="shared" si="50"/>
        <v>0</v>
      </c>
      <c r="H103" s="37">
        <f t="shared" si="50"/>
        <v>0</v>
      </c>
      <c r="I103" s="37">
        <f t="shared" si="50"/>
        <v>0</v>
      </c>
      <c r="J103" s="181" t="s">
        <v>57</v>
      </c>
      <c r="K103" s="139"/>
    </row>
    <row r="104" spans="1:12" s="39" customFormat="1" ht="13" customHeight="1" thickTop="1" x14ac:dyDescent="0.2">
      <c r="A104" s="21"/>
      <c r="B104" s="178" t="s">
        <v>135</v>
      </c>
      <c r="C104" s="36"/>
      <c r="D104" s="35"/>
      <c r="E104" s="36" t="s">
        <v>95</v>
      </c>
      <c r="F104" s="35"/>
      <c r="G104" s="36"/>
      <c r="H104" s="35" t="s">
        <v>95</v>
      </c>
      <c r="I104" s="35" t="s">
        <v>95</v>
      </c>
      <c r="J104" s="180"/>
      <c r="K104" s="139">
        <v>4</v>
      </c>
      <c r="L104" s="40"/>
    </row>
    <row r="105" spans="1:12" ht="13" customHeight="1" thickBot="1" x14ac:dyDescent="0.25">
      <c r="A105" s="41"/>
      <c r="B105" s="179"/>
      <c r="C105" s="37" t="str">
        <f t="shared" ref="C105:I105" si="51">IF(ISBLANK(C104),"",VLOOKUP(C104,$B$110:$L$146,11,0))</f>
        <v/>
      </c>
      <c r="D105" s="37" t="str">
        <f t="shared" si="51"/>
        <v/>
      </c>
      <c r="E105" s="37">
        <f t="shared" si="51"/>
        <v>0</v>
      </c>
      <c r="F105" s="37" t="str">
        <f t="shared" si="51"/>
        <v/>
      </c>
      <c r="G105" s="37" t="str">
        <f t="shared" si="51"/>
        <v/>
      </c>
      <c r="H105" s="37">
        <f t="shared" si="51"/>
        <v>0</v>
      </c>
      <c r="I105" s="37">
        <f t="shared" si="51"/>
        <v>0</v>
      </c>
      <c r="J105" s="181" t="s">
        <v>57</v>
      </c>
      <c r="K105" s="139"/>
    </row>
    <row r="106" spans="1:12" s="39" customFormat="1" ht="13" customHeight="1" thickTop="1" x14ac:dyDescent="0.2">
      <c r="A106" s="21">
        <f>7-(COUNTIF(C106:I106,"")+COUNTIF(C106:I106,$B$144))</f>
        <v>5</v>
      </c>
      <c r="B106" s="178" t="s">
        <v>29</v>
      </c>
      <c r="C106" s="35" t="s">
        <v>87</v>
      </c>
      <c r="D106" s="35" t="s">
        <v>87</v>
      </c>
      <c r="E106" s="35" t="s">
        <v>87</v>
      </c>
      <c r="F106" s="35" t="s">
        <v>87</v>
      </c>
      <c r="G106" s="35" t="s">
        <v>87</v>
      </c>
      <c r="H106" s="35" t="s">
        <v>95</v>
      </c>
      <c r="I106" s="35" t="s">
        <v>95</v>
      </c>
      <c r="J106" s="180"/>
      <c r="K106" s="139">
        <v>5</v>
      </c>
      <c r="L106" s="40"/>
    </row>
    <row r="107" spans="1:12" s="39" customFormat="1" ht="13" customHeight="1" thickBot="1" x14ac:dyDescent="0.25">
      <c r="B107" s="202"/>
      <c r="C107" s="43" t="str">
        <f t="shared" ref="C107:I107" si="52">IF(ISBLANK(C106),"",VLOOKUP(C106,$B$110:$L$146,11,0))</f>
        <v>08H00-16H30</v>
      </c>
      <c r="D107" s="43" t="str">
        <f t="shared" si="52"/>
        <v>08H00-16H30</v>
      </c>
      <c r="E107" s="43" t="str">
        <f t="shared" si="52"/>
        <v>08H00-16H30</v>
      </c>
      <c r="F107" s="43" t="str">
        <f t="shared" si="52"/>
        <v>08H00-16H30</v>
      </c>
      <c r="G107" s="43" t="str">
        <f t="shared" si="52"/>
        <v>08H00-16H30</v>
      </c>
      <c r="H107" s="43">
        <f t="shared" si="52"/>
        <v>0</v>
      </c>
      <c r="I107" s="43">
        <f t="shared" si="52"/>
        <v>0</v>
      </c>
      <c r="J107" s="203"/>
      <c r="K107" s="139"/>
      <c r="L107" s="40"/>
    </row>
    <row r="108" spans="1:12" s="39" customFormat="1" ht="13" customHeight="1" thickTop="1" x14ac:dyDescent="0.2">
      <c r="C108" s="45">
        <f>C5</f>
        <v>43122</v>
      </c>
      <c r="D108" s="45">
        <f t="shared" ref="D108:I108" si="53">C108+1</f>
        <v>43123</v>
      </c>
      <c r="E108" s="45">
        <f t="shared" si="53"/>
        <v>43124</v>
      </c>
      <c r="F108" s="45">
        <f t="shared" si="53"/>
        <v>43125</v>
      </c>
      <c r="G108" s="45">
        <f t="shared" si="53"/>
        <v>43126</v>
      </c>
      <c r="H108" s="45">
        <f t="shared" si="53"/>
        <v>43127</v>
      </c>
      <c r="I108" s="45">
        <f t="shared" si="53"/>
        <v>43128</v>
      </c>
      <c r="L108" s="40"/>
    </row>
    <row r="109" spans="1:12" ht="13" customHeight="1" x14ac:dyDescent="0.2">
      <c r="A109" s="41"/>
      <c r="B109" s="46" t="s">
        <v>39</v>
      </c>
      <c r="C109" s="47"/>
      <c r="D109" s="47"/>
      <c r="E109" s="47"/>
      <c r="F109" s="47"/>
      <c r="G109" s="39"/>
      <c r="H109" s="39"/>
      <c r="I109" s="39"/>
      <c r="J109" s="48" t="s">
        <v>98</v>
      </c>
      <c r="K109" s="49" t="s">
        <v>107</v>
      </c>
      <c r="L109" s="50" t="s">
        <v>97</v>
      </c>
    </row>
    <row r="110" spans="1:12" ht="13" customHeight="1" x14ac:dyDescent="0.2">
      <c r="A110" s="41"/>
      <c r="B110" s="51" t="s">
        <v>117</v>
      </c>
      <c r="C110" s="52">
        <f t="shared" ref="C110:I125" si="54">COUNTIF(C$6:C$107,$B110)</f>
        <v>0</v>
      </c>
      <c r="D110" s="52">
        <f t="shared" si="54"/>
        <v>0</v>
      </c>
      <c r="E110" s="52">
        <f t="shared" si="54"/>
        <v>0</v>
      </c>
      <c r="F110" s="52">
        <f t="shared" si="54"/>
        <v>0</v>
      </c>
      <c r="G110" s="52">
        <f t="shared" si="54"/>
        <v>0</v>
      </c>
      <c r="H110" s="52">
        <f t="shared" si="54"/>
        <v>0</v>
      </c>
      <c r="I110" s="52">
        <f t="shared" si="54"/>
        <v>0</v>
      </c>
      <c r="J110" s="53">
        <f t="shared" ref="J110:J146" si="55">SUM(C110:I110)</f>
        <v>0</v>
      </c>
      <c r="K110" s="49"/>
      <c r="L110" s="1" t="s">
        <v>118</v>
      </c>
    </row>
    <row r="111" spans="1:12" ht="13" customHeight="1" x14ac:dyDescent="0.2">
      <c r="A111" s="41"/>
      <c r="B111" s="54" t="s">
        <v>160</v>
      </c>
      <c r="C111" s="52">
        <f t="shared" si="54"/>
        <v>0</v>
      </c>
      <c r="D111" s="52">
        <f t="shared" si="54"/>
        <v>0</v>
      </c>
      <c r="E111" s="52">
        <f t="shared" si="54"/>
        <v>0</v>
      </c>
      <c r="F111" s="52">
        <f t="shared" si="54"/>
        <v>0</v>
      </c>
      <c r="G111" s="52">
        <f t="shared" si="54"/>
        <v>0</v>
      </c>
      <c r="H111" s="52">
        <f t="shared" si="54"/>
        <v>0</v>
      </c>
      <c r="I111" s="52">
        <f t="shared" si="54"/>
        <v>0</v>
      </c>
      <c r="J111" s="53">
        <f t="shared" si="55"/>
        <v>0</v>
      </c>
      <c r="K111" s="49">
        <v>1</v>
      </c>
      <c r="L111" s="1" t="s">
        <v>116</v>
      </c>
    </row>
    <row r="112" spans="1:12" ht="13" customHeight="1" x14ac:dyDescent="0.2">
      <c r="A112" s="41"/>
      <c r="B112" s="55" t="s">
        <v>79</v>
      </c>
      <c r="C112" s="52">
        <f t="shared" si="54"/>
        <v>1</v>
      </c>
      <c r="D112" s="52">
        <f t="shared" si="54"/>
        <v>1</v>
      </c>
      <c r="E112" s="52">
        <f t="shared" si="54"/>
        <v>1</v>
      </c>
      <c r="F112" s="52">
        <f t="shared" si="54"/>
        <v>1</v>
      </c>
      <c r="G112" s="52">
        <f t="shared" si="54"/>
        <v>1</v>
      </c>
      <c r="H112" s="52">
        <f t="shared" si="54"/>
        <v>1</v>
      </c>
      <c r="I112" s="52">
        <f t="shared" si="54"/>
        <v>1</v>
      </c>
      <c r="J112" s="53">
        <f t="shared" si="55"/>
        <v>7</v>
      </c>
      <c r="K112" s="49">
        <v>7</v>
      </c>
      <c r="L112" s="1" t="s">
        <v>34</v>
      </c>
    </row>
    <row r="113" spans="1:12" ht="13" customHeight="1" x14ac:dyDescent="0.2">
      <c r="A113" s="41"/>
      <c r="B113" s="20" t="s">
        <v>150</v>
      </c>
      <c r="C113" s="52">
        <f t="shared" si="54"/>
        <v>1</v>
      </c>
      <c r="D113" s="52">
        <f t="shared" si="54"/>
        <v>1</v>
      </c>
      <c r="E113" s="52">
        <f t="shared" si="54"/>
        <v>1</v>
      </c>
      <c r="F113" s="52">
        <f t="shared" si="54"/>
        <v>1</v>
      </c>
      <c r="G113" s="52">
        <f t="shared" si="54"/>
        <v>1</v>
      </c>
      <c r="H113" s="52">
        <f t="shared" si="54"/>
        <v>1</v>
      </c>
      <c r="I113" s="52">
        <f t="shared" si="54"/>
        <v>1</v>
      </c>
      <c r="J113" s="53">
        <f t="shared" si="55"/>
        <v>7</v>
      </c>
      <c r="K113" s="49">
        <v>7</v>
      </c>
      <c r="L113" s="1" t="s">
        <v>34</v>
      </c>
    </row>
    <row r="114" spans="1:12" ht="13" customHeight="1" x14ac:dyDescent="0.2">
      <c r="A114" s="41"/>
      <c r="B114" s="3" t="s">
        <v>80</v>
      </c>
      <c r="C114" s="52">
        <f t="shared" si="54"/>
        <v>1</v>
      </c>
      <c r="D114" s="52">
        <f t="shared" si="54"/>
        <v>1</v>
      </c>
      <c r="E114" s="52">
        <f t="shared" si="54"/>
        <v>1</v>
      </c>
      <c r="F114" s="52">
        <f t="shared" si="54"/>
        <v>1</v>
      </c>
      <c r="G114" s="52">
        <f t="shared" si="54"/>
        <v>1</v>
      </c>
      <c r="H114" s="52">
        <f t="shared" si="54"/>
        <v>1</v>
      </c>
      <c r="I114" s="52">
        <f t="shared" si="54"/>
        <v>1</v>
      </c>
      <c r="J114" s="53">
        <f t="shared" si="55"/>
        <v>7</v>
      </c>
      <c r="K114" s="49">
        <v>7</v>
      </c>
      <c r="L114" s="1" t="s">
        <v>32</v>
      </c>
    </row>
    <row r="115" spans="1:12" ht="13" customHeight="1" x14ac:dyDescent="0.2">
      <c r="A115" s="41"/>
      <c r="B115" s="4" t="s">
        <v>81</v>
      </c>
      <c r="C115" s="52">
        <f t="shared" si="54"/>
        <v>1</v>
      </c>
      <c r="D115" s="52">
        <f t="shared" si="54"/>
        <v>1</v>
      </c>
      <c r="E115" s="52">
        <f t="shared" si="54"/>
        <v>1</v>
      </c>
      <c r="F115" s="52">
        <f t="shared" si="54"/>
        <v>1</v>
      </c>
      <c r="G115" s="52">
        <f t="shared" si="54"/>
        <v>1</v>
      </c>
      <c r="H115" s="52">
        <f t="shared" si="54"/>
        <v>1</v>
      </c>
      <c r="I115" s="52">
        <f t="shared" si="54"/>
        <v>1</v>
      </c>
      <c r="J115" s="53">
        <f t="shared" si="55"/>
        <v>7</v>
      </c>
      <c r="K115" s="49">
        <v>7</v>
      </c>
      <c r="L115" s="1" t="s">
        <v>36</v>
      </c>
    </row>
    <row r="116" spans="1:12" ht="13" customHeight="1" x14ac:dyDescent="0.2">
      <c r="B116" s="73" t="s">
        <v>154</v>
      </c>
      <c r="C116" s="52">
        <f t="shared" si="54"/>
        <v>0</v>
      </c>
      <c r="D116" s="52">
        <f t="shared" si="54"/>
        <v>1</v>
      </c>
      <c r="E116" s="52">
        <f t="shared" si="54"/>
        <v>1</v>
      </c>
      <c r="F116" s="52">
        <f t="shared" si="54"/>
        <v>1</v>
      </c>
      <c r="G116" s="52">
        <f t="shared" si="54"/>
        <v>0</v>
      </c>
      <c r="H116" s="52">
        <f t="shared" si="54"/>
        <v>1</v>
      </c>
      <c r="I116" s="52">
        <f t="shared" si="54"/>
        <v>0</v>
      </c>
      <c r="J116" s="53">
        <f t="shared" si="55"/>
        <v>4</v>
      </c>
      <c r="K116" s="49">
        <v>7</v>
      </c>
      <c r="L116" s="1" t="s">
        <v>125</v>
      </c>
    </row>
    <row r="117" spans="1:12" ht="13" customHeight="1" x14ac:dyDescent="0.2">
      <c r="A117" s="41"/>
      <c r="B117" s="5" t="s">
        <v>103</v>
      </c>
      <c r="C117" s="52">
        <f t="shared" si="54"/>
        <v>0</v>
      </c>
      <c r="D117" s="52">
        <f t="shared" si="54"/>
        <v>0</v>
      </c>
      <c r="E117" s="52">
        <f t="shared" si="54"/>
        <v>0</v>
      </c>
      <c r="F117" s="52">
        <f t="shared" si="54"/>
        <v>0</v>
      </c>
      <c r="G117" s="52">
        <f t="shared" si="54"/>
        <v>0</v>
      </c>
      <c r="H117" s="52">
        <f t="shared" si="54"/>
        <v>0</v>
      </c>
      <c r="I117" s="52">
        <f t="shared" si="54"/>
        <v>0</v>
      </c>
      <c r="J117" s="53">
        <f t="shared" si="55"/>
        <v>0</v>
      </c>
      <c r="K117" s="49">
        <v>0</v>
      </c>
      <c r="L117" s="1" t="s">
        <v>38</v>
      </c>
    </row>
    <row r="118" spans="1:12" ht="13" customHeight="1" x14ac:dyDescent="0.2">
      <c r="A118" s="41"/>
      <c r="B118" s="14" t="s">
        <v>149</v>
      </c>
      <c r="C118" s="52">
        <f t="shared" si="54"/>
        <v>1</v>
      </c>
      <c r="D118" s="52">
        <f t="shared" si="54"/>
        <v>1</v>
      </c>
      <c r="E118" s="52">
        <f t="shared" si="54"/>
        <v>1</v>
      </c>
      <c r="F118" s="52">
        <f t="shared" si="54"/>
        <v>1</v>
      </c>
      <c r="G118" s="52">
        <f t="shared" si="54"/>
        <v>1</v>
      </c>
      <c r="H118" s="52">
        <f t="shared" si="54"/>
        <v>1</v>
      </c>
      <c r="I118" s="52">
        <f t="shared" si="54"/>
        <v>1</v>
      </c>
      <c r="J118" s="53">
        <f t="shared" si="55"/>
        <v>7</v>
      </c>
      <c r="K118" s="49">
        <v>7</v>
      </c>
      <c r="L118" s="1" t="s">
        <v>34</v>
      </c>
    </row>
    <row r="119" spans="1:12" ht="13" customHeight="1" x14ac:dyDescent="0.2">
      <c r="A119" s="41"/>
      <c r="B119" s="16" t="s">
        <v>122</v>
      </c>
      <c r="C119" s="52">
        <f t="shared" si="54"/>
        <v>1</v>
      </c>
      <c r="D119" s="52">
        <f t="shared" si="54"/>
        <v>1</v>
      </c>
      <c r="E119" s="52">
        <f t="shared" si="54"/>
        <v>1</v>
      </c>
      <c r="F119" s="52">
        <f t="shared" si="54"/>
        <v>1</v>
      </c>
      <c r="G119" s="52">
        <f t="shared" si="54"/>
        <v>1</v>
      </c>
      <c r="H119" s="52">
        <f t="shared" si="54"/>
        <v>1</v>
      </c>
      <c r="I119" s="52">
        <f t="shared" si="54"/>
        <v>1</v>
      </c>
      <c r="J119" s="53">
        <f>SUM(C119:I119)</f>
        <v>7</v>
      </c>
      <c r="K119" s="49">
        <v>7</v>
      </c>
      <c r="L119" s="1" t="s">
        <v>32</v>
      </c>
    </row>
    <row r="120" spans="1:12" ht="13" customHeight="1" x14ac:dyDescent="0.2">
      <c r="A120" s="41"/>
      <c r="B120" s="6" t="s">
        <v>82</v>
      </c>
      <c r="C120" s="52">
        <f t="shared" si="54"/>
        <v>2</v>
      </c>
      <c r="D120" s="52">
        <f t="shared" si="54"/>
        <v>2</v>
      </c>
      <c r="E120" s="52">
        <f t="shared" si="54"/>
        <v>2</v>
      </c>
      <c r="F120" s="52">
        <f t="shared" si="54"/>
        <v>2</v>
      </c>
      <c r="G120" s="52">
        <f t="shared" si="54"/>
        <v>2</v>
      </c>
      <c r="H120" s="52">
        <f t="shared" si="54"/>
        <v>2</v>
      </c>
      <c r="I120" s="52">
        <f t="shared" si="54"/>
        <v>2</v>
      </c>
      <c r="J120" s="53">
        <f t="shared" si="55"/>
        <v>14</v>
      </c>
      <c r="K120" s="49">
        <v>14</v>
      </c>
      <c r="L120" s="1" t="s">
        <v>32</v>
      </c>
    </row>
    <row r="121" spans="1:12" ht="13" customHeight="1" x14ac:dyDescent="0.2">
      <c r="A121" s="41"/>
      <c r="B121" s="6" t="s">
        <v>83</v>
      </c>
      <c r="C121" s="52">
        <f t="shared" si="54"/>
        <v>1</v>
      </c>
      <c r="D121" s="52">
        <f t="shared" si="54"/>
        <v>1</v>
      </c>
      <c r="E121" s="52">
        <f t="shared" si="54"/>
        <v>1</v>
      </c>
      <c r="F121" s="52">
        <f t="shared" si="54"/>
        <v>1</v>
      </c>
      <c r="G121" s="52">
        <f t="shared" si="54"/>
        <v>1</v>
      </c>
      <c r="H121" s="52">
        <f t="shared" si="54"/>
        <v>1</v>
      </c>
      <c r="I121" s="52">
        <f t="shared" si="54"/>
        <v>1</v>
      </c>
      <c r="J121" s="53">
        <f t="shared" si="55"/>
        <v>7</v>
      </c>
      <c r="K121" s="49">
        <v>7</v>
      </c>
      <c r="L121" s="1" t="s">
        <v>34</v>
      </c>
    </row>
    <row r="122" spans="1:12" ht="13" customHeight="1" x14ac:dyDescent="0.2">
      <c r="A122" s="41"/>
      <c r="B122" s="6" t="s">
        <v>109</v>
      </c>
      <c r="C122" s="52">
        <f t="shared" si="54"/>
        <v>0</v>
      </c>
      <c r="D122" s="52">
        <f t="shared" si="54"/>
        <v>0</v>
      </c>
      <c r="E122" s="52">
        <f t="shared" si="54"/>
        <v>0</v>
      </c>
      <c r="F122" s="52">
        <f t="shared" si="54"/>
        <v>0</v>
      </c>
      <c r="G122" s="52">
        <f t="shared" si="54"/>
        <v>0</v>
      </c>
      <c r="H122" s="52">
        <f t="shared" si="54"/>
        <v>0</v>
      </c>
      <c r="I122" s="52">
        <f t="shared" si="54"/>
        <v>0</v>
      </c>
      <c r="J122" s="53">
        <f t="shared" si="55"/>
        <v>0</v>
      </c>
      <c r="K122" s="49"/>
      <c r="L122" s="1" t="s">
        <v>126</v>
      </c>
    </row>
    <row r="123" spans="1:12" ht="13" customHeight="1" x14ac:dyDescent="0.2">
      <c r="A123" s="41"/>
      <c r="B123" s="7" t="s">
        <v>84</v>
      </c>
      <c r="C123" s="52">
        <f t="shared" si="54"/>
        <v>3</v>
      </c>
      <c r="D123" s="52">
        <f t="shared" si="54"/>
        <v>3</v>
      </c>
      <c r="E123" s="52">
        <f t="shared" si="54"/>
        <v>3</v>
      </c>
      <c r="F123" s="52">
        <f t="shared" si="54"/>
        <v>3</v>
      </c>
      <c r="G123" s="52">
        <f t="shared" si="54"/>
        <v>3</v>
      </c>
      <c r="H123" s="52">
        <f t="shared" si="54"/>
        <v>3</v>
      </c>
      <c r="I123" s="52">
        <f t="shared" si="54"/>
        <v>2</v>
      </c>
      <c r="J123" s="53">
        <f t="shared" si="55"/>
        <v>20</v>
      </c>
      <c r="K123" s="49">
        <v>21</v>
      </c>
      <c r="L123" s="1" t="s">
        <v>35</v>
      </c>
    </row>
    <row r="124" spans="1:12" ht="13" customHeight="1" x14ac:dyDescent="0.2">
      <c r="A124" s="41"/>
      <c r="B124" s="17" t="s">
        <v>123</v>
      </c>
      <c r="C124" s="52">
        <f t="shared" si="54"/>
        <v>1</v>
      </c>
      <c r="D124" s="52">
        <f t="shared" si="54"/>
        <v>1</v>
      </c>
      <c r="E124" s="52">
        <f t="shared" si="54"/>
        <v>1</v>
      </c>
      <c r="F124" s="52">
        <f t="shared" si="54"/>
        <v>1</v>
      </c>
      <c r="G124" s="52">
        <f t="shared" si="54"/>
        <v>1</v>
      </c>
      <c r="H124" s="52">
        <f t="shared" si="54"/>
        <v>1</v>
      </c>
      <c r="I124" s="52">
        <f t="shared" si="54"/>
        <v>1</v>
      </c>
      <c r="J124" s="53">
        <f>SUM(C124:I124)</f>
        <v>7</v>
      </c>
      <c r="K124" s="49">
        <v>7</v>
      </c>
      <c r="L124" s="1" t="s">
        <v>36</v>
      </c>
    </row>
    <row r="125" spans="1:12" ht="13" customHeight="1" x14ac:dyDescent="0.2">
      <c r="A125" s="41"/>
      <c r="B125" s="7" t="s">
        <v>85</v>
      </c>
      <c r="C125" s="52">
        <f t="shared" si="54"/>
        <v>1</v>
      </c>
      <c r="D125" s="52">
        <f t="shared" si="54"/>
        <v>1</v>
      </c>
      <c r="E125" s="52">
        <f t="shared" si="54"/>
        <v>1</v>
      </c>
      <c r="F125" s="52">
        <f t="shared" si="54"/>
        <v>1</v>
      </c>
      <c r="G125" s="52">
        <f t="shared" si="54"/>
        <v>1</v>
      </c>
      <c r="H125" s="52">
        <f t="shared" si="54"/>
        <v>1</v>
      </c>
      <c r="I125" s="52">
        <f t="shared" si="54"/>
        <v>1</v>
      </c>
      <c r="J125" s="53">
        <f t="shared" si="55"/>
        <v>7</v>
      </c>
      <c r="K125" s="49">
        <v>7</v>
      </c>
      <c r="L125" s="1" t="s">
        <v>36</v>
      </c>
    </row>
    <row r="126" spans="1:12" ht="13" customHeight="1" x14ac:dyDescent="0.2">
      <c r="A126" s="41"/>
      <c r="B126" s="8" t="s">
        <v>110</v>
      </c>
      <c r="C126" s="52">
        <f t="shared" ref="C126:I135" si="56">COUNTIF(C$6:C$107,$B126)</f>
        <v>1</v>
      </c>
      <c r="D126" s="52">
        <f t="shared" si="56"/>
        <v>1</v>
      </c>
      <c r="E126" s="52">
        <f t="shared" si="56"/>
        <v>1</v>
      </c>
      <c r="F126" s="52">
        <f t="shared" si="56"/>
        <v>1</v>
      </c>
      <c r="G126" s="52">
        <f t="shared" si="56"/>
        <v>1</v>
      </c>
      <c r="H126" s="52">
        <f t="shared" si="56"/>
        <v>1</v>
      </c>
      <c r="I126" s="52">
        <f t="shared" si="56"/>
        <v>1</v>
      </c>
      <c r="J126" s="53">
        <f t="shared" si="55"/>
        <v>7</v>
      </c>
      <c r="K126" s="49">
        <v>7</v>
      </c>
      <c r="L126" s="1" t="s">
        <v>38</v>
      </c>
    </row>
    <row r="127" spans="1:12" ht="13" customHeight="1" x14ac:dyDescent="0.2">
      <c r="A127" s="41"/>
      <c r="B127" s="56" t="s">
        <v>86</v>
      </c>
      <c r="C127" s="52">
        <f t="shared" si="56"/>
        <v>0</v>
      </c>
      <c r="D127" s="52">
        <f t="shared" si="56"/>
        <v>0</v>
      </c>
      <c r="E127" s="52">
        <f t="shared" si="56"/>
        <v>0</v>
      </c>
      <c r="F127" s="52">
        <f t="shared" si="56"/>
        <v>0</v>
      </c>
      <c r="G127" s="52">
        <f t="shared" si="56"/>
        <v>0</v>
      </c>
      <c r="H127" s="52">
        <f t="shared" si="56"/>
        <v>0</v>
      </c>
      <c r="I127" s="52">
        <f t="shared" si="56"/>
        <v>0</v>
      </c>
      <c r="J127" s="53">
        <f t="shared" si="55"/>
        <v>0</v>
      </c>
      <c r="K127" s="49">
        <v>19</v>
      </c>
      <c r="L127" s="1" t="s">
        <v>32</v>
      </c>
    </row>
    <row r="128" spans="1:12" ht="13" customHeight="1" x14ac:dyDescent="0.2">
      <c r="A128" s="41"/>
      <c r="B128" s="56" t="s">
        <v>87</v>
      </c>
      <c r="C128" s="52">
        <f t="shared" si="56"/>
        <v>7</v>
      </c>
      <c r="D128" s="52">
        <f t="shared" si="56"/>
        <v>7</v>
      </c>
      <c r="E128" s="52">
        <f t="shared" si="56"/>
        <v>6</v>
      </c>
      <c r="F128" s="52">
        <f t="shared" si="56"/>
        <v>6</v>
      </c>
      <c r="G128" s="52">
        <f t="shared" si="56"/>
        <v>6</v>
      </c>
      <c r="H128" s="52">
        <f t="shared" si="56"/>
        <v>0</v>
      </c>
      <c r="I128" s="52">
        <f t="shared" si="56"/>
        <v>0</v>
      </c>
      <c r="J128" s="53">
        <f t="shared" si="55"/>
        <v>32</v>
      </c>
      <c r="K128" s="49">
        <v>20</v>
      </c>
      <c r="L128" s="1" t="s">
        <v>116</v>
      </c>
    </row>
    <row r="129" spans="1:12" ht="13" customHeight="1" x14ac:dyDescent="0.2">
      <c r="A129" s="41"/>
      <c r="B129" s="57" t="s">
        <v>88</v>
      </c>
      <c r="C129" s="52">
        <f t="shared" si="56"/>
        <v>0</v>
      </c>
      <c r="D129" s="52">
        <f t="shared" si="56"/>
        <v>0</v>
      </c>
      <c r="E129" s="52">
        <f t="shared" si="56"/>
        <v>0</v>
      </c>
      <c r="F129" s="52">
        <f t="shared" si="56"/>
        <v>0</v>
      </c>
      <c r="G129" s="52">
        <f t="shared" si="56"/>
        <v>0</v>
      </c>
      <c r="H129" s="52">
        <f t="shared" si="56"/>
        <v>0</v>
      </c>
      <c r="I129" s="52">
        <f t="shared" si="56"/>
        <v>0</v>
      </c>
      <c r="J129" s="53">
        <f t="shared" si="55"/>
        <v>0</v>
      </c>
      <c r="K129" s="49">
        <v>6</v>
      </c>
      <c r="L129" s="1" t="s">
        <v>36</v>
      </c>
    </row>
    <row r="130" spans="1:12" ht="13" customHeight="1" x14ac:dyDescent="0.2">
      <c r="A130" s="41"/>
      <c r="B130" s="58" t="s">
        <v>89</v>
      </c>
      <c r="C130" s="52">
        <f t="shared" si="56"/>
        <v>1</v>
      </c>
      <c r="D130" s="52">
        <f t="shared" si="56"/>
        <v>1</v>
      </c>
      <c r="E130" s="52">
        <f t="shared" si="56"/>
        <v>1</v>
      </c>
      <c r="F130" s="52">
        <f t="shared" si="56"/>
        <v>1</v>
      </c>
      <c r="G130" s="52">
        <f t="shared" si="56"/>
        <v>1</v>
      </c>
      <c r="H130" s="52">
        <f t="shared" si="56"/>
        <v>0</v>
      </c>
      <c r="I130" s="52">
        <f t="shared" si="56"/>
        <v>0</v>
      </c>
      <c r="J130" s="53">
        <f t="shared" si="55"/>
        <v>5</v>
      </c>
      <c r="K130" s="49">
        <v>5</v>
      </c>
      <c r="L130" s="1" t="s">
        <v>37</v>
      </c>
    </row>
    <row r="131" spans="1:12" ht="13" customHeight="1" x14ac:dyDescent="0.2">
      <c r="A131" s="41"/>
      <c r="B131" s="9" t="s">
        <v>90</v>
      </c>
      <c r="C131" s="52">
        <f t="shared" si="56"/>
        <v>1</v>
      </c>
      <c r="D131" s="52">
        <f t="shared" si="56"/>
        <v>1</v>
      </c>
      <c r="E131" s="52">
        <f t="shared" si="56"/>
        <v>1</v>
      </c>
      <c r="F131" s="52">
        <f t="shared" si="56"/>
        <v>1</v>
      </c>
      <c r="G131" s="52">
        <f t="shared" si="56"/>
        <v>1</v>
      </c>
      <c r="H131" s="52">
        <f t="shared" si="56"/>
        <v>1</v>
      </c>
      <c r="I131" s="52">
        <f t="shared" si="56"/>
        <v>1</v>
      </c>
      <c r="J131" s="53">
        <f t="shared" si="55"/>
        <v>7</v>
      </c>
      <c r="K131" s="49">
        <v>7</v>
      </c>
      <c r="L131" s="1" t="s">
        <v>32</v>
      </c>
    </row>
    <row r="132" spans="1:12" ht="13" customHeight="1" x14ac:dyDescent="0.2">
      <c r="A132" s="41"/>
      <c r="B132" s="9" t="s">
        <v>91</v>
      </c>
      <c r="C132" s="52">
        <f t="shared" si="56"/>
        <v>1</v>
      </c>
      <c r="D132" s="52">
        <f t="shared" si="56"/>
        <v>1</v>
      </c>
      <c r="E132" s="52">
        <f t="shared" si="56"/>
        <v>1</v>
      </c>
      <c r="F132" s="52">
        <f t="shared" si="56"/>
        <v>1</v>
      </c>
      <c r="G132" s="52">
        <f t="shared" si="56"/>
        <v>1</v>
      </c>
      <c r="H132" s="52">
        <f t="shared" si="56"/>
        <v>1</v>
      </c>
      <c r="I132" s="52">
        <f t="shared" si="56"/>
        <v>1</v>
      </c>
      <c r="J132" s="53">
        <f t="shared" si="55"/>
        <v>7</v>
      </c>
      <c r="K132" s="49">
        <v>7</v>
      </c>
      <c r="L132" s="1" t="s">
        <v>32</v>
      </c>
    </row>
    <row r="133" spans="1:12" ht="13" customHeight="1" x14ac:dyDescent="0.2">
      <c r="A133" s="41"/>
      <c r="B133" s="9" t="s">
        <v>92</v>
      </c>
      <c r="C133" s="52">
        <f t="shared" si="56"/>
        <v>1</v>
      </c>
      <c r="D133" s="52">
        <f t="shared" si="56"/>
        <v>1</v>
      </c>
      <c r="E133" s="52">
        <f t="shared" si="56"/>
        <v>1</v>
      </c>
      <c r="F133" s="52">
        <f t="shared" si="56"/>
        <v>1</v>
      </c>
      <c r="G133" s="52">
        <f t="shared" si="56"/>
        <v>1</v>
      </c>
      <c r="H133" s="52">
        <f t="shared" si="56"/>
        <v>1</v>
      </c>
      <c r="I133" s="52">
        <f t="shared" si="56"/>
        <v>1</v>
      </c>
      <c r="J133" s="53">
        <f t="shared" si="55"/>
        <v>7</v>
      </c>
      <c r="K133" s="49">
        <v>7</v>
      </c>
      <c r="L133" s="1" t="s">
        <v>96</v>
      </c>
    </row>
    <row r="134" spans="1:12" ht="13" customHeight="1" x14ac:dyDescent="0.2">
      <c r="A134" s="41"/>
      <c r="B134" s="10" t="s">
        <v>31</v>
      </c>
      <c r="C134" s="52">
        <f t="shared" si="56"/>
        <v>1</v>
      </c>
      <c r="D134" s="52">
        <f t="shared" si="56"/>
        <v>1</v>
      </c>
      <c r="E134" s="52">
        <f t="shared" si="56"/>
        <v>1</v>
      </c>
      <c r="F134" s="52">
        <f t="shared" si="56"/>
        <v>1</v>
      </c>
      <c r="G134" s="52">
        <f t="shared" si="56"/>
        <v>1</v>
      </c>
      <c r="H134" s="52">
        <f t="shared" si="56"/>
        <v>1</v>
      </c>
      <c r="I134" s="52">
        <f t="shared" si="56"/>
        <v>1</v>
      </c>
      <c r="J134" s="53">
        <f t="shared" si="55"/>
        <v>7</v>
      </c>
      <c r="K134" s="49">
        <v>7</v>
      </c>
      <c r="L134" s="1" t="s">
        <v>32</v>
      </c>
    </row>
    <row r="135" spans="1:12" ht="13" customHeight="1" x14ac:dyDescent="0.2">
      <c r="A135" s="41"/>
      <c r="B135" s="11" t="s">
        <v>93</v>
      </c>
      <c r="C135" s="52">
        <f t="shared" si="56"/>
        <v>1</v>
      </c>
      <c r="D135" s="52">
        <f t="shared" si="56"/>
        <v>1</v>
      </c>
      <c r="E135" s="52">
        <f t="shared" si="56"/>
        <v>1</v>
      </c>
      <c r="F135" s="52">
        <f t="shared" si="56"/>
        <v>1</v>
      </c>
      <c r="G135" s="52">
        <f t="shared" si="56"/>
        <v>1</v>
      </c>
      <c r="H135" s="52">
        <f t="shared" si="56"/>
        <v>1</v>
      </c>
      <c r="I135" s="52">
        <f t="shared" si="56"/>
        <v>1</v>
      </c>
      <c r="J135" s="53">
        <f t="shared" si="55"/>
        <v>7</v>
      </c>
      <c r="K135" s="49">
        <v>7</v>
      </c>
      <c r="L135" s="1" t="s">
        <v>32</v>
      </c>
    </row>
    <row r="136" spans="1:12" ht="13" customHeight="1" x14ac:dyDescent="0.2">
      <c r="B136" s="19" t="s">
        <v>137</v>
      </c>
      <c r="C136" s="52">
        <f t="shared" ref="C136:I138" si="57">COUNTIF(C$6:C$115,Actions)</f>
        <v>1</v>
      </c>
      <c r="D136" s="52">
        <f t="shared" si="57"/>
        <v>1</v>
      </c>
      <c r="E136" s="52">
        <f t="shared" si="57"/>
        <v>1</v>
      </c>
      <c r="F136" s="52">
        <f t="shared" si="57"/>
        <v>1</v>
      </c>
      <c r="G136" s="52">
        <f t="shared" si="57"/>
        <v>1</v>
      </c>
      <c r="H136" s="52">
        <f t="shared" si="57"/>
        <v>1</v>
      </c>
      <c r="I136" s="52">
        <f t="shared" si="57"/>
        <v>1</v>
      </c>
      <c r="J136" s="53">
        <f t="shared" si="55"/>
        <v>7</v>
      </c>
      <c r="K136" s="59">
        <v>7</v>
      </c>
      <c r="L136" s="2" t="s">
        <v>32</v>
      </c>
    </row>
    <row r="137" spans="1:12" ht="13" customHeight="1" x14ac:dyDescent="0.2">
      <c r="B137" s="18" t="s">
        <v>139</v>
      </c>
      <c r="C137" s="52">
        <f t="shared" si="57"/>
        <v>1</v>
      </c>
      <c r="D137" s="52">
        <f t="shared" si="57"/>
        <v>1</v>
      </c>
      <c r="E137" s="52">
        <f t="shared" si="57"/>
        <v>1</v>
      </c>
      <c r="F137" s="52">
        <f t="shared" si="57"/>
        <v>1</v>
      </c>
      <c r="G137" s="52">
        <f t="shared" si="57"/>
        <v>1</v>
      </c>
      <c r="H137" s="52">
        <f t="shared" si="57"/>
        <v>1</v>
      </c>
      <c r="I137" s="52">
        <f t="shared" si="57"/>
        <v>1</v>
      </c>
      <c r="J137" s="53">
        <f t="shared" si="55"/>
        <v>7</v>
      </c>
      <c r="K137" s="60">
        <v>7</v>
      </c>
      <c r="L137" s="2" t="s">
        <v>140</v>
      </c>
    </row>
    <row r="138" spans="1:12" ht="13" customHeight="1" x14ac:dyDescent="0.2">
      <c r="B138" s="61" t="s">
        <v>138</v>
      </c>
      <c r="C138" s="52">
        <f t="shared" si="57"/>
        <v>1</v>
      </c>
      <c r="D138" s="52">
        <f t="shared" si="57"/>
        <v>1</v>
      </c>
      <c r="E138" s="52">
        <f t="shared" si="57"/>
        <v>1</v>
      </c>
      <c r="F138" s="52">
        <f t="shared" si="57"/>
        <v>1</v>
      </c>
      <c r="G138" s="52">
        <f t="shared" si="57"/>
        <v>1</v>
      </c>
      <c r="H138" s="52">
        <f t="shared" si="57"/>
        <v>1</v>
      </c>
      <c r="I138" s="52">
        <f t="shared" si="57"/>
        <v>1</v>
      </c>
      <c r="J138" s="53">
        <f t="shared" si="55"/>
        <v>7</v>
      </c>
      <c r="K138" s="62">
        <v>7</v>
      </c>
      <c r="L138" s="2" t="s">
        <v>141</v>
      </c>
    </row>
    <row r="139" spans="1:12" ht="13" customHeight="1" x14ac:dyDescent="0.2">
      <c r="A139" s="41"/>
      <c r="B139" s="12" t="s">
        <v>151</v>
      </c>
      <c r="C139" s="52">
        <f t="shared" ref="C139:I146" si="58">COUNTIF(C$6:C$107,$B139)</f>
        <v>0</v>
      </c>
      <c r="D139" s="52">
        <f t="shared" si="58"/>
        <v>0</v>
      </c>
      <c r="E139" s="52">
        <f t="shared" si="58"/>
        <v>0</v>
      </c>
      <c r="F139" s="52">
        <f t="shared" si="58"/>
        <v>0</v>
      </c>
      <c r="G139" s="52">
        <f t="shared" si="58"/>
        <v>0</v>
      </c>
      <c r="H139" s="52">
        <f t="shared" si="58"/>
        <v>1</v>
      </c>
      <c r="I139" s="52">
        <f t="shared" si="58"/>
        <v>1</v>
      </c>
      <c r="J139" s="53">
        <f t="shared" si="55"/>
        <v>2</v>
      </c>
      <c r="K139" s="59">
        <v>2</v>
      </c>
      <c r="L139" s="2" t="s">
        <v>33</v>
      </c>
    </row>
    <row r="140" spans="1:12" ht="13" customHeight="1" x14ac:dyDescent="0.2">
      <c r="A140" s="41"/>
      <c r="B140" s="12" t="s">
        <v>94</v>
      </c>
      <c r="C140" s="52">
        <f t="shared" si="58"/>
        <v>0</v>
      </c>
      <c r="D140" s="52">
        <f t="shared" si="58"/>
        <v>0</v>
      </c>
      <c r="E140" s="52">
        <f t="shared" si="58"/>
        <v>0</v>
      </c>
      <c r="F140" s="52">
        <f t="shared" si="58"/>
        <v>0</v>
      </c>
      <c r="G140" s="52">
        <f t="shared" si="58"/>
        <v>0</v>
      </c>
      <c r="H140" s="52">
        <f t="shared" si="58"/>
        <v>0</v>
      </c>
      <c r="I140" s="52">
        <f t="shared" si="58"/>
        <v>0</v>
      </c>
      <c r="J140" s="53">
        <f t="shared" si="55"/>
        <v>0</v>
      </c>
      <c r="K140" s="60">
        <v>1</v>
      </c>
      <c r="L140" s="2" t="s">
        <v>33</v>
      </c>
    </row>
    <row r="141" spans="1:12" ht="13" customHeight="1" x14ac:dyDescent="0.2">
      <c r="A141" s="41"/>
      <c r="B141" s="63" t="s">
        <v>152</v>
      </c>
      <c r="C141" s="52">
        <f t="shared" si="58"/>
        <v>1</v>
      </c>
      <c r="D141" s="52">
        <f t="shared" si="58"/>
        <v>1</v>
      </c>
      <c r="E141" s="52">
        <f t="shared" si="58"/>
        <v>1</v>
      </c>
      <c r="F141" s="52">
        <f t="shared" si="58"/>
        <v>1</v>
      </c>
      <c r="G141" s="52">
        <f t="shared" si="58"/>
        <v>1</v>
      </c>
      <c r="H141" s="52">
        <f t="shared" si="58"/>
        <v>0</v>
      </c>
      <c r="I141" s="52">
        <f t="shared" si="58"/>
        <v>0</v>
      </c>
      <c r="J141" s="53">
        <f t="shared" si="55"/>
        <v>5</v>
      </c>
      <c r="K141" s="62">
        <v>5</v>
      </c>
      <c r="L141" s="2" t="s">
        <v>33</v>
      </c>
    </row>
    <row r="142" spans="1:12" ht="13" customHeight="1" x14ac:dyDescent="0.2">
      <c r="A142" s="41"/>
      <c r="B142" s="64" t="s">
        <v>40</v>
      </c>
      <c r="C142" s="52">
        <f t="shared" si="58"/>
        <v>3</v>
      </c>
      <c r="D142" s="52">
        <f t="shared" si="58"/>
        <v>3</v>
      </c>
      <c r="E142" s="52">
        <f t="shared" si="58"/>
        <v>2</v>
      </c>
      <c r="F142" s="52">
        <f t="shared" si="58"/>
        <v>2</v>
      </c>
      <c r="G142" s="52">
        <f t="shared" si="58"/>
        <v>1</v>
      </c>
      <c r="H142" s="52">
        <f t="shared" si="58"/>
        <v>0</v>
      </c>
      <c r="I142" s="52">
        <f t="shared" si="58"/>
        <v>0</v>
      </c>
      <c r="J142" s="53">
        <f t="shared" si="55"/>
        <v>11</v>
      </c>
      <c r="K142" s="65">
        <v>7</v>
      </c>
      <c r="L142" s="13"/>
    </row>
    <row r="143" spans="1:12" ht="13" customHeight="1" x14ac:dyDescent="0.2">
      <c r="A143" s="41"/>
      <c r="B143" s="64" t="s">
        <v>41</v>
      </c>
      <c r="C143" s="52">
        <f t="shared" si="58"/>
        <v>0</v>
      </c>
      <c r="D143" s="52">
        <f t="shared" si="58"/>
        <v>0</v>
      </c>
      <c r="E143" s="52">
        <f t="shared" si="58"/>
        <v>0</v>
      </c>
      <c r="F143" s="52">
        <f t="shared" si="58"/>
        <v>0</v>
      </c>
      <c r="G143" s="52">
        <f t="shared" si="58"/>
        <v>0</v>
      </c>
      <c r="H143" s="52">
        <f t="shared" si="58"/>
        <v>0</v>
      </c>
      <c r="I143" s="52">
        <f t="shared" si="58"/>
        <v>0</v>
      </c>
      <c r="J143" s="53">
        <f t="shared" si="55"/>
        <v>0</v>
      </c>
      <c r="K143" s="65">
        <v>0</v>
      </c>
      <c r="L143" s="13"/>
    </row>
    <row r="144" spans="1:12" ht="13" customHeight="1" x14ac:dyDescent="0.2">
      <c r="A144" s="41"/>
      <c r="B144" s="66" t="s">
        <v>95</v>
      </c>
      <c r="C144" s="52">
        <f t="shared" si="58"/>
        <v>3</v>
      </c>
      <c r="D144" s="52">
        <f t="shared" si="58"/>
        <v>2</v>
      </c>
      <c r="E144" s="52">
        <f t="shared" si="58"/>
        <v>2</v>
      </c>
      <c r="F144" s="52">
        <f t="shared" si="58"/>
        <v>1</v>
      </c>
      <c r="G144" s="52">
        <f t="shared" si="58"/>
        <v>2</v>
      </c>
      <c r="H144" s="52">
        <f t="shared" si="58"/>
        <v>19</v>
      </c>
      <c r="I144" s="52">
        <f t="shared" si="58"/>
        <v>21</v>
      </c>
      <c r="J144" s="53">
        <f t="shared" si="55"/>
        <v>50</v>
      </c>
      <c r="K144" s="65">
        <v>25</v>
      </c>
      <c r="L144" s="13"/>
    </row>
    <row r="145" spans="1:12" ht="13" customHeight="1" x14ac:dyDescent="0.2">
      <c r="A145" s="41"/>
      <c r="B145" s="67" t="s">
        <v>99</v>
      </c>
      <c r="C145" s="52">
        <f t="shared" si="58"/>
        <v>2</v>
      </c>
      <c r="D145" s="52">
        <f t="shared" si="58"/>
        <v>2</v>
      </c>
      <c r="E145" s="52">
        <f t="shared" si="58"/>
        <v>3</v>
      </c>
      <c r="F145" s="52">
        <f t="shared" si="58"/>
        <v>3</v>
      </c>
      <c r="G145" s="52">
        <f t="shared" si="58"/>
        <v>3</v>
      </c>
      <c r="H145" s="52">
        <f t="shared" si="58"/>
        <v>1</v>
      </c>
      <c r="I145" s="52">
        <f t="shared" si="58"/>
        <v>1</v>
      </c>
      <c r="J145" s="53">
        <f t="shared" si="55"/>
        <v>15</v>
      </c>
      <c r="K145" s="65">
        <v>0</v>
      </c>
      <c r="L145" s="13"/>
    </row>
    <row r="146" spans="1:12" ht="13" customHeight="1" x14ac:dyDescent="0.2">
      <c r="A146" s="41"/>
      <c r="B146" s="67" t="s">
        <v>100</v>
      </c>
      <c r="C146" s="52">
        <f t="shared" si="58"/>
        <v>0</v>
      </c>
      <c r="D146" s="52">
        <f t="shared" si="58"/>
        <v>0</v>
      </c>
      <c r="E146" s="52">
        <f t="shared" si="58"/>
        <v>0</v>
      </c>
      <c r="F146" s="52">
        <f t="shared" si="58"/>
        <v>0</v>
      </c>
      <c r="G146" s="52">
        <f t="shared" si="58"/>
        <v>0</v>
      </c>
      <c r="H146" s="52">
        <f t="shared" si="58"/>
        <v>0</v>
      </c>
      <c r="I146" s="52">
        <f t="shared" si="58"/>
        <v>1</v>
      </c>
      <c r="J146" s="53">
        <f t="shared" si="55"/>
        <v>1</v>
      </c>
      <c r="K146" s="65">
        <v>0</v>
      </c>
      <c r="L146" s="13" t="s">
        <v>101</v>
      </c>
    </row>
    <row r="147" spans="1:12" ht="13" customHeight="1" x14ac:dyDescent="0.2">
      <c r="A147" s="41"/>
      <c r="B147" s="68"/>
      <c r="C147" s="69">
        <f t="shared" ref="C147:I147" si="59">SUM(C110:C141)-SUM(C127:C130)-C110</f>
        <v>24</v>
      </c>
      <c r="D147" s="69">
        <f t="shared" si="59"/>
        <v>25</v>
      </c>
      <c r="E147" s="69">
        <f t="shared" si="59"/>
        <v>25</v>
      </c>
      <c r="F147" s="69">
        <f t="shared" si="59"/>
        <v>25</v>
      </c>
      <c r="G147" s="69">
        <f t="shared" si="59"/>
        <v>24</v>
      </c>
      <c r="H147" s="69">
        <f t="shared" si="59"/>
        <v>25</v>
      </c>
      <c r="I147" s="69">
        <f t="shared" si="59"/>
        <v>23</v>
      </c>
      <c r="J147" s="69">
        <f>SUM(J110:J141)</f>
        <v>208</v>
      </c>
    </row>
  </sheetData>
  <mergeCells count="105">
    <mergeCell ref="B106:B107"/>
    <mergeCell ref="J106:J107"/>
    <mergeCell ref="C2:I2"/>
    <mergeCell ref="B100:B101"/>
    <mergeCell ref="J100:J101"/>
    <mergeCell ref="B102:B103"/>
    <mergeCell ref="J102:J103"/>
    <mergeCell ref="B104:B105"/>
    <mergeCell ref="J104:J105"/>
    <mergeCell ref="B94:B95"/>
    <mergeCell ref="J94:J95"/>
    <mergeCell ref="B96:B97"/>
    <mergeCell ref="J96:J97"/>
    <mergeCell ref="B98:B99"/>
    <mergeCell ref="J98:J99"/>
    <mergeCell ref="B88:B89"/>
    <mergeCell ref="J88:J89"/>
    <mergeCell ref="B90:B91"/>
    <mergeCell ref="J90:J91"/>
    <mergeCell ref="B92:B93"/>
    <mergeCell ref="J92:J93"/>
    <mergeCell ref="B82:B83"/>
    <mergeCell ref="J82:J83"/>
    <mergeCell ref="B84:B85"/>
    <mergeCell ref="J84:J85"/>
    <mergeCell ref="B86:B87"/>
    <mergeCell ref="J86:J87"/>
    <mergeCell ref="B76:B77"/>
    <mergeCell ref="J76:J77"/>
    <mergeCell ref="B78:B79"/>
    <mergeCell ref="J78:J79"/>
    <mergeCell ref="B80:B81"/>
    <mergeCell ref="J80:J81"/>
    <mergeCell ref="B70:B71"/>
    <mergeCell ref="J70:J71"/>
    <mergeCell ref="B72:B73"/>
    <mergeCell ref="J72:J73"/>
    <mergeCell ref="B74:B75"/>
    <mergeCell ref="J74:J75"/>
    <mergeCell ref="B64:B65"/>
    <mergeCell ref="J64:J65"/>
    <mergeCell ref="B66:B67"/>
    <mergeCell ref="J66:J67"/>
    <mergeCell ref="B68:B69"/>
    <mergeCell ref="J68:J69"/>
    <mergeCell ref="B58:B59"/>
    <mergeCell ref="J58:J59"/>
    <mergeCell ref="B60:B61"/>
    <mergeCell ref="J60:J61"/>
    <mergeCell ref="B62:B63"/>
    <mergeCell ref="J62:J63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28:B29"/>
    <mergeCell ref="J28:J2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16:B17"/>
    <mergeCell ref="J16:J17"/>
    <mergeCell ref="B18:B19"/>
    <mergeCell ref="J18:J19"/>
    <mergeCell ref="B20:B21"/>
    <mergeCell ref="J20:J21"/>
    <mergeCell ref="B10:B11"/>
    <mergeCell ref="J10:J11"/>
    <mergeCell ref="B12:B13"/>
    <mergeCell ref="J12:J13"/>
    <mergeCell ref="B14:B15"/>
    <mergeCell ref="J14:J15"/>
    <mergeCell ref="B1:B2"/>
    <mergeCell ref="C4:I4"/>
    <mergeCell ref="B6:B7"/>
    <mergeCell ref="J6:J7"/>
    <mergeCell ref="B8:B9"/>
    <mergeCell ref="J8:J9"/>
  </mergeCells>
  <conditionalFormatting sqref="C147:I147">
    <cfRule type="cellIs" dxfId="5129" priority="775" operator="lessThan">
      <formula>22</formula>
    </cfRule>
  </conditionalFormatting>
  <conditionalFormatting sqref="J117:J118 J120:J123 J125:J135 J110:J115">
    <cfRule type="cellIs" dxfId="5128" priority="774" operator="notEqual">
      <formula>$K110</formula>
    </cfRule>
  </conditionalFormatting>
  <conditionalFormatting sqref="J139">
    <cfRule type="expression" dxfId="5127" priority="773">
      <formula>$J$139+$J$140&lt;$K$139</formula>
    </cfRule>
  </conditionalFormatting>
  <conditionalFormatting sqref="J140">
    <cfRule type="expression" dxfId="5126" priority="772">
      <formula>$J$139+$J$140&lt;$K$139</formula>
    </cfRule>
  </conditionalFormatting>
  <conditionalFormatting sqref="J142:J146">
    <cfRule type="cellIs" dxfId="5125" priority="771" operator="notEqual">
      <formula>$K142</formula>
    </cfRule>
  </conditionalFormatting>
  <conditionalFormatting sqref="C93:I93">
    <cfRule type="expression" dxfId="5124" priority="770">
      <formula>C93=$B$116</formula>
    </cfRule>
  </conditionalFormatting>
  <conditionalFormatting sqref="J116">
    <cfRule type="cellIs" dxfId="5123" priority="769" operator="notEqual">
      <formula>$K116</formula>
    </cfRule>
  </conditionalFormatting>
  <conditionalFormatting sqref="C77:I77">
    <cfRule type="expression" dxfId="5122" priority="767">
      <formula>C77=$B$116</formula>
    </cfRule>
  </conditionalFormatting>
  <conditionalFormatting sqref="C77:I77">
    <cfRule type="expression" dxfId="5121" priority="768">
      <formula>C77=$B$111</formula>
    </cfRule>
  </conditionalFormatting>
  <conditionalFormatting sqref="J119">
    <cfRule type="cellIs" dxfId="5120" priority="766" operator="notEqual">
      <formula>$K119</formula>
    </cfRule>
  </conditionalFormatting>
  <conditionalFormatting sqref="J124">
    <cfRule type="cellIs" dxfId="5119" priority="765" operator="notEqual">
      <formula>$K124</formula>
    </cfRule>
  </conditionalFormatting>
  <conditionalFormatting sqref="H50">
    <cfRule type="expression" dxfId="5118" priority="763">
      <formula>H50=$B$116</formula>
    </cfRule>
  </conditionalFormatting>
  <conditionalFormatting sqref="H50">
    <cfRule type="expression" dxfId="5117" priority="764">
      <formula>H50=$B$111</formula>
    </cfRule>
  </conditionalFormatting>
  <conditionalFormatting sqref="C36">
    <cfRule type="expression" dxfId="5116" priority="761">
      <formula>C36=$B$116</formula>
    </cfRule>
  </conditionalFormatting>
  <conditionalFormatting sqref="C36">
    <cfRule type="expression" dxfId="5115" priority="762">
      <formula>C36=$B$111</formula>
    </cfRule>
  </conditionalFormatting>
  <conditionalFormatting sqref="C106:I107 C76 E38:I38 C94:F94 C38 E76:I76 C98:I101 C50:I55 C57:I57 E56:I56 C88:I93 C66:I75 C39:I47 C59:I63 C77:I79 C81:I85 C80:G80 C6:I37">
    <cfRule type="expression" dxfId="5114" priority="777">
      <formula>C6=$B$130</formula>
    </cfRule>
    <cfRule type="expression" dxfId="5113" priority="778">
      <formula>C6=$B$128</formula>
    </cfRule>
    <cfRule type="expression" dxfId="5112" priority="779">
      <formula>C6=$B$124</formula>
    </cfRule>
    <cfRule type="expression" dxfId="5111" priority="780">
      <formula>C6=$B$119</formula>
    </cfRule>
    <cfRule type="expression" dxfId="5110" priority="781">
      <formula>C6=$B$116</formula>
    </cfRule>
    <cfRule type="expression" dxfId="5109" priority="782">
      <formula>C6=$B$113</formula>
    </cfRule>
    <cfRule type="expression" dxfId="5108" priority="783">
      <formula>C6=$B$116</formula>
    </cfRule>
    <cfRule type="expression" dxfId="5107" priority="784">
      <formula>C6=$B$146</formula>
    </cfRule>
    <cfRule type="expression" dxfId="5106" priority="785">
      <formula>C6=$B$118</formula>
    </cfRule>
    <cfRule type="expression" dxfId="5105" priority="786">
      <formula>C6=$B$146</formula>
    </cfRule>
    <cfRule type="expression" dxfId="5104" priority="787">
      <formula>C6=$B$145</formula>
    </cfRule>
    <cfRule type="expression" dxfId="5103" priority="788">
      <formula>C6=$B$144</formula>
    </cfRule>
    <cfRule type="expression" dxfId="5102" priority="789">
      <formula>C6=$B$143</formula>
    </cfRule>
    <cfRule type="expression" dxfId="5101" priority="790">
      <formula>C6=$B$142</formula>
    </cfRule>
    <cfRule type="expression" dxfId="5100" priority="791">
      <formula>C6=$B$141</formula>
    </cfRule>
    <cfRule type="expression" dxfId="5099" priority="792">
      <formula>C6=$B$140</formula>
    </cfRule>
    <cfRule type="expression" dxfId="5098" priority="793">
      <formula>C6=$B$139</formula>
    </cfRule>
    <cfRule type="expression" dxfId="5097" priority="794">
      <formula>C6=$B$135</formula>
    </cfRule>
    <cfRule type="expression" dxfId="5096" priority="795">
      <formula>C6=$B$134</formula>
    </cfRule>
    <cfRule type="expression" dxfId="5095" priority="796">
      <formula>C6=$B$133</formula>
    </cfRule>
    <cfRule type="expression" dxfId="5094" priority="797">
      <formula>C6=$B$132</formula>
    </cfRule>
    <cfRule type="expression" dxfId="5093" priority="798">
      <formula>C6=$B$131</formula>
    </cfRule>
    <cfRule type="expression" dxfId="5092" priority="799" stopIfTrue="1">
      <formula>C6=$B$130</formula>
    </cfRule>
    <cfRule type="expression" dxfId="5091" priority="800">
      <formula>C6=$B$129</formula>
    </cfRule>
    <cfRule type="expression" dxfId="5090" priority="801" stopIfTrue="1">
      <formula>C6=$B$128</formula>
    </cfRule>
    <cfRule type="expression" dxfId="5089" priority="802">
      <formula>C6=$B$127</formula>
    </cfRule>
    <cfRule type="expression" dxfId="5088" priority="803">
      <formula>C6=$B$126</formula>
    </cfRule>
    <cfRule type="expression" dxfId="5087" priority="804">
      <formula>C6=$B$125</formula>
    </cfRule>
    <cfRule type="expression" dxfId="5086" priority="805" stopIfTrue="1">
      <formula>C6=$B$123</formula>
    </cfRule>
    <cfRule type="expression" dxfId="5085" priority="806" stopIfTrue="1">
      <formula>C6=$B$122</formula>
    </cfRule>
    <cfRule type="expression" dxfId="5084" priority="807" stopIfTrue="1">
      <formula>C6=$B$121</formula>
    </cfRule>
    <cfRule type="expression" dxfId="5083" priority="808">
      <formula>C6=$B$120</formula>
    </cfRule>
    <cfRule type="expression" dxfId="5082" priority="809">
      <formula>C6=$B$117</formula>
    </cfRule>
    <cfRule type="expression" dxfId="5081" priority="810" stopIfTrue="1">
      <formula>C6=$B$115</formula>
    </cfRule>
    <cfRule type="expression" dxfId="5080" priority="811">
      <formula>C6=$B$114</formula>
    </cfRule>
    <cfRule type="expression" dxfId="5079" priority="812">
      <formula>C6=$B$113</formula>
    </cfRule>
    <cfRule type="expression" dxfId="5078" priority="813">
      <formula>C6=$B$112</formula>
    </cfRule>
    <cfRule type="expression" dxfId="5077" priority="814">
      <formula>C6=$B$110</formula>
    </cfRule>
    <cfRule type="expression" dxfId="5076" priority="815" stopIfTrue="1">
      <formula>C6=$B$111</formula>
    </cfRule>
    <cfRule type="expression" dxfId="5075" priority="816" stopIfTrue="1">
      <formula>C$5=TODAY()</formula>
    </cfRule>
  </conditionalFormatting>
  <conditionalFormatting sqref="J141">
    <cfRule type="cellIs" dxfId="5074" priority="760" operator="notEqual">
      <formula>$K141</formula>
    </cfRule>
  </conditionalFormatting>
  <conditionalFormatting sqref="C102:I105 G94:I94 H22:I22 C64:I65 C48:I49 C86:I87 C95:I97 H30:I30 H42:I42 C38:D38 H90:I90">
    <cfRule type="expression" dxfId="5073" priority="719">
      <formula>C22=$B$145</formula>
    </cfRule>
    <cfRule type="expression" dxfId="5072" priority="720">
      <formula>C22=$B$130</formula>
    </cfRule>
    <cfRule type="expression" dxfId="5071" priority="721">
      <formula>C22=$B$128</formula>
    </cfRule>
    <cfRule type="expression" dxfId="5070" priority="722">
      <formula>C22=$B$124</formula>
    </cfRule>
    <cfRule type="expression" dxfId="5069" priority="723">
      <formula>C22=$B$119</formula>
    </cfRule>
    <cfRule type="expression" dxfId="5068" priority="724">
      <formula>C22=$B$116</formula>
    </cfRule>
    <cfRule type="expression" dxfId="5067" priority="725">
      <formula>C22=$B$113</formula>
    </cfRule>
    <cfRule type="expression" dxfId="5066" priority="726">
      <formula>C22=$B$116</formula>
    </cfRule>
    <cfRule type="expression" dxfId="5065" priority="727">
      <formula>C22=$B$146</formula>
    </cfRule>
    <cfRule type="expression" dxfId="5064" priority="728">
      <formula>C22=$B$118</formula>
    </cfRule>
    <cfRule type="expression" dxfId="5063" priority="729">
      <formula>C22=$B$146</formula>
    </cfRule>
    <cfRule type="expression" dxfId="5062" priority="730">
      <formula>C22=$B$145</formula>
    </cfRule>
    <cfRule type="expression" dxfId="5061" priority="731">
      <formula>C22=$B$144</formula>
    </cfRule>
    <cfRule type="expression" dxfId="5060" priority="732">
      <formula>C22=$B$143</formula>
    </cfRule>
    <cfRule type="expression" dxfId="5059" priority="733">
      <formula>C22=$B$142</formula>
    </cfRule>
    <cfRule type="expression" dxfId="5058" priority="734">
      <formula>C22=$B$141</formula>
    </cfRule>
    <cfRule type="expression" dxfId="5057" priority="735">
      <formula>C22=$B$140</formula>
    </cfRule>
    <cfRule type="expression" dxfId="5056" priority="736">
      <formula>C22=$B$139</formula>
    </cfRule>
    <cfRule type="expression" dxfId="5055" priority="737">
      <formula>C22=$B$135</formula>
    </cfRule>
    <cfRule type="expression" dxfId="5054" priority="738">
      <formula>C22=$B$134</formula>
    </cfRule>
    <cfRule type="expression" dxfId="5053" priority="739">
      <formula>C22=$B$133</formula>
    </cfRule>
    <cfRule type="expression" dxfId="5052" priority="740">
      <formula>C22=$B$132</formula>
    </cfRule>
    <cfRule type="expression" dxfId="5051" priority="741">
      <formula>C22=$B$131</formula>
    </cfRule>
    <cfRule type="expression" dxfId="5050" priority="742" stopIfTrue="1">
      <formula>C22=$B$130</formula>
    </cfRule>
    <cfRule type="expression" dxfId="5049" priority="743">
      <formula>C22=$B$129</formula>
    </cfRule>
    <cfRule type="expression" dxfId="5048" priority="744" stopIfTrue="1">
      <formula>C22=$B$128</formula>
    </cfRule>
    <cfRule type="expression" dxfId="5047" priority="745">
      <formula>C22=$B$127</formula>
    </cfRule>
    <cfRule type="expression" dxfId="5046" priority="746">
      <formula>C22=$B$126</formula>
    </cfRule>
    <cfRule type="expression" dxfId="5045" priority="747">
      <formula>C22=$B$125</formula>
    </cfRule>
    <cfRule type="expression" dxfId="5044" priority="748" stopIfTrue="1">
      <formula>C22=$B$123</formula>
    </cfRule>
    <cfRule type="expression" dxfId="5043" priority="749" stopIfTrue="1">
      <formula>C22=$B$122</formula>
    </cfRule>
    <cfRule type="expression" dxfId="5042" priority="750" stopIfTrue="1">
      <formula>C22=$B$121</formula>
    </cfRule>
    <cfRule type="expression" dxfId="5041" priority="751">
      <formula>C22=$B$120</formula>
    </cfRule>
    <cfRule type="expression" dxfId="5040" priority="752">
      <formula>C22=$B$117</formula>
    </cfRule>
    <cfRule type="expression" dxfId="5039" priority="753" stopIfTrue="1">
      <formula>C22=$B$115</formula>
    </cfRule>
    <cfRule type="expression" dxfId="5038" priority="754">
      <formula>C22=$B$114</formula>
    </cfRule>
    <cfRule type="expression" dxfId="5037" priority="755">
      <formula>C22=$B$113</formula>
    </cfRule>
    <cfRule type="expression" dxfId="5036" priority="756">
      <formula>C22=$B$112</formula>
    </cfRule>
    <cfRule type="expression" dxfId="5035" priority="757">
      <formula>C22=$B$110</formula>
    </cfRule>
    <cfRule type="expression" dxfId="5034" priority="758" stopIfTrue="1">
      <formula>C22=$B$111</formula>
    </cfRule>
    <cfRule type="expression" dxfId="5033" priority="759" stopIfTrue="1">
      <formula>C$5=TODAY()</formula>
    </cfRule>
  </conditionalFormatting>
  <conditionalFormatting sqref="H48">
    <cfRule type="expression" dxfId="5032" priority="717">
      <formula>H48=$B$116</formula>
    </cfRule>
  </conditionalFormatting>
  <conditionalFormatting sqref="H48">
    <cfRule type="expression" dxfId="5031" priority="718">
      <formula>H48=$B$111</formula>
    </cfRule>
  </conditionalFormatting>
  <conditionalFormatting sqref="H86">
    <cfRule type="expression" dxfId="5030" priority="715">
      <formula>H86=$B$116</formula>
    </cfRule>
  </conditionalFormatting>
  <conditionalFormatting sqref="H86">
    <cfRule type="expression" dxfId="5029" priority="716">
      <formula>H86=$B$111</formula>
    </cfRule>
  </conditionalFormatting>
  <conditionalFormatting sqref="H96">
    <cfRule type="expression" dxfId="5028" priority="713">
      <formula>H96=$B$116</formula>
    </cfRule>
  </conditionalFormatting>
  <conditionalFormatting sqref="H96">
    <cfRule type="expression" dxfId="5027" priority="714">
      <formula>H96=$B$111</formula>
    </cfRule>
  </conditionalFormatting>
  <conditionalFormatting sqref="C76 C106:I107 C38 E76:I76 C98:I101 C50:I55 C88:I93 C57:I57 E56:I56 C66:I75 C59:I63 C77:I79 C81:I85 C80:G80 C6:I37">
    <cfRule type="expression" dxfId="5026" priority="776">
      <formula>C6=$B$145</formula>
    </cfRule>
  </conditionalFormatting>
  <conditionalFormatting sqref="G94:I94 C47:I55 C96:I105 C57:I57 E56:I56 D46:I46 C59:I79 C81:I93 C80:G80 C6:I45">
    <cfRule type="expression" dxfId="5025" priority="710">
      <formula>C6=$B$137</formula>
    </cfRule>
    <cfRule type="expression" dxfId="5024" priority="711">
      <formula>C6=$B$138</formula>
    </cfRule>
    <cfRule type="expression" dxfId="5023" priority="712">
      <formula>C6=$B$136</formula>
    </cfRule>
  </conditionalFormatting>
  <conditionalFormatting sqref="H94">
    <cfRule type="expression" dxfId="5022" priority="708">
      <formula>H94=$B$116</formula>
    </cfRule>
  </conditionalFormatting>
  <conditionalFormatting sqref="H94">
    <cfRule type="expression" dxfId="5021" priority="709">
      <formula>H94=$B$111</formula>
    </cfRule>
  </conditionalFormatting>
  <conditionalFormatting sqref="C95:I95">
    <cfRule type="expression" dxfId="5020" priority="705">
      <formula>C95=$B$137</formula>
    </cfRule>
    <cfRule type="expression" dxfId="5019" priority="706">
      <formula>C95=$B$138</formula>
    </cfRule>
    <cfRule type="expression" dxfId="5018" priority="707">
      <formula>C95=$B$136</formula>
    </cfRule>
  </conditionalFormatting>
  <conditionalFormatting sqref="C94:F94">
    <cfRule type="expression" dxfId="5017" priority="704">
      <formula>C94=$B$145</formula>
    </cfRule>
  </conditionalFormatting>
  <conditionalFormatting sqref="C94:F94">
    <cfRule type="expression" dxfId="5016" priority="701">
      <formula>C94=$B$137</formula>
    </cfRule>
    <cfRule type="expression" dxfId="5015" priority="702">
      <formula>C94=$B$138</formula>
    </cfRule>
    <cfRule type="expression" dxfId="5014" priority="703">
      <formula>C94=$B$136</formula>
    </cfRule>
  </conditionalFormatting>
  <conditionalFormatting sqref="J138">
    <cfRule type="cellIs" dxfId="5013" priority="700" operator="notEqual">
      <formula>$K138</formula>
    </cfRule>
  </conditionalFormatting>
  <conditionalFormatting sqref="J136">
    <cfRule type="cellIs" dxfId="5012" priority="695" operator="notEqual">
      <formula>$K136</formula>
    </cfRule>
  </conditionalFormatting>
  <conditionalFormatting sqref="A6:A106">
    <cfRule type="cellIs" dxfId="5011" priority="693" operator="lessThan">
      <formula>5</formula>
    </cfRule>
    <cfRule type="cellIs" dxfId="5010" priority="694" operator="greaterThanOrEqual">
      <formula>5</formula>
    </cfRule>
  </conditionalFormatting>
  <conditionalFormatting sqref="J137">
    <cfRule type="cellIs" dxfId="5009" priority="692" operator="notEqual">
      <formula>$K137</formula>
    </cfRule>
  </conditionalFormatting>
  <conditionalFormatting sqref="H42:I42">
    <cfRule type="expression" dxfId="5008" priority="691">
      <formula>H42=$B$145</formula>
    </cfRule>
  </conditionalFormatting>
  <conditionalFormatting sqref="I46">
    <cfRule type="expression" dxfId="5007" priority="690">
      <formula>I46=$B$145</formula>
    </cfRule>
  </conditionalFormatting>
  <conditionalFormatting sqref="C46">
    <cfRule type="expression" dxfId="5006" priority="689">
      <formula>C46=$B$145</formula>
    </cfRule>
  </conditionalFormatting>
  <conditionalFormatting sqref="C46">
    <cfRule type="expression" dxfId="5005" priority="686">
      <formula>C46=$B$137</formula>
    </cfRule>
    <cfRule type="expression" dxfId="5004" priority="687">
      <formula>C46=$B$138</formula>
    </cfRule>
    <cfRule type="expression" dxfId="5003" priority="688">
      <formula>C46=$B$136</formula>
    </cfRule>
  </conditionalFormatting>
  <conditionalFormatting sqref="C74">
    <cfRule type="expression" dxfId="5002" priority="685">
      <formula>C74=$B$145</formula>
    </cfRule>
  </conditionalFormatting>
  <conditionalFormatting sqref="C74">
    <cfRule type="expression" dxfId="5001" priority="682">
      <formula>C74=$B$137</formula>
    </cfRule>
    <cfRule type="expression" dxfId="5000" priority="683">
      <formula>C74=$B$138</formula>
    </cfRule>
    <cfRule type="expression" dxfId="4999" priority="684">
      <formula>C74=$B$136</formula>
    </cfRule>
  </conditionalFormatting>
  <conditionalFormatting sqref="E58:G58">
    <cfRule type="expression" dxfId="4998" priority="347">
      <formula>E58=$B$130</formula>
    </cfRule>
    <cfRule type="expression" dxfId="4997" priority="348">
      <formula>E58=$B$128</formula>
    </cfRule>
    <cfRule type="expression" dxfId="4996" priority="349">
      <formula>E58=$B$124</formula>
    </cfRule>
    <cfRule type="expression" dxfId="4995" priority="350">
      <formula>E58=$B$119</formula>
    </cfRule>
    <cfRule type="expression" dxfId="4994" priority="351">
      <formula>E58=$B$116</formula>
    </cfRule>
    <cfRule type="expression" dxfId="4993" priority="352">
      <formula>E58=$B$113</formula>
    </cfRule>
    <cfRule type="expression" dxfId="4992" priority="353">
      <formula>E58=$B$116</formula>
    </cfRule>
    <cfRule type="expression" dxfId="4991" priority="354">
      <formula>E58=$B$146</formula>
    </cfRule>
    <cfRule type="expression" dxfId="4990" priority="355">
      <formula>E58=$B$118</formula>
    </cfRule>
    <cfRule type="expression" dxfId="4989" priority="356">
      <formula>E58=$B$146</formula>
    </cfRule>
    <cfRule type="expression" dxfId="4988" priority="357">
      <formula>E58=$B$145</formula>
    </cfRule>
    <cfRule type="expression" dxfId="4987" priority="358">
      <formula>E58=$B$144</formula>
    </cfRule>
    <cfRule type="expression" dxfId="4986" priority="359">
      <formula>E58=$B$143</formula>
    </cfRule>
    <cfRule type="expression" dxfId="4985" priority="360">
      <formula>E58=$B$142</formula>
    </cfRule>
    <cfRule type="expression" dxfId="4984" priority="361">
      <formula>E58=$B$141</formula>
    </cfRule>
    <cfRule type="expression" dxfId="4983" priority="362">
      <formula>E58=$B$140</formula>
    </cfRule>
    <cfRule type="expression" dxfId="4982" priority="363">
      <formula>E58=$B$139</formula>
    </cfRule>
    <cfRule type="expression" dxfId="4981" priority="364">
      <formula>E58=$B$135</formula>
    </cfRule>
    <cfRule type="expression" dxfId="4980" priority="365">
      <formula>E58=$B$134</formula>
    </cfRule>
    <cfRule type="expression" dxfId="4979" priority="366">
      <formula>E58=$B$133</formula>
    </cfRule>
    <cfRule type="expression" dxfId="4978" priority="367">
      <formula>E58=$B$132</formula>
    </cfRule>
    <cfRule type="expression" dxfId="4977" priority="368">
      <formula>E58=$B$131</formula>
    </cfRule>
    <cfRule type="expression" dxfId="4976" priority="369" stopIfTrue="1">
      <formula>E58=$B$130</formula>
    </cfRule>
    <cfRule type="expression" dxfId="4975" priority="370">
      <formula>E58=$B$129</formula>
    </cfRule>
    <cfRule type="expression" dxfId="4974" priority="371" stopIfTrue="1">
      <formula>E58=$B$128</formula>
    </cfRule>
    <cfRule type="expression" dxfId="4973" priority="372">
      <formula>E58=$B$127</formula>
    </cfRule>
    <cfRule type="expression" dxfId="4972" priority="373">
      <formula>E58=$B$126</formula>
    </cfRule>
    <cfRule type="expression" dxfId="4971" priority="374">
      <formula>E58=$B$125</formula>
    </cfRule>
    <cfRule type="expression" dxfId="4970" priority="375" stopIfTrue="1">
      <formula>E58=$B$123</formula>
    </cfRule>
    <cfRule type="expression" dxfId="4969" priority="376" stopIfTrue="1">
      <formula>E58=$B$122</formula>
    </cfRule>
    <cfRule type="expression" dxfId="4968" priority="377" stopIfTrue="1">
      <formula>E58=$B$121</formula>
    </cfRule>
    <cfRule type="expression" dxfId="4967" priority="378">
      <formula>E58=$B$120</formula>
    </cfRule>
    <cfRule type="expression" dxfId="4966" priority="379">
      <formula>E58=$B$117</formula>
    </cfRule>
    <cfRule type="expression" dxfId="4965" priority="380" stopIfTrue="1">
      <formula>E58=$B$115</formula>
    </cfRule>
    <cfRule type="expression" dxfId="4964" priority="381">
      <formula>E58=$B$114</formula>
    </cfRule>
    <cfRule type="expression" dxfId="4963" priority="382">
      <formula>E58=$B$113</formula>
    </cfRule>
    <cfRule type="expression" dxfId="4962" priority="383">
      <formula>E58=$B$112</formula>
    </cfRule>
    <cfRule type="expression" dxfId="4961" priority="384">
      <formula>E58=$B$110</formula>
    </cfRule>
    <cfRule type="expression" dxfId="4960" priority="385" stopIfTrue="1">
      <formula>E58=$B$111</formula>
    </cfRule>
    <cfRule type="expression" dxfId="4959" priority="386" stopIfTrue="1">
      <formula>E$5=TODAY()</formula>
    </cfRule>
  </conditionalFormatting>
  <conditionalFormatting sqref="E58:G58">
    <cfRule type="expression" dxfId="4958" priority="346">
      <formula>E58=$B$145</formula>
    </cfRule>
  </conditionalFormatting>
  <conditionalFormatting sqref="E58:G58">
    <cfRule type="expression" dxfId="4957" priority="343">
      <formula>E58=$B$137</formula>
    </cfRule>
    <cfRule type="expression" dxfId="4956" priority="344">
      <formula>E58=$B$138</formula>
    </cfRule>
    <cfRule type="expression" dxfId="4955" priority="345">
      <formula>E58=$B$136</formula>
    </cfRule>
  </conditionalFormatting>
  <conditionalFormatting sqref="H100">
    <cfRule type="expression" dxfId="4954" priority="592">
      <formula>H100=$B$116</formula>
    </cfRule>
  </conditionalFormatting>
  <conditionalFormatting sqref="H100">
    <cfRule type="expression" dxfId="4953" priority="593">
      <formula>H100=$B$111</formula>
    </cfRule>
  </conditionalFormatting>
  <conditionalFormatting sqref="C100:I100">
    <cfRule type="expression" dxfId="4952" priority="551">
      <formula>C100=$B$145</formula>
    </cfRule>
    <cfRule type="expression" dxfId="4951" priority="552">
      <formula>C100=$B$130</formula>
    </cfRule>
    <cfRule type="expression" dxfId="4950" priority="553">
      <formula>C100=$B$128</formula>
    </cfRule>
    <cfRule type="expression" dxfId="4949" priority="554">
      <formula>C100=$B$124</formula>
    </cfRule>
    <cfRule type="expression" dxfId="4948" priority="555">
      <formula>C100=$B$119</formula>
    </cfRule>
    <cfRule type="expression" dxfId="4947" priority="556">
      <formula>C100=$B$116</formula>
    </cfRule>
    <cfRule type="expression" dxfId="4946" priority="557">
      <formula>C100=$B$113</formula>
    </cfRule>
    <cfRule type="expression" dxfId="4945" priority="558">
      <formula>C100=$B$116</formula>
    </cfRule>
    <cfRule type="expression" dxfId="4944" priority="559">
      <formula>C100=$B$146</formula>
    </cfRule>
    <cfRule type="expression" dxfId="4943" priority="560">
      <formula>C100=$B$118</formula>
    </cfRule>
    <cfRule type="expression" dxfId="4942" priority="561">
      <formula>C100=$B$146</formula>
    </cfRule>
    <cfRule type="expression" dxfId="4941" priority="562">
      <formula>C100=$B$145</formula>
    </cfRule>
    <cfRule type="expression" dxfId="4940" priority="563">
      <formula>C100=$B$144</formula>
    </cfRule>
    <cfRule type="expression" dxfId="4939" priority="564">
      <formula>C100=$B$143</formula>
    </cfRule>
    <cfRule type="expression" dxfId="4938" priority="565">
      <formula>C100=$B$142</formula>
    </cfRule>
    <cfRule type="expression" dxfId="4937" priority="566">
      <formula>C100=$B$141</formula>
    </cfRule>
    <cfRule type="expression" dxfId="4936" priority="567">
      <formula>C100=$B$140</formula>
    </cfRule>
    <cfRule type="expression" dxfId="4935" priority="568">
      <formula>C100=$B$139</formula>
    </cfRule>
    <cfRule type="expression" dxfId="4934" priority="569">
      <formula>C100=$B$135</formula>
    </cfRule>
    <cfRule type="expression" dxfId="4933" priority="570">
      <formula>C100=$B$134</formula>
    </cfRule>
    <cfRule type="expression" dxfId="4932" priority="571">
      <formula>C100=$B$133</formula>
    </cfRule>
    <cfRule type="expression" dxfId="4931" priority="572">
      <formula>C100=$B$132</formula>
    </cfRule>
    <cfRule type="expression" dxfId="4930" priority="573">
      <formula>C100=$B$131</formula>
    </cfRule>
    <cfRule type="expression" dxfId="4929" priority="574" stopIfTrue="1">
      <formula>C100=$B$130</formula>
    </cfRule>
    <cfRule type="expression" dxfId="4928" priority="575">
      <formula>C100=$B$129</formula>
    </cfRule>
    <cfRule type="expression" dxfId="4927" priority="576" stopIfTrue="1">
      <formula>C100=$B$128</formula>
    </cfRule>
    <cfRule type="expression" dxfId="4926" priority="577">
      <formula>C100=$B$127</formula>
    </cfRule>
    <cfRule type="expression" dxfId="4925" priority="578">
      <formula>C100=$B$126</formula>
    </cfRule>
    <cfRule type="expression" dxfId="4924" priority="579">
      <formula>C100=$B$125</formula>
    </cfRule>
    <cfRule type="expression" dxfId="4923" priority="580" stopIfTrue="1">
      <formula>C100=$B$123</formula>
    </cfRule>
    <cfRule type="expression" dxfId="4922" priority="581" stopIfTrue="1">
      <formula>C100=$B$122</formula>
    </cfRule>
    <cfRule type="expression" dxfId="4921" priority="582" stopIfTrue="1">
      <formula>C100=$B$121</formula>
    </cfRule>
    <cfRule type="expression" dxfId="4920" priority="583">
      <formula>C100=$B$120</formula>
    </cfRule>
    <cfRule type="expression" dxfId="4919" priority="584">
      <formula>C100=$B$117</formula>
    </cfRule>
    <cfRule type="expression" dxfId="4918" priority="585" stopIfTrue="1">
      <formula>C100=$B$115</formula>
    </cfRule>
    <cfRule type="expression" dxfId="4917" priority="586">
      <formula>C100=$B$114</formula>
    </cfRule>
    <cfRule type="expression" dxfId="4916" priority="587">
      <formula>C100=$B$113</formula>
    </cfRule>
    <cfRule type="expression" dxfId="4915" priority="588">
      <formula>C100=$B$112</formula>
    </cfRule>
    <cfRule type="expression" dxfId="4914" priority="589">
      <formula>C100=$B$110</formula>
    </cfRule>
    <cfRule type="expression" dxfId="4913" priority="590" stopIfTrue="1">
      <formula>C100=$B$111</formula>
    </cfRule>
    <cfRule type="expression" dxfId="4912" priority="591" stopIfTrue="1">
      <formula>C$5=TODAY()</formula>
    </cfRule>
  </conditionalFormatting>
  <conditionalFormatting sqref="H82:I82 H84:I84">
    <cfRule type="expression" dxfId="4911" priority="510">
      <formula>H82=$B$145</formula>
    </cfRule>
    <cfRule type="expression" dxfId="4910" priority="511">
      <formula>H82=$B$130</formula>
    </cfRule>
    <cfRule type="expression" dxfId="4909" priority="512">
      <formula>H82=$B$128</formula>
    </cfRule>
    <cfRule type="expression" dxfId="4908" priority="513">
      <formula>H82=$B$124</formula>
    </cfRule>
    <cfRule type="expression" dxfId="4907" priority="514">
      <formula>H82=$B$119</formula>
    </cfRule>
    <cfRule type="expression" dxfId="4906" priority="515">
      <formula>H82=$B$116</formula>
    </cfRule>
    <cfRule type="expression" dxfId="4905" priority="516">
      <formula>H82=$B$113</formula>
    </cfRule>
    <cfRule type="expression" dxfId="4904" priority="517">
      <formula>H82=$B$116</formula>
    </cfRule>
    <cfRule type="expression" dxfId="4903" priority="518">
      <formula>H82=$B$146</formula>
    </cfRule>
    <cfRule type="expression" dxfId="4902" priority="519">
      <formula>H82=$B$118</formula>
    </cfRule>
    <cfRule type="expression" dxfId="4901" priority="520">
      <formula>H82=$B$146</formula>
    </cfRule>
    <cfRule type="expression" dxfId="4900" priority="521">
      <formula>H82=$B$145</formula>
    </cfRule>
    <cfRule type="expression" dxfId="4899" priority="522">
      <formula>H82=$B$144</formula>
    </cfRule>
    <cfRule type="expression" dxfId="4898" priority="523">
      <formula>H82=$B$143</formula>
    </cfRule>
    <cfRule type="expression" dxfId="4897" priority="524">
      <formula>H82=$B$142</formula>
    </cfRule>
    <cfRule type="expression" dxfId="4896" priority="525">
      <formula>H82=$B$141</formula>
    </cfRule>
    <cfRule type="expression" dxfId="4895" priority="526">
      <formula>H82=$B$140</formula>
    </cfRule>
    <cfRule type="expression" dxfId="4894" priority="527">
      <formula>H82=$B$139</formula>
    </cfRule>
    <cfRule type="expression" dxfId="4893" priority="528">
      <formula>H82=$B$135</formula>
    </cfRule>
    <cfRule type="expression" dxfId="4892" priority="529">
      <formula>H82=$B$134</formula>
    </cfRule>
    <cfRule type="expression" dxfId="4891" priority="530">
      <formula>H82=$B$133</formula>
    </cfRule>
    <cfRule type="expression" dxfId="4890" priority="531">
      <formula>H82=$B$132</formula>
    </cfRule>
    <cfRule type="expression" dxfId="4889" priority="532">
      <formula>H82=$B$131</formula>
    </cfRule>
    <cfRule type="expression" dxfId="4888" priority="533" stopIfTrue="1">
      <formula>H82=$B$130</formula>
    </cfRule>
    <cfRule type="expression" dxfId="4887" priority="534">
      <formula>H82=$B$129</formula>
    </cfRule>
    <cfRule type="expression" dxfId="4886" priority="535" stopIfTrue="1">
      <formula>H82=$B$128</formula>
    </cfRule>
    <cfRule type="expression" dxfId="4885" priority="536">
      <formula>H82=$B$127</formula>
    </cfRule>
    <cfRule type="expression" dxfId="4884" priority="537">
      <formula>H82=$B$126</formula>
    </cfRule>
    <cfRule type="expression" dxfId="4883" priority="538">
      <formula>H82=$B$125</formula>
    </cfRule>
    <cfRule type="expression" dxfId="4882" priority="539" stopIfTrue="1">
      <formula>H82=$B$123</formula>
    </cfRule>
    <cfRule type="expression" dxfId="4881" priority="540" stopIfTrue="1">
      <formula>H82=$B$122</formula>
    </cfRule>
    <cfRule type="expression" dxfId="4880" priority="541" stopIfTrue="1">
      <formula>H82=$B$121</formula>
    </cfRule>
    <cfRule type="expression" dxfId="4879" priority="542">
      <formula>H82=$B$120</formula>
    </cfRule>
    <cfRule type="expression" dxfId="4878" priority="543">
      <formula>H82=$B$117</formula>
    </cfRule>
    <cfRule type="expression" dxfId="4877" priority="544" stopIfTrue="1">
      <formula>H82=$B$115</formula>
    </cfRule>
    <cfRule type="expression" dxfId="4876" priority="545">
      <formula>H82=$B$114</formula>
    </cfRule>
    <cfRule type="expression" dxfId="4875" priority="546">
      <formula>H82=$B$113</formula>
    </cfRule>
    <cfRule type="expression" dxfId="4874" priority="547">
      <formula>H82=$B$112</formula>
    </cfRule>
    <cfRule type="expression" dxfId="4873" priority="548">
      <formula>H82=$B$110</formula>
    </cfRule>
    <cfRule type="expression" dxfId="4872" priority="549" stopIfTrue="1">
      <formula>H82=$B$111</formula>
    </cfRule>
    <cfRule type="expression" dxfId="4871" priority="550" stopIfTrue="1">
      <formula>H$5=TODAY()</formula>
    </cfRule>
  </conditionalFormatting>
  <conditionalFormatting sqref="H84:I84">
    <cfRule type="expression" dxfId="4870" priority="469">
      <formula>H84=$B$145</formula>
    </cfRule>
    <cfRule type="expression" dxfId="4869" priority="470">
      <formula>H84=$B$130</formula>
    </cfRule>
    <cfRule type="expression" dxfId="4868" priority="471">
      <formula>H84=$B$128</formula>
    </cfRule>
    <cfRule type="expression" dxfId="4867" priority="472">
      <formula>H84=$B$124</formula>
    </cfRule>
    <cfRule type="expression" dxfId="4866" priority="473">
      <formula>H84=$B$119</formula>
    </cfRule>
    <cfRule type="expression" dxfId="4865" priority="474">
      <formula>H84=$B$116</formula>
    </cfRule>
    <cfRule type="expression" dxfId="4864" priority="475">
      <formula>H84=$B$113</formula>
    </cfRule>
    <cfRule type="expression" dxfId="4863" priority="476">
      <formula>H84=$B$116</formula>
    </cfRule>
    <cfRule type="expression" dxfId="4862" priority="477">
      <formula>H84=$B$146</formula>
    </cfRule>
    <cfRule type="expression" dxfId="4861" priority="478">
      <formula>H84=$B$118</formula>
    </cfRule>
    <cfRule type="expression" dxfId="4860" priority="479">
      <formula>H84=$B$146</formula>
    </cfRule>
    <cfRule type="expression" dxfId="4859" priority="480">
      <formula>H84=$B$145</formula>
    </cfRule>
    <cfRule type="expression" dxfId="4858" priority="481">
      <formula>H84=$B$144</formula>
    </cfRule>
    <cfRule type="expression" dxfId="4857" priority="482">
      <formula>H84=$B$143</formula>
    </cfRule>
    <cfRule type="expression" dxfId="4856" priority="483">
      <formula>H84=$B$142</formula>
    </cfRule>
    <cfRule type="expression" dxfId="4855" priority="484">
      <formula>H84=$B$141</formula>
    </cfRule>
    <cfRule type="expression" dxfId="4854" priority="485">
      <formula>H84=$B$140</formula>
    </cfRule>
    <cfRule type="expression" dxfId="4853" priority="486">
      <formula>H84=$B$139</formula>
    </cfRule>
    <cfRule type="expression" dxfId="4852" priority="487">
      <formula>H84=$B$135</formula>
    </cfRule>
    <cfRule type="expression" dxfId="4851" priority="488">
      <formula>H84=$B$134</formula>
    </cfRule>
    <cfRule type="expression" dxfId="4850" priority="489">
      <formula>H84=$B$133</formula>
    </cfRule>
    <cfRule type="expression" dxfId="4849" priority="490">
      <formula>H84=$B$132</formula>
    </cfRule>
    <cfRule type="expression" dxfId="4848" priority="491">
      <formula>H84=$B$131</formula>
    </cfRule>
    <cfRule type="expression" dxfId="4847" priority="492" stopIfTrue="1">
      <formula>H84=$B$130</formula>
    </cfRule>
    <cfRule type="expression" dxfId="4846" priority="493">
      <formula>H84=$B$129</formula>
    </cfRule>
    <cfRule type="expression" dxfId="4845" priority="494" stopIfTrue="1">
      <formula>H84=$B$128</formula>
    </cfRule>
    <cfRule type="expression" dxfId="4844" priority="495">
      <formula>H84=$B$127</formula>
    </cfRule>
    <cfRule type="expression" dxfId="4843" priority="496">
      <formula>H84=$B$126</formula>
    </cfRule>
    <cfRule type="expression" dxfId="4842" priority="497">
      <formula>H84=$B$125</formula>
    </cfRule>
    <cfRule type="expression" dxfId="4841" priority="498" stopIfTrue="1">
      <formula>H84=$B$123</formula>
    </cfRule>
    <cfRule type="expression" dxfId="4840" priority="499" stopIfTrue="1">
      <formula>H84=$B$122</formula>
    </cfRule>
    <cfRule type="expression" dxfId="4839" priority="500" stopIfTrue="1">
      <formula>H84=$B$121</formula>
    </cfRule>
    <cfRule type="expression" dxfId="4838" priority="501">
      <formula>H84=$B$120</formula>
    </cfRule>
    <cfRule type="expression" dxfId="4837" priority="502">
      <formula>H84=$B$117</formula>
    </cfRule>
    <cfRule type="expression" dxfId="4836" priority="503" stopIfTrue="1">
      <formula>H84=$B$115</formula>
    </cfRule>
    <cfRule type="expression" dxfId="4835" priority="504">
      <formula>H84=$B$114</formula>
    </cfRule>
    <cfRule type="expression" dxfId="4834" priority="505">
      <formula>H84=$B$113</formula>
    </cfRule>
    <cfRule type="expression" dxfId="4833" priority="506">
      <formula>H84=$B$112</formula>
    </cfRule>
    <cfRule type="expression" dxfId="4832" priority="507">
      <formula>H84=$B$110</formula>
    </cfRule>
    <cfRule type="expression" dxfId="4831" priority="508" stopIfTrue="1">
      <formula>H84=$B$111</formula>
    </cfRule>
    <cfRule type="expression" dxfId="4830" priority="509" stopIfTrue="1">
      <formula>H$5=TODAY()</formula>
    </cfRule>
  </conditionalFormatting>
  <conditionalFormatting sqref="C86">
    <cfRule type="expression" dxfId="4829" priority="429">
      <formula>C86=$B$130</formula>
    </cfRule>
    <cfRule type="expression" dxfId="4828" priority="430">
      <formula>C86=$B$128</formula>
    </cfRule>
    <cfRule type="expression" dxfId="4827" priority="431">
      <formula>C86=$B$124</formula>
    </cfRule>
    <cfRule type="expression" dxfId="4826" priority="432">
      <formula>C86=$B$119</formula>
    </cfRule>
    <cfRule type="expression" dxfId="4825" priority="433">
      <formula>C86=$B$116</formula>
    </cfRule>
    <cfRule type="expression" dxfId="4824" priority="434">
      <formula>C86=$B$113</formula>
    </cfRule>
    <cfRule type="expression" dxfId="4823" priority="435">
      <formula>C86=$B$116</formula>
    </cfRule>
    <cfRule type="expression" dxfId="4822" priority="436">
      <formula>C86=$B$146</formula>
    </cfRule>
    <cfRule type="expression" dxfId="4821" priority="437">
      <formula>C86=$B$118</formula>
    </cfRule>
    <cfRule type="expression" dxfId="4820" priority="438">
      <formula>C86=$B$146</formula>
    </cfRule>
    <cfRule type="expression" dxfId="4819" priority="439">
      <formula>C86=$B$145</formula>
    </cfRule>
    <cfRule type="expression" dxfId="4818" priority="440">
      <formula>C86=$B$144</formula>
    </cfRule>
    <cfRule type="expression" dxfId="4817" priority="441">
      <formula>C86=$B$143</formula>
    </cfRule>
    <cfRule type="expression" dxfId="4816" priority="442">
      <formula>C86=$B$142</formula>
    </cfRule>
    <cfRule type="expression" dxfId="4815" priority="443">
      <formula>C86=$B$141</formula>
    </cfRule>
    <cfRule type="expression" dxfId="4814" priority="444">
      <formula>C86=$B$140</formula>
    </cfRule>
    <cfRule type="expression" dxfId="4813" priority="445">
      <formula>C86=$B$139</formula>
    </cfRule>
    <cfRule type="expression" dxfId="4812" priority="446">
      <formula>C86=$B$135</formula>
    </cfRule>
    <cfRule type="expression" dxfId="4811" priority="447">
      <formula>C86=$B$134</formula>
    </cfRule>
    <cfRule type="expression" dxfId="4810" priority="448">
      <formula>C86=$B$133</formula>
    </cfRule>
    <cfRule type="expression" dxfId="4809" priority="449">
      <formula>C86=$B$132</formula>
    </cfRule>
    <cfRule type="expression" dxfId="4808" priority="450">
      <formula>C86=$B$131</formula>
    </cfRule>
    <cfRule type="expression" dxfId="4807" priority="451" stopIfTrue="1">
      <formula>C86=$B$130</formula>
    </cfRule>
    <cfRule type="expression" dxfId="4806" priority="452">
      <formula>C86=$B$129</formula>
    </cfRule>
    <cfRule type="expression" dxfId="4805" priority="453" stopIfTrue="1">
      <formula>C86=$B$128</formula>
    </cfRule>
    <cfRule type="expression" dxfId="4804" priority="454">
      <formula>C86=$B$127</formula>
    </cfRule>
    <cfRule type="expression" dxfId="4803" priority="455">
      <formula>C86=$B$126</formula>
    </cfRule>
    <cfRule type="expression" dxfId="4802" priority="456">
      <formula>C86=$B$125</formula>
    </cfRule>
    <cfRule type="expression" dxfId="4801" priority="457" stopIfTrue="1">
      <formula>C86=$B$123</formula>
    </cfRule>
    <cfRule type="expression" dxfId="4800" priority="458" stopIfTrue="1">
      <formula>C86=$B$122</formula>
    </cfRule>
    <cfRule type="expression" dxfId="4799" priority="459" stopIfTrue="1">
      <formula>C86=$B$121</formula>
    </cfRule>
    <cfRule type="expression" dxfId="4798" priority="460">
      <formula>C86=$B$120</formula>
    </cfRule>
    <cfRule type="expression" dxfId="4797" priority="461">
      <formula>C86=$B$117</formula>
    </cfRule>
    <cfRule type="expression" dxfId="4796" priority="462" stopIfTrue="1">
      <formula>C86=$B$115</formula>
    </cfRule>
    <cfRule type="expression" dxfId="4795" priority="463">
      <formula>C86=$B$114</formula>
    </cfRule>
    <cfRule type="expression" dxfId="4794" priority="464">
      <formula>C86=$B$113</formula>
    </cfRule>
    <cfRule type="expression" dxfId="4793" priority="465">
      <formula>C86=$B$112</formula>
    </cfRule>
    <cfRule type="expression" dxfId="4792" priority="466">
      <formula>C86=$B$110</formula>
    </cfRule>
    <cfRule type="expression" dxfId="4791" priority="467" stopIfTrue="1">
      <formula>C86=$B$111</formula>
    </cfRule>
    <cfRule type="expression" dxfId="4790" priority="468" stopIfTrue="1">
      <formula>C$5=TODAY()</formula>
    </cfRule>
  </conditionalFormatting>
  <conditionalFormatting sqref="C86">
    <cfRule type="expression" dxfId="4789" priority="428">
      <formula>C86=$B$145</formula>
    </cfRule>
  </conditionalFormatting>
  <conditionalFormatting sqref="I90 H64">
    <cfRule type="expression" dxfId="4788" priority="388">
      <formula>H64=$B$130</formula>
    </cfRule>
    <cfRule type="expression" dxfId="4787" priority="389">
      <formula>H64=$B$128</formula>
    </cfRule>
    <cfRule type="expression" dxfId="4786" priority="390">
      <formula>H64=$B$124</formula>
    </cfRule>
    <cfRule type="expression" dxfId="4785" priority="391">
      <formula>H64=$B$119</formula>
    </cfRule>
    <cfRule type="expression" dxfId="4784" priority="392">
      <formula>H64=$B$116</formula>
    </cfRule>
    <cfRule type="expression" dxfId="4783" priority="393">
      <formula>H64=$B$113</formula>
    </cfRule>
    <cfRule type="expression" dxfId="4782" priority="394">
      <formula>H64=$B$116</formula>
    </cfRule>
    <cfRule type="expression" dxfId="4781" priority="395">
      <formula>H64=$B$146</formula>
    </cfRule>
    <cfRule type="expression" dxfId="4780" priority="396">
      <formula>H64=$B$118</formula>
    </cfRule>
    <cfRule type="expression" dxfId="4779" priority="397">
      <formula>H64=$B$146</formula>
    </cfRule>
    <cfRule type="expression" dxfId="4778" priority="398">
      <formula>H64=$B$145</formula>
    </cfRule>
    <cfRule type="expression" dxfId="4777" priority="399">
      <formula>H64=$B$144</formula>
    </cfRule>
    <cfRule type="expression" dxfId="4776" priority="400">
      <formula>H64=$B$143</formula>
    </cfRule>
    <cfRule type="expression" dxfId="4775" priority="401">
      <formula>H64=$B$142</formula>
    </cfRule>
    <cfRule type="expression" dxfId="4774" priority="402">
      <formula>H64=$B$141</formula>
    </cfRule>
    <cfRule type="expression" dxfId="4773" priority="403">
      <formula>H64=$B$140</formula>
    </cfRule>
    <cfRule type="expression" dxfId="4772" priority="404">
      <formula>H64=$B$139</formula>
    </cfRule>
    <cfRule type="expression" dxfId="4771" priority="405">
      <formula>H64=$B$135</formula>
    </cfRule>
    <cfRule type="expression" dxfId="4770" priority="406">
      <formula>H64=$B$134</formula>
    </cfRule>
    <cfRule type="expression" dxfId="4769" priority="407">
      <formula>H64=$B$133</formula>
    </cfRule>
    <cfRule type="expression" dxfId="4768" priority="408">
      <formula>H64=$B$132</formula>
    </cfRule>
    <cfRule type="expression" dxfId="4767" priority="409">
      <formula>H64=$B$131</formula>
    </cfRule>
    <cfRule type="expression" dxfId="4766" priority="410" stopIfTrue="1">
      <formula>H64=$B$130</formula>
    </cfRule>
    <cfRule type="expression" dxfId="4765" priority="411">
      <formula>H64=$B$129</formula>
    </cfRule>
    <cfRule type="expression" dxfId="4764" priority="412" stopIfTrue="1">
      <formula>H64=$B$128</formula>
    </cfRule>
    <cfRule type="expression" dxfId="4763" priority="413">
      <formula>H64=$B$127</formula>
    </cfRule>
    <cfRule type="expression" dxfId="4762" priority="414">
      <formula>H64=$B$126</formula>
    </cfRule>
    <cfRule type="expression" dxfId="4761" priority="415">
      <formula>H64=$B$125</formula>
    </cfRule>
    <cfRule type="expression" dxfId="4760" priority="416" stopIfTrue="1">
      <formula>H64=$B$123</formula>
    </cfRule>
    <cfRule type="expression" dxfId="4759" priority="417" stopIfTrue="1">
      <formula>H64=$B$122</formula>
    </cfRule>
    <cfRule type="expression" dxfId="4758" priority="418" stopIfTrue="1">
      <formula>H64=$B$121</formula>
    </cfRule>
    <cfRule type="expression" dxfId="4757" priority="419">
      <formula>H64=$B$120</formula>
    </cfRule>
    <cfRule type="expression" dxfId="4756" priority="420">
      <formula>H64=$B$117</formula>
    </cfRule>
    <cfRule type="expression" dxfId="4755" priority="421" stopIfTrue="1">
      <formula>H64=$B$115</formula>
    </cfRule>
    <cfRule type="expression" dxfId="4754" priority="422">
      <formula>H64=$B$114</formula>
    </cfRule>
    <cfRule type="expression" dxfId="4753" priority="423">
      <formula>H64=$B$113</formula>
    </cfRule>
    <cfRule type="expression" dxfId="4752" priority="424">
      <formula>H64=$B$112</formula>
    </cfRule>
    <cfRule type="expression" dxfId="4751" priority="425">
      <formula>H64=$B$110</formula>
    </cfRule>
    <cfRule type="expression" dxfId="4750" priority="426" stopIfTrue="1">
      <formula>H64=$B$111</formula>
    </cfRule>
    <cfRule type="expression" dxfId="4749" priority="427" stopIfTrue="1">
      <formula>H$5=TODAY()</formula>
    </cfRule>
  </conditionalFormatting>
  <conditionalFormatting sqref="I90 H64">
    <cfRule type="expression" dxfId="4748" priority="387">
      <formula>H64=$B$145</formula>
    </cfRule>
  </conditionalFormatting>
  <conditionalFormatting sqref="C40:E40">
    <cfRule type="expression" dxfId="4747" priority="342">
      <formula>C40=$B$145</formula>
    </cfRule>
  </conditionalFormatting>
  <conditionalFormatting sqref="I42">
    <cfRule type="expression" dxfId="4746" priority="341">
      <formula>I42=$B$145</formula>
    </cfRule>
  </conditionalFormatting>
  <conditionalFormatting sqref="D96:I96">
    <cfRule type="expression" dxfId="4745" priority="301">
      <formula>D96=$B$130</formula>
    </cfRule>
    <cfRule type="expression" dxfId="4744" priority="302">
      <formula>D96=$B$128</formula>
    </cfRule>
    <cfRule type="expression" dxfId="4743" priority="303">
      <formula>D96=$B$124</formula>
    </cfRule>
    <cfRule type="expression" dxfId="4742" priority="304">
      <formula>D96=$B$119</formula>
    </cfRule>
    <cfRule type="expression" dxfId="4741" priority="305">
      <formula>D96=$B$116</formula>
    </cfRule>
    <cfRule type="expression" dxfId="4740" priority="306">
      <formula>D96=$B$113</formula>
    </cfRule>
    <cfRule type="expression" dxfId="4739" priority="307">
      <formula>D96=$B$116</formula>
    </cfRule>
    <cfRule type="expression" dxfId="4738" priority="308">
      <formula>D96=$B$146</formula>
    </cfRule>
    <cfRule type="expression" dxfId="4737" priority="309">
      <formula>D96=$B$118</formula>
    </cfRule>
    <cfRule type="expression" dxfId="4736" priority="310">
      <formula>D96=$B$146</formula>
    </cfRule>
    <cfRule type="expression" dxfId="4735" priority="311">
      <formula>D96=$B$145</formula>
    </cfRule>
    <cfRule type="expression" dxfId="4734" priority="312">
      <formula>D96=$B$144</formula>
    </cfRule>
    <cfRule type="expression" dxfId="4733" priority="313">
      <formula>D96=$B$143</formula>
    </cfRule>
    <cfRule type="expression" dxfId="4732" priority="314">
      <formula>D96=$B$142</formula>
    </cfRule>
    <cfRule type="expression" dxfId="4731" priority="315">
      <formula>D96=$B$141</formula>
    </cfRule>
    <cfRule type="expression" dxfId="4730" priority="316">
      <formula>D96=$B$140</formula>
    </cfRule>
    <cfRule type="expression" dxfId="4729" priority="317">
      <formula>D96=$B$139</formula>
    </cfRule>
    <cfRule type="expression" dxfId="4728" priority="318">
      <formula>D96=$B$135</formula>
    </cfRule>
    <cfRule type="expression" dxfId="4727" priority="319">
      <formula>D96=$B$134</formula>
    </cfRule>
    <cfRule type="expression" dxfId="4726" priority="320">
      <formula>D96=$B$133</formula>
    </cfRule>
    <cfRule type="expression" dxfId="4725" priority="321">
      <formula>D96=$B$132</formula>
    </cfRule>
    <cfRule type="expression" dxfId="4724" priority="322">
      <formula>D96=$B$131</formula>
    </cfRule>
    <cfRule type="expression" dxfId="4723" priority="323" stopIfTrue="1">
      <formula>D96=$B$130</formula>
    </cfRule>
    <cfRule type="expression" dxfId="4722" priority="324">
      <formula>D96=$B$129</formula>
    </cfRule>
    <cfRule type="expression" dxfId="4721" priority="325" stopIfTrue="1">
      <formula>D96=$B$128</formula>
    </cfRule>
    <cfRule type="expression" dxfId="4720" priority="326">
      <formula>D96=$B$127</formula>
    </cfRule>
    <cfRule type="expression" dxfId="4719" priority="327">
      <formula>D96=$B$126</formula>
    </cfRule>
    <cfRule type="expression" dxfId="4718" priority="328">
      <formula>D96=$B$125</formula>
    </cfRule>
    <cfRule type="expression" dxfId="4717" priority="329" stopIfTrue="1">
      <formula>D96=$B$123</formula>
    </cfRule>
    <cfRule type="expression" dxfId="4716" priority="330" stopIfTrue="1">
      <formula>D96=$B$122</formula>
    </cfRule>
    <cfRule type="expression" dxfId="4715" priority="331" stopIfTrue="1">
      <formula>D96=$B$121</formula>
    </cfRule>
    <cfRule type="expression" dxfId="4714" priority="332">
      <formula>D96=$B$120</formula>
    </cfRule>
    <cfRule type="expression" dxfId="4713" priority="333">
      <formula>D96=$B$117</formula>
    </cfRule>
    <cfRule type="expression" dxfId="4712" priority="334" stopIfTrue="1">
      <formula>D96=$B$115</formula>
    </cfRule>
    <cfRule type="expression" dxfId="4711" priority="335">
      <formula>D96=$B$114</formula>
    </cfRule>
    <cfRule type="expression" dxfId="4710" priority="336">
      <formula>D96=$B$113</formula>
    </cfRule>
    <cfRule type="expression" dxfId="4709" priority="337">
      <formula>D96=$B$112</formula>
    </cfRule>
    <cfRule type="expression" dxfId="4708" priority="338">
      <formula>D96=$B$110</formula>
    </cfRule>
    <cfRule type="expression" dxfId="4707" priority="339" stopIfTrue="1">
      <formula>D96=$B$111</formula>
    </cfRule>
    <cfRule type="expression" dxfId="4706" priority="340" stopIfTrue="1">
      <formula>D$5=TODAY()</formula>
    </cfRule>
  </conditionalFormatting>
  <conditionalFormatting sqref="D96:I96">
    <cfRule type="expression" dxfId="4705" priority="300">
      <formula>D96=$B$145</formula>
    </cfRule>
  </conditionalFormatting>
  <conditionalFormatting sqref="H58:I58">
    <cfRule type="expression" dxfId="4704" priority="260">
      <formula>H58=$B$130</formula>
    </cfRule>
    <cfRule type="expression" dxfId="4703" priority="261">
      <formula>H58=$B$128</formula>
    </cfRule>
    <cfRule type="expression" dxfId="4702" priority="262">
      <formula>H58=$B$124</formula>
    </cfRule>
    <cfRule type="expression" dxfId="4701" priority="263">
      <formula>H58=$B$119</formula>
    </cfRule>
    <cfRule type="expression" dxfId="4700" priority="264">
      <formula>H58=$B$116</formula>
    </cfRule>
    <cfRule type="expression" dxfId="4699" priority="265">
      <formula>H58=$B$113</formula>
    </cfRule>
    <cfRule type="expression" dxfId="4698" priority="266">
      <formula>H58=$B$116</formula>
    </cfRule>
    <cfRule type="expression" dxfId="4697" priority="267">
      <formula>H58=$B$146</formula>
    </cfRule>
    <cfRule type="expression" dxfId="4696" priority="268">
      <formula>H58=$B$118</formula>
    </cfRule>
    <cfRule type="expression" dxfId="4695" priority="269">
      <formula>H58=$B$146</formula>
    </cfRule>
    <cfRule type="expression" dxfId="4694" priority="270">
      <formula>H58=$B$145</formula>
    </cfRule>
    <cfRule type="expression" dxfId="4693" priority="271">
      <formula>H58=$B$144</formula>
    </cfRule>
    <cfRule type="expression" dxfId="4692" priority="272">
      <formula>H58=$B$143</formula>
    </cfRule>
    <cfRule type="expression" dxfId="4691" priority="273">
      <formula>H58=$B$142</formula>
    </cfRule>
    <cfRule type="expression" dxfId="4690" priority="274">
      <formula>H58=$B$141</formula>
    </cfRule>
    <cfRule type="expression" dxfId="4689" priority="275">
      <formula>H58=$B$140</formula>
    </cfRule>
    <cfRule type="expression" dxfId="4688" priority="276">
      <formula>H58=$B$139</formula>
    </cfRule>
    <cfRule type="expression" dxfId="4687" priority="277">
      <formula>H58=$B$135</formula>
    </cfRule>
    <cfRule type="expression" dxfId="4686" priority="278">
      <formula>H58=$B$134</formula>
    </cfRule>
    <cfRule type="expression" dxfId="4685" priority="279">
      <formula>H58=$B$133</formula>
    </cfRule>
    <cfRule type="expression" dxfId="4684" priority="280">
      <formula>H58=$B$132</formula>
    </cfRule>
    <cfRule type="expression" dxfId="4683" priority="281">
      <formula>H58=$B$131</formula>
    </cfRule>
    <cfRule type="expression" dxfId="4682" priority="282" stopIfTrue="1">
      <formula>H58=$B$130</formula>
    </cfRule>
    <cfRule type="expression" dxfId="4681" priority="283">
      <formula>H58=$B$129</formula>
    </cfRule>
    <cfRule type="expression" dxfId="4680" priority="284" stopIfTrue="1">
      <formula>H58=$B$128</formula>
    </cfRule>
    <cfRule type="expression" dxfId="4679" priority="285">
      <formula>H58=$B$127</formula>
    </cfRule>
    <cfRule type="expression" dxfId="4678" priority="286">
      <formula>H58=$B$126</formula>
    </cfRule>
    <cfRule type="expression" dxfId="4677" priority="287">
      <formula>H58=$B$125</formula>
    </cfRule>
    <cfRule type="expression" dxfId="4676" priority="288" stopIfTrue="1">
      <formula>H58=$B$123</formula>
    </cfRule>
    <cfRule type="expression" dxfId="4675" priority="289" stopIfTrue="1">
      <formula>H58=$B$122</formula>
    </cfRule>
    <cfRule type="expression" dxfId="4674" priority="290" stopIfTrue="1">
      <formula>H58=$B$121</formula>
    </cfRule>
    <cfRule type="expression" dxfId="4673" priority="291">
      <formula>H58=$B$120</formula>
    </cfRule>
    <cfRule type="expression" dxfId="4672" priority="292">
      <formula>H58=$B$117</formula>
    </cfRule>
    <cfRule type="expression" dxfId="4671" priority="293" stopIfTrue="1">
      <formula>H58=$B$115</formula>
    </cfRule>
    <cfRule type="expression" dxfId="4670" priority="294">
      <formula>H58=$B$114</formula>
    </cfRule>
    <cfRule type="expression" dxfId="4669" priority="295">
      <formula>H58=$B$113</formula>
    </cfRule>
    <cfRule type="expression" dxfId="4668" priority="296">
      <formula>H58=$B$112</formula>
    </cfRule>
    <cfRule type="expression" dxfId="4667" priority="297">
      <formula>H58=$B$110</formula>
    </cfRule>
    <cfRule type="expression" dxfId="4666" priority="298" stopIfTrue="1">
      <formula>H58=$B$111</formula>
    </cfRule>
    <cfRule type="expression" dxfId="4665" priority="299" stopIfTrue="1">
      <formula>H$5=TODAY()</formula>
    </cfRule>
  </conditionalFormatting>
  <conditionalFormatting sqref="H58:I58">
    <cfRule type="expression" dxfId="4664" priority="259">
      <formula>H58=$B$145</formula>
    </cfRule>
  </conditionalFormatting>
  <conditionalFormatting sqref="H58:I58">
    <cfRule type="expression" dxfId="4663" priority="256">
      <formula>H58=$B$137</formula>
    </cfRule>
    <cfRule type="expression" dxfId="4662" priority="257">
      <formula>H58=$B$138</formula>
    </cfRule>
    <cfRule type="expression" dxfId="4661" priority="258">
      <formula>H58=$B$136</formula>
    </cfRule>
  </conditionalFormatting>
  <conditionalFormatting sqref="H86">
    <cfRule type="expression" dxfId="4660" priority="216">
      <formula>H86=$B$130</formula>
    </cfRule>
    <cfRule type="expression" dxfId="4659" priority="217">
      <formula>H86=$B$128</formula>
    </cfRule>
    <cfRule type="expression" dxfId="4658" priority="218">
      <formula>H86=$B$124</formula>
    </cfRule>
    <cfRule type="expression" dxfId="4657" priority="219">
      <formula>H86=$B$119</formula>
    </cfRule>
    <cfRule type="expression" dxfId="4656" priority="220">
      <formula>H86=$B$116</formula>
    </cfRule>
    <cfRule type="expression" dxfId="4655" priority="221">
      <formula>H86=$B$113</formula>
    </cfRule>
    <cfRule type="expression" dxfId="4654" priority="222">
      <formula>H86=$B$116</formula>
    </cfRule>
    <cfRule type="expression" dxfId="4653" priority="223">
      <formula>H86=$B$146</formula>
    </cfRule>
    <cfRule type="expression" dxfId="4652" priority="224">
      <formula>H86=$B$118</formula>
    </cfRule>
    <cfRule type="expression" dxfId="4651" priority="225">
      <formula>H86=$B$146</formula>
    </cfRule>
    <cfRule type="expression" dxfId="4650" priority="226">
      <formula>H86=$B$145</formula>
    </cfRule>
    <cfRule type="expression" dxfId="4649" priority="227">
      <formula>H86=$B$144</formula>
    </cfRule>
    <cfRule type="expression" dxfId="4648" priority="228">
      <formula>H86=$B$143</formula>
    </cfRule>
    <cfRule type="expression" dxfId="4647" priority="229">
      <formula>H86=$B$142</formula>
    </cfRule>
    <cfRule type="expression" dxfId="4646" priority="230">
      <formula>H86=$B$141</formula>
    </cfRule>
    <cfRule type="expression" dxfId="4645" priority="231">
      <formula>H86=$B$140</formula>
    </cfRule>
    <cfRule type="expression" dxfId="4644" priority="232">
      <formula>H86=$B$139</formula>
    </cfRule>
    <cfRule type="expression" dxfId="4643" priority="233">
      <formula>H86=$B$135</formula>
    </cfRule>
    <cfRule type="expression" dxfId="4642" priority="234">
      <formula>H86=$B$134</formula>
    </cfRule>
    <cfRule type="expression" dxfId="4641" priority="235">
      <formula>H86=$B$133</formula>
    </cfRule>
    <cfRule type="expression" dxfId="4640" priority="236">
      <formula>H86=$B$132</formula>
    </cfRule>
    <cfRule type="expression" dxfId="4639" priority="237">
      <formula>H86=$B$131</formula>
    </cfRule>
    <cfRule type="expression" dxfId="4638" priority="238" stopIfTrue="1">
      <formula>H86=$B$130</formula>
    </cfRule>
    <cfRule type="expression" dxfId="4637" priority="239">
      <formula>H86=$B$129</formula>
    </cfRule>
    <cfRule type="expression" dxfId="4636" priority="240" stopIfTrue="1">
      <formula>H86=$B$128</formula>
    </cfRule>
    <cfRule type="expression" dxfId="4635" priority="241">
      <formula>H86=$B$127</formula>
    </cfRule>
    <cfRule type="expression" dxfId="4634" priority="242">
      <formula>H86=$B$126</formula>
    </cfRule>
    <cfRule type="expression" dxfId="4633" priority="243">
      <formula>H86=$B$125</formula>
    </cfRule>
    <cfRule type="expression" dxfId="4632" priority="244" stopIfTrue="1">
      <formula>H86=$B$123</formula>
    </cfRule>
    <cfRule type="expression" dxfId="4631" priority="245" stopIfTrue="1">
      <formula>H86=$B$122</formula>
    </cfRule>
    <cfRule type="expression" dxfId="4630" priority="246" stopIfTrue="1">
      <formula>H86=$B$121</formula>
    </cfRule>
    <cfRule type="expression" dxfId="4629" priority="247">
      <formula>H86=$B$120</formula>
    </cfRule>
    <cfRule type="expression" dxfId="4628" priority="248">
      <formula>H86=$B$117</formula>
    </cfRule>
    <cfRule type="expression" dxfId="4627" priority="249" stopIfTrue="1">
      <formula>H86=$B$115</formula>
    </cfRule>
    <cfRule type="expression" dxfId="4626" priority="250">
      <formula>H86=$B$114</formula>
    </cfRule>
    <cfRule type="expression" dxfId="4625" priority="251">
      <formula>H86=$B$113</formula>
    </cfRule>
    <cfRule type="expression" dxfId="4624" priority="252">
      <formula>H86=$B$112</formula>
    </cfRule>
    <cfRule type="expression" dxfId="4623" priority="253">
      <formula>H86=$B$110</formula>
    </cfRule>
    <cfRule type="expression" dxfId="4622" priority="254" stopIfTrue="1">
      <formula>H86=$B$111</formula>
    </cfRule>
    <cfRule type="expression" dxfId="4621" priority="255" stopIfTrue="1">
      <formula>H$5=TODAY()</formula>
    </cfRule>
  </conditionalFormatting>
  <conditionalFormatting sqref="H86">
    <cfRule type="expression" dxfId="4620" priority="215">
      <formula>H86=$B$145</formula>
    </cfRule>
  </conditionalFormatting>
  <conditionalFormatting sqref="H86:I86">
    <cfRule type="expression" dxfId="4619" priority="175">
      <formula>H86=$B$130</formula>
    </cfRule>
    <cfRule type="expression" dxfId="4618" priority="176">
      <formula>H86=$B$128</formula>
    </cfRule>
    <cfRule type="expression" dxfId="4617" priority="177">
      <formula>H86=$B$124</formula>
    </cfRule>
    <cfRule type="expression" dxfId="4616" priority="178">
      <formula>H86=$B$119</formula>
    </cfRule>
    <cfRule type="expression" dxfId="4615" priority="179">
      <formula>H86=$B$116</formula>
    </cfRule>
    <cfRule type="expression" dxfId="4614" priority="180">
      <formula>H86=$B$113</formula>
    </cfRule>
    <cfRule type="expression" dxfId="4613" priority="181">
      <formula>H86=$B$116</formula>
    </cfRule>
    <cfRule type="expression" dxfId="4612" priority="182">
      <formula>H86=$B$146</formula>
    </cfRule>
    <cfRule type="expression" dxfId="4611" priority="183">
      <formula>H86=$B$118</formula>
    </cfRule>
    <cfRule type="expression" dxfId="4610" priority="184">
      <formula>H86=$B$146</formula>
    </cfRule>
    <cfRule type="expression" dxfId="4609" priority="185">
      <formula>H86=$B$145</formula>
    </cfRule>
    <cfRule type="expression" dxfId="4608" priority="186">
      <formula>H86=$B$144</formula>
    </cfRule>
    <cfRule type="expression" dxfId="4607" priority="187">
      <formula>H86=$B$143</formula>
    </cfRule>
    <cfRule type="expression" dxfId="4606" priority="188">
      <formula>H86=$B$142</formula>
    </cfRule>
    <cfRule type="expression" dxfId="4605" priority="189">
      <formula>H86=$B$141</formula>
    </cfRule>
    <cfRule type="expression" dxfId="4604" priority="190">
      <formula>H86=$B$140</formula>
    </cfRule>
    <cfRule type="expression" dxfId="4603" priority="191">
      <formula>H86=$B$139</formula>
    </cfRule>
    <cfRule type="expression" dxfId="4602" priority="192">
      <formula>H86=$B$135</formula>
    </cfRule>
    <cfRule type="expression" dxfId="4601" priority="193">
      <formula>H86=$B$134</formula>
    </cfRule>
    <cfRule type="expression" dxfId="4600" priority="194">
      <formula>H86=$B$133</formula>
    </cfRule>
    <cfRule type="expression" dxfId="4599" priority="195">
      <formula>H86=$B$132</formula>
    </cfRule>
    <cfRule type="expression" dxfId="4598" priority="196">
      <formula>H86=$B$131</formula>
    </cfRule>
    <cfRule type="expression" dxfId="4597" priority="197" stopIfTrue="1">
      <formula>H86=$B$130</formula>
    </cfRule>
    <cfRule type="expression" dxfId="4596" priority="198">
      <formula>H86=$B$129</formula>
    </cfRule>
    <cfRule type="expression" dxfId="4595" priority="199" stopIfTrue="1">
      <formula>H86=$B$128</formula>
    </cfRule>
    <cfRule type="expression" dxfId="4594" priority="200">
      <formula>H86=$B$127</formula>
    </cfRule>
    <cfRule type="expression" dxfId="4593" priority="201">
      <formula>H86=$B$126</formula>
    </cfRule>
    <cfRule type="expression" dxfId="4592" priority="202">
      <formula>H86=$B$125</formula>
    </cfRule>
    <cfRule type="expression" dxfId="4591" priority="203" stopIfTrue="1">
      <formula>H86=$B$123</formula>
    </cfRule>
    <cfRule type="expression" dxfId="4590" priority="204" stopIfTrue="1">
      <formula>H86=$B$122</formula>
    </cfRule>
    <cfRule type="expression" dxfId="4589" priority="205" stopIfTrue="1">
      <formula>H86=$B$121</formula>
    </cfRule>
    <cfRule type="expression" dxfId="4588" priority="206">
      <formula>H86=$B$120</formula>
    </cfRule>
    <cfRule type="expression" dxfId="4587" priority="207">
      <formula>H86=$B$117</formula>
    </cfRule>
    <cfRule type="expression" dxfId="4586" priority="208" stopIfTrue="1">
      <formula>H86=$B$115</formula>
    </cfRule>
    <cfRule type="expression" dxfId="4585" priority="209">
      <formula>H86=$B$114</formula>
    </cfRule>
    <cfRule type="expression" dxfId="4584" priority="210">
      <formula>H86=$B$113</formula>
    </cfRule>
    <cfRule type="expression" dxfId="4583" priority="211">
      <formula>H86=$B$112</formula>
    </cfRule>
    <cfRule type="expression" dxfId="4582" priority="212">
      <formula>H86=$B$110</formula>
    </cfRule>
    <cfRule type="expression" dxfId="4581" priority="213" stopIfTrue="1">
      <formula>H86=$B$111</formula>
    </cfRule>
    <cfRule type="expression" dxfId="4580" priority="214" stopIfTrue="1">
      <formula>H$5=TODAY()</formula>
    </cfRule>
  </conditionalFormatting>
  <conditionalFormatting sqref="H86:I86">
    <cfRule type="expression" dxfId="4579" priority="174">
      <formula>H86=$B$145</formula>
    </cfRule>
  </conditionalFormatting>
  <conditionalFormatting sqref="H86:I86">
    <cfRule type="expression" dxfId="4578" priority="133">
      <formula>H86=$B$145</formula>
    </cfRule>
    <cfRule type="expression" dxfId="4577" priority="134">
      <formula>H86=$B$130</formula>
    </cfRule>
    <cfRule type="expression" dxfId="4576" priority="135">
      <formula>H86=$B$128</formula>
    </cfRule>
    <cfRule type="expression" dxfId="4575" priority="136">
      <formula>H86=$B$124</formula>
    </cfRule>
    <cfRule type="expression" dxfId="4574" priority="137">
      <formula>H86=$B$119</formula>
    </cfRule>
    <cfRule type="expression" dxfId="4573" priority="138">
      <formula>H86=$B$116</formula>
    </cfRule>
    <cfRule type="expression" dxfId="4572" priority="139">
      <formula>H86=$B$113</formula>
    </cfRule>
    <cfRule type="expression" dxfId="4571" priority="140">
      <formula>H86=$B$116</formula>
    </cfRule>
    <cfRule type="expression" dxfId="4570" priority="141">
      <formula>H86=$B$146</formula>
    </cfRule>
    <cfRule type="expression" dxfId="4569" priority="142">
      <formula>H86=$B$118</formula>
    </cfRule>
    <cfRule type="expression" dxfId="4568" priority="143">
      <formula>H86=$B$146</formula>
    </cfRule>
    <cfRule type="expression" dxfId="4567" priority="144">
      <formula>H86=$B$145</formula>
    </cfRule>
    <cfRule type="expression" dxfId="4566" priority="145">
      <formula>H86=$B$144</formula>
    </cfRule>
    <cfRule type="expression" dxfId="4565" priority="146">
      <formula>H86=$B$143</formula>
    </cfRule>
    <cfRule type="expression" dxfId="4564" priority="147">
      <formula>H86=$B$142</formula>
    </cfRule>
    <cfRule type="expression" dxfId="4563" priority="148">
      <formula>H86=$B$141</formula>
    </cfRule>
    <cfRule type="expression" dxfId="4562" priority="149">
      <formula>H86=$B$140</formula>
    </cfRule>
    <cfRule type="expression" dxfId="4561" priority="150">
      <formula>H86=$B$139</formula>
    </cfRule>
    <cfRule type="expression" dxfId="4560" priority="151">
      <formula>H86=$B$135</formula>
    </cfRule>
    <cfRule type="expression" dxfId="4559" priority="152">
      <formula>H86=$B$134</formula>
    </cfRule>
    <cfRule type="expression" dxfId="4558" priority="153">
      <formula>H86=$B$133</formula>
    </cfRule>
    <cfRule type="expression" dxfId="4557" priority="154">
      <formula>H86=$B$132</formula>
    </cfRule>
    <cfRule type="expression" dxfId="4556" priority="155">
      <formula>H86=$B$131</formula>
    </cfRule>
    <cfRule type="expression" dxfId="4555" priority="156" stopIfTrue="1">
      <formula>H86=$B$130</formula>
    </cfRule>
    <cfRule type="expression" dxfId="4554" priority="157">
      <formula>H86=$B$129</formula>
    </cfRule>
    <cfRule type="expression" dxfId="4553" priority="158" stopIfTrue="1">
      <formula>H86=$B$128</formula>
    </cfRule>
    <cfRule type="expression" dxfId="4552" priority="159">
      <formula>H86=$B$127</formula>
    </cfRule>
    <cfRule type="expression" dxfId="4551" priority="160">
      <formula>H86=$B$126</formula>
    </cfRule>
    <cfRule type="expression" dxfId="4550" priority="161">
      <formula>H86=$B$125</formula>
    </cfRule>
    <cfRule type="expression" dxfId="4549" priority="162" stopIfTrue="1">
      <formula>H86=$B$123</formula>
    </cfRule>
    <cfRule type="expression" dxfId="4548" priority="163" stopIfTrue="1">
      <formula>H86=$B$122</formula>
    </cfRule>
    <cfRule type="expression" dxfId="4547" priority="164" stopIfTrue="1">
      <formula>H86=$B$121</formula>
    </cfRule>
    <cfRule type="expression" dxfId="4546" priority="165">
      <formula>H86=$B$120</formula>
    </cfRule>
    <cfRule type="expression" dxfId="4545" priority="166">
      <formula>H86=$B$117</formula>
    </cfRule>
    <cfRule type="expression" dxfId="4544" priority="167" stopIfTrue="1">
      <formula>H86=$B$115</formula>
    </cfRule>
    <cfRule type="expression" dxfId="4543" priority="168">
      <formula>H86=$B$114</formula>
    </cfRule>
    <cfRule type="expression" dxfId="4542" priority="169">
      <formula>H86=$B$113</formula>
    </cfRule>
    <cfRule type="expression" dxfId="4541" priority="170">
      <formula>H86=$B$112</formula>
    </cfRule>
    <cfRule type="expression" dxfId="4540" priority="171">
      <formula>H86=$B$110</formula>
    </cfRule>
    <cfRule type="expression" dxfId="4539" priority="172" stopIfTrue="1">
      <formula>H86=$B$111</formula>
    </cfRule>
    <cfRule type="expression" dxfId="4538" priority="173" stopIfTrue="1">
      <formula>H$5=TODAY()</formula>
    </cfRule>
  </conditionalFormatting>
  <conditionalFormatting sqref="H86:I86">
    <cfRule type="expression" dxfId="4537" priority="92">
      <formula>H86=$B$145</formula>
    </cfRule>
    <cfRule type="expression" dxfId="4536" priority="93">
      <formula>H86=$B$130</formula>
    </cfRule>
    <cfRule type="expression" dxfId="4535" priority="94">
      <formula>H86=$B$128</formula>
    </cfRule>
    <cfRule type="expression" dxfId="4534" priority="95">
      <formula>H86=$B$124</formula>
    </cfRule>
    <cfRule type="expression" dxfId="4533" priority="96">
      <formula>H86=$B$119</formula>
    </cfRule>
    <cfRule type="expression" dxfId="4532" priority="97">
      <formula>H86=$B$116</formula>
    </cfRule>
    <cfRule type="expression" dxfId="4531" priority="98">
      <formula>H86=$B$113</formula>
    </cfRule>
    <cfRule type="expression" dxfId="4530" priority="99">
      <formula>H86=$B$116</formula>
    </cfRule>
    <cfRule type="expression" dxfId="4529" priority="100">
      <formula>H86=$B$146</formula>
    </cfRule>
    <cfRule type="expression" dxfId="4528" priority="101">
      <formula>H86=$B$118</formula>
    </cfRule>
    <cfRule type="expression" dxfId="4527" priority="102">
      <formula>H86=$B$146</formula>
    </cfRule>
    <cfRule type="expression" dxfId="4526" priority="103">
      <formula>H86=$B$145</formula>
    </cfRule>
    <cfRule type="expression" dxfId="4525" priority="104">
      <formula>H86=$B$144</formula>
    </cfRule>
    <cfRule type="expression" dxfId="4524" priority="105">
      <formula>H86=$B$143</formula>
    </cfRule>
    <cfRule type="expression" dxfId="4523" priority="106">
      <formula>H86=$B$142</formula>
    </cfRule>
    <cfRule type="expression" dxfId="4522" priority="107">
      <formula>H86=$B$141</formula>
    </cfRule>
    <cfRule type="expression" dxfId="4521" priority="108">
      <formula>H86=$B$140</formula>
    </cfRule>
    <cfRule type="expression" dxfId="4520" priority="109">
      <formula>H86=$B$139</formula>
    </cfRule>
    <cfRule type="expression" dxfId="4519" priority="110">
      <formula>H86=$B$135</formula>
    </cfRule>
    <cfRule type="expression" dxfId="4518" priority="111">
      <formula>H86=$B$134</formula>
    </cfRule>
    <cfRule type="expression" dxfId="4517" priority="112">
      <formula>H86=$B$133</formula>
    </cfRule>
    <cfRule type="expression" dxfId="4516" priority="113">
      <formula>H86=$B$132</formula>
    </cfRule>
    <cfRule type="expression" dxfId="4515" priority="114">
      <formula>H86=$B$131</formula>
    </cfRule>
    <cfRule type="expression" dxfId="4514" priority="115" stopIfTrue="1">
      <formula>H86=$B$130</formula>
    </cfRule>
    <cfRule type="expression" dxfId="4513" priority="116">
      <formula>H86=$B$129</formula>
    </cfRule>
    <cfRule type="expression" dxfId="4512" priority="117" stopIfTrue="1">
      <formula>H86=$B$128</formula>
    </cfRule>
    <cfRule type="expression" dxfId="4511" priority="118">
      <formula>H86=$B$127</formula>
    </cfRule>
    <cfRule type="expression" dxfId="4510" priority="119">
      <formula>H86=$B$126</formula>
    </cfRule>
    <cfRule type="expression" dxfId="4509" priority="120">
      <formula>H86=$B$125</formula>
    </cfRule>
    <cfRule type="expression" dxfId="4508" priority="121" stopIfTrue="1">
      <formula>H86=$B$123</formula>
    </cfRule>
    <cfRule type="expression" dxfId="4507" priority="122" stopIfTrue="1">
      <formula>H86=$B$122</formula>
    </cfRule>
    <cfRule type="expression" dxfId="4506" priority="123" stopIfTrue="1">
      <formula>H86=$B$121</formula>
    </cfRule>
    <cfRule type="expression" dxfId="4505" priority="124">
      <formula>H86=$B$120</formula>
    </cfRule>
    <cfRule type="expression" dxfId="4504" priority="125">
      <formula>H86=$B$117</formula>
    </cfRule>
    <cfRule type="expression" dxfId="4503" priority="126" stopIfTrue="1">
      <formula>H86=$B$115</formula>
    </cfRule>
    <cfRule type="expression" dxfId="4502" priority="127">
      <formula>H86=$B$114</formula>
    </cfRule>
    <cfRule type="expression" dxfId="4501" priority="128">
      <formula>H86=$B$113</formula>
    </cfRule>
    <cfRule type="expression" dxfId="4500" priority="129">
      <formula>H86=$B$112</formula>
    </cfRule>
    <cfRule type="expression" dxfId="4499" priority="130">
      <formula>H86=$B$110</formula>
    </cfRule>
    <cfRule type="expression" dxfId="4498" priority="131" stopIfTrue="1">
      <formula>H86=$B$111</formula>
    </cfRule>
    <cfRule type="expression" dxfId="4497" priority="132" stopIfTrue="1">
      <formula>H$5=TODAY()</formula>
    </cfRule>
  </conditionalFormatting>
  <conditionalFormatting sqref="C56:D56">
    <cfRule type="expression" dxfId="4496" priority="52">
      <formula>C56=$B$130</formula>
    </cfRule>
    <cfRule type="expression" dxfId="4495" priority="53">
      <formula>C56=$B$128</formula>
    </cfRule>
    <cfRule type="expression" dxfId="4494" priority="54">
      <formula>C56=$B$124</formula>
    </cfRule>
    <cfRule type="expression" dxfId="4493" priority="55">
      <formula>C56=$B$119</formula>
    </cfRule>
    <cfRule type="expression" dxfId="4492" priority="56">
      <formula>C56=$B$116</formula>
    </cfRule>
    <cfRule type="expression" dxfId="4491" priority="57">
      <formula>C56=$B$113</formula>
    </cfRule>
    <cfRule type="expression" dxfId="4490" priority="58">
      <formula>C56=$B$116</formula>
    </cfRule>
    <cfRule type="expression" dxfId="4489" priority="59">
      <formula>C56=$B$146</formula>
    </cfRule>
    <cfRule type="expression" dxfId="4488" priority="60">
      <formula>C56=$B$118</formula>
    </cfRule>
    <cfRule type="expression" dxfId="4487" priority="61">
      <formula>C56=$B$146</formula>
    </cfRule>
    <cfRule type="expression" dxfId="4486" priority="62">
      <formula>C56=$B$145</formula>
    </cfRule>
    <cfRule type="expression" dxfId="4485" priority="63">
      <formula>C56=$B$144</formula>
    </cfRule>
    <cfRule type="expression" dxfId="4484" priority="64">
      <formula>C56=$B$143</formula>
    </cfRule>
    <cfRule type="expression" dxfId="4483" priority="65">
      <formula>C56=$B$142</formula>
    </cfRule>
    <cfRule type="expression" dxfId="4482" priority="66">
      <formula>C56=$B$141</formula>
    </cfRule>
    <cfRule type="expression" dxfId="4481" priority="67">
      <formula>C56=$B$140</formula>
    </cfRule>
    <cfRule type="expression" dxfId="4480" priority="68">
      <formula>C56=$B$139</formula>
    </cfRule>
    <cfRule type="expression" dxfId="4479" priority="69">
      <formula>C56=$B$135</formula>
    </cfRule>
    <cfRule type="expression" dxfId="4478" priority="70">
      <formula>C56=$B$134</formula>
    </cfRule>
    <cfRule type="expression" dxfId="4477" priority="71">
      <formula>C56=$B$133</formula>
    </cfRule>
    <cfRule type="expression" dxfId="4476" priority="72">
      <formula>C56=$B$132</formula>
    </cfRule>
    <cfRule type="expression" dxfId="4475" priority="73">
      <formula>C56=$B$131</formula>
    </cfRule>
    <cfRule type="expression" dxfId="4474" priority="74" stopIfTrue="1">
      <formula>C56=$B$130</formula>
    </cfRule>
    <cfRule type="expression" dxfId="4473" priority="75">
      <formula>C56=$B$129</formula>
    </cfRule>
    <cfRule type="expression" dxfId="4472" priority="76" stopIfTrue="1">
      <formula>C56=$B$128</formula>
    </cfRule>
    <cfRule type="expression" dxfId="4471" priority="77">
      <formula>C56=$B$127</formula>
    </cfRule>
    <cfRule type="expression" dxfId="4470" priority="78">
      <formula>C56=$B$126</formula>
    </cfRule>
    <cfRule type="expression" dxfId="4469" priority="79">
      <formula>C56=$B$125</formula>
    </cfRule>
    <cfRule type="expression" dxfId="4468" priority="80" stopIfTrue="1">
      <formula>C56=$B$123</formula>
    </cfRule>
    <cfRule type="expression" dxfId="4467" priority="81" stopIfTrue="1">
      <formula>C56=$B$122</formula>
    </cfRule>
    <cfRule type="expression" dxfId="4466" priority="82" stopIfTrue="1">
      <formula>C56=$B$121</formula>
    </cfRule>
    <cfRule type="expression" dxfId="4465" priority="83">
      <formula>C56=$B$120</formula>
    </cfRule>
    <cfRule type="expression" dxfId="4464" priority="84">
      <formula>C56=$B$117</formula>
    </cfRule>
    <cfRule type="expression" dxfId="4463" priority="85" stopIfTrue="1">
      <formula>C56=$B$115</formula>
    </cfRule>
    <cfRule type="expression" dxfId="4462" priority="86">
      <formula>C56=$B$114</formula>
    </cfRule>
    <cfRule type="expression" dxfId="4461" priority="87">
      <formula>C56=$B$113</formula>
    </cfRule>
    <cfRule type="expression" dxfId="4460" priority="88">
      <formula>C56=$B$112</formula>
    </cfRule>
    <cfRule type="expression" dxfId="4459" priority="89">
      <formula>C56=$B$110</formula>
    </cfRule>
    <cfRule type="expression" dxfId="4458" priority="90" stopIfTrue="1">
      <formula>C56=$B$111</formula>
    </cfRule>
    <cfRule type="expression" dxfId="4457" priority="91" stopIfTrue="1">
      <formula>C$5=TODAY()</formula>
    </cfRule>
  </conditionalFormatting>
  <conditionalFormatting sqref="C56:D56">
    <cfRule type="expression" dxfId="4456" priority="51">
      <formula>C56=$B$145</formula>
    </cfRule>
  </conditionalFormatting>
  <conditionalFormatting sqref="C56:D56">
    <cfRule type="expression" dxfId="4455" priority="48">
      <formula>C56=$B$137</formula>
    </cfRule>
    <cfRule type="expression" dxfId="4454" priority="49">
      <formula>C56=$B$138</formula>
    </cfRule>
    <cfRule type="expression" dxfId="4453" priority="50">
      <formula>C56=$B$136</formula>
    </cfRule>
  </conditionalFormatting>
  <conditionalFormatting sqref="C58:D58">
    <cfRule type="expression" dxfId="4452" priority="8">
      <formula>C58=$B$130</formula>
    </cfRule>
    <cfRule type="expression" dxfId="4451" priority="9">
      <formula>C58=$B$128</formula>
    </cfRule>
    <cfRule type="expression" dxfId="4450" priority="10">
      <formula>C58=$B$124</formula>
    </cfRule>
    <cfRule type="expression" dxfId="4449" priority="11">
      <formula>C58=$B$119</formula>
    </cfRule>
    <cfRule type="expression" dxfId="4448" priority="12">
      <formula>C58=$B$116</formula>
    </cfRule>
    <cfRule type="expression" dxfId="4447" priority="13">
      <formula>C58=$B$113</formula>
    </cfRule>
    <cfRule type="expression" dxfId="4446" priority="14">
      <formula>C58=$B$116</formula>
    </cfRule>
    <cfRule type="expression" dxfId="4445" priority="15">
      <formula>C58=$B$146</formula>
    </cfRule>
    <cfRule type="expression" dxfId="4444" priority="16">
      <formula>C58=$B$118</formula>
    </cfRule>
    <cfRule type="expression" dxfId="4443" priority="17">
      <formula>C58=$B$146</formula>
    </cfRule>
    <cfRule type="expression" dxfId="4442" priority="18">
      <formula>C58=$B$145</formula>
    </cfRule>
    <cfRule type="expression" dxfId="4441" priority="19">
      <formula>C58=$B$144</formula>
    </cfRule>
    <cfRule type="expression" dxfId="4440" priority="20">
      <formula>C58=$B$143</formula>
    </cfRule>
    <cfRule type="expression" dxfId="4439" priority="21">
      <formula>C58=$B$142</formula>
    </cfRule>
    <cfRule type="expression" dxfId="4438" priority="22">
      <formula>C58=$B$141</formula>
    </cfRule>
    <cfRule type="expression" dxfId="4437" priority="23">
      <formula>C58=$B$140</formula>
    </cfRule>
    <cfRule type="expression" dxfId="4436" priority="24">
      <formula>C58=$B$139</formula>
    </cfRule>
    <cfRule type="expression" dxfId="4435" priority="25">
      <formula>C58=$B$135</formula>
    </cfRule>
    <cfRule type="expression" dxfId="4434" priority="26">
      <formula>C58=$B$134</formula>
    </cfRule>
    <cfRule type="expression" dxfId="4433" priority="27">
      <formula>C58=$B$133</formula>
    </cfRule>
    <cfRule type="expression" dxfId="4432" priority="28">
      <formula>C58=$B$132</formula>
    </cfRule>
    <cfRule type="expression" dxfId="4431" priority="29">
      <formula>C58=$B$131</formula>
    </cfRule>
    <cfRule type="expression" dxfId="4430" priority="30" stopIfTrue="1">
      <formula>C58=$B$130</formula>
    </cfRule>
    <cfRule type="expression" dxfId="4429" priority="31">
      <formula>C58=$B$129</formula>
    </cfRule>
    <cfRule type="expression" dxfId="4428" priority="32" stopIfTrue="1">
      <formula>C58=$B$128</formula>
    </cfRule>
    <cfRule type="expression" dxfId="4427" priority="33">
      <formula>C58=$B$127</formula>
    </cfRule>
    <cfRule type="expression" dxfId="4426" priority="34">
      <formula>C58=$B$126</formula>
    </cfRule>
    <cfRule type="expression" dxfId="4425" priority="35">
      <formula>C58=$B$125</formula>
    </cfRule>
    <cfRule type="expression" dxfId="4424" priority="36" stopIfTrue="1">
      <formula>C58=$B$123</formula>
    </cfRule>
    <cfRule type="expression" dxfId="4423" priority="37" stopIfTrue="1">
      <formula>C58=$B$122</formula>
    </cfRule>
    <cfRule type="expression" dxfId="4422" priority="38" stopIfTrue="1">
      <formula>C58=$B$121</formula>
    </cfRule>
    <cfRule type="expression" dxfId="4421" priority="39">
      <formula>C58=$B$120</formula>
    </cfRule>
    <cfRule type="expression" dxfId="4420" priority="40">
      <formula>C58=$B$117</formula>
    </cfRule>
    <cfRule type="expression" dxfId="4419" priority="41" stopIfTrue="1">
      <formula>C58=$B$115</formula>
    </cfRule>
    <cfRule type="expression" dxfId="4418" priority="42">
      <formula>C58=$B$114</formula>
    </cfRule>
    <cfRule type="expression" dxfId="4417" priority="43">
      <formula>C58=$B$113</formula>
    </cfRule>
    <cfRule type="expression" dxfId="4416" priority="44">
      <formula>C58=$B$112</formula>
    </cfRule>
    <cfRule type="expression" dxfId="4415" priority="45">
      <formula>C58=$B$110</formula>
    </cfRule>
    <cfRule type="expression" dxfId="4414" priority="46" stopIfTrue="1">
      <formula>C58=$B$111</formula>
    </cfRule>
    <cfRule type="expression" dxfId="4413" priority="47" stopIfTrue="1">
      <formula>C$5=TODAY()</formula>
    </cfRule>
  </conditionalFormatting>
  <conditionalFormatting sqref="C58:D58">
    <cfRule type="expression" dxfId="4412" priority="7">
      <formula>C58=$B$145</formula>
    </cfRule>
  </conditionalFormatting>
  <conditionalFormatting sqref="C58:D58">
    <cfRule type="expression" dxfId="4411" priority="4">
      <formula>C58=$B$137</formula>
    </cfRule>
    <cfRule type="expression" dxfId="4410" priority="5">
      <formula>C58=$B$138</formula>
    </cfRule>
    <cfRule type="expression" dxfId="4409" priority="6">
      <formula>C58=$B$136</formula>
    </cfRule>
  </conditionalFormatting>
  <conditionalFormatting sqref="C90:E90">
    <cfRule type="expression" dxfId="4408" priority="3">
      <formula>C90=$B$145</formula>
    </cfRule>
  </conditionalFormatting>
  <conditionalFormatting sqref="C40:I40">
    <cfRule type="expression" dxfId="4407" priority="2">
      <formula>C40=$B$145</formula>
    </cfRule>
  </conditionalFormatting>
  <conditionalFormatting sqref="H46:I46">
    <cfRule type="expression" dxfId="4406" priority="1">
      <formula>H46=$B$145</formula>
    </cfRule>
  </conditionalFormatting>
  <dataValidations count="1">
    <dataValidation type="list" allowBlank="1" showInputMessage="1" showErrorMessage="1" sqref="C44:I44 C106:I106 C16:I16 C32:I32 C8:I8 C34:I34 C102:I102 C26:I26 C90:I90 C84:I84 C38:I38 C46:I46 C92:I92 C50:I50 C82:I82 C98:I98 C6:I6 C24:I24 C10:I10 C22:I22 C54:I54 C12:I12 C30:I30 C78:I78 C58:I58 C18:I18 C52:I52 C68:I68 C60:I60 C28:I28 C40:I40 C94:I94 C70:I70 C100:I100 C66:I66 C20:I20 C86:I86 C72:I72 C88:I88 E76:I76 C36:I36 C96:I96 C64:I64 C56:I56 C76 C62:I62 C48:I48 C80:G80 C42:I42 C104:I104 C74:I74 C14:I14" xr:uid="{00000000-0002-0000-03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L147"/>
  <sheetViews>
    <sheetView zoomScale="140" zoomScaleNormal="140" zoomScalePageLayoutView="125" workbookViewId="0">
      <pane ySplit="5" topLeftCell="A52" activePane="bottomLeft" state="frozen"/>
      <selection pane="bottomLeft" activeCell="D109" sqref="D109:E109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COUNTIF(C6:C107,$B$127)+COUNTIF(C6:C107,$B$128)+COUNTIF(C6:C107,$B$129)+COUNTIF(C6:C107,$B$130)</f>
        <v>8</v>
      </c>
      <c r="D1" s="22">
        <f t="shared" si="0"/>
        <v>8</v>
      </c>
      <c r="E1" s="22">
        <f t="shared" si="0"/>
        <v>8</v>
      </c>
      <c r="F1" s="22">
        <f t="shared" si="0"/>
        <v>8</v>
      </c>
      <c r="G1" s="22">
        <f t="shared" si="0"/>
        <v>8</v>
      </c>
      <c r="H1" s="22">
        <f t="shared" si="0"/>
        <v>0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43129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161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43129</v>
      </c>
      <c r="D5" s="33">
        <f t="shared" ref="D5:I5" si="1">C5+1</f>
        <v>43130</v>
      </c>
      <c r="E5" s="33">
        <f t="shared" si="1"/>
        <v>43131</v>
      </c>
      <c r="F5" s="33">
        <f t="shared" si="1"/>
        <v>43132</v>
      </c>
      <c r="G5" s="33">
        <f t="shared" si="1"/>
        <v>43133</v>
      </c>
      <c r="H5" s="33">
        <f t="shared" si="1"/>
        <v>43134</v>
      </c>
      <c r="I5" s="33">
        <f t="shared" si="1"/>
        <v>43135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7-(COUNTIF(C6:I6,"")+COUNTIF(C6:I6,$B$144))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IF(ISBLANK(C6),"",VLOOKUP(C6,$B$110:$L$146,11,0))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7-(COUNTIF(C8:I8,"")+COUNTIF(C8:I8,$B$144))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IF(ISBLANK(C8),"",VLOOKUP(C8,$B$110:$L$146,11,0))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7-(COUNTIF(C10:I10,"")+COUNTIF(C10:I10,$B$144))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IF(ISBLANK(C10),"",VLOOKUP(C10,$B$110:$L$146,11,0))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7-(COUNTIF(C12:I12,"")+COUNTIF(C12:I12,$B$144))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IF(ISBLANK(C12),"",VLOOKUP(C12,$B$110:$L$146,11,0))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7-(COUNTIF(C14:I14,"")+COUNTIF(C14:I14,$B$144))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IF(ISBLANK(C14),"",VLOOKUP(C14,$B$110:$L$146,11,0))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7-(COUNTIF(C16:I16,"")+COUNTIF(C16:I16,$B$144))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IF(ISBLANK(C16),"",VLOOKUP(C16,$B$110:$L$146,11,0))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7-(COUNTIF(C18:I18,"")+COUNTIF(C18:I18,$B$144))</f>
        <v>5</v>
      </c>
      <c r="B18" s="186" t="s">
        <v>7</v>
      </c>
      <c r="C18" s="38" t="s">
        <v>89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IF(ISBLANK(C18),"",VLOOKUP(C18,$B$110:$L$146,11,0))</f>
        <v>18H00-22H00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7-(COUNTIF(C20:I20,"")+COUNTIF(C20:I20,$B$144))</f>
        <v>4</v>
      </c>
      <c r="B20" s="178" t="s">
        <v>111</v>
      </c>
      <c r="C20" s="36"/>
      <c r="D20" s="36" t="s">
        <v>137</v>
      </c>
      <c r="E20" s="36" t="s">
        <v>154</v>
      </c>
      <c r="F20" s="36"/>
      <c r="G20" s="35" t="s">
        <v>149</v>
      </c>
      <c r="H20" s="36"/>
      <c r="I20" s="36" t="s">
        <v>83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IF(ISBLANK(C20),"",VLOOKUP(C20,$B$110:$L$146,11,0))</f>
        <v/>
      </c>
      <c r="D21" s="37" t="str">
        <f t="shared" si="9"/>
        <v>06H00-14H30</v>
      </c>
      <c r="E21" s="37" t="str">
        <f t="shared" si="9"/>
        <v>13H00-21H30</v>
      </c>
      <c r="F21" s="37" t="str">
        <f t="shared" si="9"/>
        <v/>
      </c>
      <c r="G21" s="37" t="str">
        <f t="shared" si="9"/>
        <v>09H00-17H30</v>
      </c>
      <c r="H21" s="37" t="str">
        <f t="shared" si="9"/>
        <v/>
      </c>
      <c r="I21" s="37" t="str">
        <f t="shared" si="9"/>
        <v>09H00-17H30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7-(COUNTIF(C22:I22,"")+COUNTIF(C22:I22,$B$144))</f>
        <v>5</v>
      </c>
      <c r="B22" s="193" t="s">
        <v>3</v>
      </c>
      <c r="C22" s="36" t="s">
        <v>92</v>
      </c>
      <c r="D22" s="36"/>
      <c r="E22" s="36" t="s">
        <v>91</v>
      </c>
      <c r="F22" s="36"/>
      <c r="G22" s="36" t="s">
        <v>83</v>
      </c>
      <c r="H22" s="35" t="s">
        <v>149</v>
      </c>
      <c r="I22" s="35" t="s">
        <v>123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IF(ISBLANK(C22),"",VLOOKUP(C22,$B$110:$L$146,11,0))</f>
        <v>10H00-18H30</v>
      </c>
      <c r="D23" s="37" t="str">
        <f t="shared" si="10"/>
        <v/>
      </c>
      <c r="E23" s="37" t="str">
        <f t="shared" si="10"/>
        <v>06H00-14H30</v>
      </c>
      <c r="F23" s="37" t="str">
        <f t="shared" si="10"/>
        <v/>
      </c>
      <c r="G23" s="37" t="str">
        <f t="shared" si="10"/>
        <v>09H00-17H30</v>
      </c>
      <c r="H23" s="37" t="str">
        <f t="shared" si="10"/>
        <v>09H00-17H30</v>
      </c>
      <c r="I23" s="37" t="str">
        <f t="shared" si="10"/>
        <v>14H30-23H00</v>
      </c>
      <c r="J23" s="181"/>
      <c r="K23" s="139"/>
    </row>
    <row r="24" spans="1:12" s="39" customFormat="1" ht="13" customHeight="1" thickTop="1" x14ac:dyDescent="0.2">
      <c r="A24" s="21">
        <f>7-(COUNTIF(C24:I24,"")+COUNTIF(C24:I24,$B$144))</f>
        <v>4</v>
      </c>
      <c r="B24" s="195" t="s">
        <v>8</v>
      </c>
      <c r="C24" s="36" t="s">
        <v>110</v>
      </c>
      <c r="D24" s="36"/>
      <c r="E24" s="36"/>
      <c r="F24" s="36" t="s">
        <v>90</v>
      </c>
      <c r="G24" s="36" t="s">
        <v>138</v>
      </c>
      <c r="H24" s="36"/>
      <c r="I24" s="36" t="s">
        <v>110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 t="str">
        <f t="shared" ref="C25:I25" si="11">IF(ISBLANK(C24),"",VLOOKUP(C24,$B$110:$L$146,11,0))</f>
        <v>21H45-06H15</v>
      </c>
      <c r="D25" s="37" t="str">
        <f t="shared" si="11"/>
        <v/>
      </c>
      <c r="E25" s="37" t="str">
        <f t="shared" si="11"/>
        <v/>
      </c>
      <c r="F25" s="37" t="str">
        <f t="shared" si="11"/>
        <v>06H00-14H30</v>
      </c>
      <c r="G25" s="37" t="str">
        <f t="shared" si="11"/>
        <v>22H00-06H30</v>
      </c>
      <c r="H25" s="37" t="str">
        <f t="shared" si="11"/>
        <v/>
      </c>
      <c r="I25" s="37" t="str">
        <f t="shared" si="11"/>
        <v>21H45-06H15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7-(COUNTIF(C26:I26,"")+COUNTIF(C26:I26,$B$144))</f>
        <v>5</v>
      </c>
      <c r="B26" s="178" t="s">
        <v>9</v>
      </c>
      <c r="C26" s="36"/>
      <c r="D26" s="36" t="s">
        <v>82</v>
      </c>
      <c r="E26" s="36" t="s">
        <v>81</v>
      </c>
      <c r="F26" s="36"/>
      <c r="G26" s="36" t="s">
        <v>91</v>
      </c>
      <c r="H26" s="36" t="s">
        <v>84</v>
      </c>
      <c r="I26" s="36" t="s">
        <v>149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IF(ISBLANK(C26),"",VLOOKUP(C26,$B$110:$L$146,11,0))</f>
        <v/>
      </c>
      <c r="D27" s="37" t="str">
        <f t="shared" si="12"/>
        <v>06H00-14H30</v>
      </c>
      <c r="E27" s="37" t="str">
        <f t="shared" si="12"/>
        <v>14H30-23H00</v>
      </c>
      <c r="F27" s="37" t="str">
        <f t="shared" si="12"/>
        <v/>
      </c>
      <c r="G27" s="37" t="str">
        <f t="shared" si="12"/>
        <v>06H00-14H30</v>
      </c>
      <c r="H27" s="37" t="str">
        <f t="shared" si="12"/>
        <v>13H30-22H00</v>
      </c>
      <c r="I27" s="37" t="str">
        <f t="shared" si="12"/>
        <v>09H00-17H30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7-(COUNTIF(C28:I28,"")+COUNTIF(C28:I28,$B$144))</f>
        <v>4</v>
      </c>
      <c r="B28" s="178" t="s">
        <v>10</v>
      </c>
      <c r="C28" s="36"/>
      <c r="D28" s="36" t="s">
        <v>81</v>
      </c>
      <c r="E28" s="36"/>
      <c r="F28" s="36" t="s">
        <v>31</v>
      </c>
      <c r="G28" s="36"/>
      <c r="H28" s="35" t="s">
        <v>122</v>
      </c>
      <c r="I28" s="35" t="s">
        <v>82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IF(ISBLANK(C28),"",VLOOKUP(C28,$B$110:$L$146,11,0))</f>
        <v/>
      </c>
      <c r="D29" s="37" t="str">
        <f t="shared" si="13"/>
        <v>14H30-23H00</v>
      </c>
      <c r="E29" s="37" t="str">
        <f t="shared" si="13"/>
        <v/>
      </c>
      <c r="F29" s="37" t="str">
        <f t="shared" si="13"/>
        <v>06H00-14H30</v>
      </c>
      <c r="G29" s="37" t="str">
        <f t="shared" si="13"/>
        <v/>
      </c>
      <c r="H29" s="37" t="str">
        <f t="shared" si="13"/>
        <v>06H00-14H30</v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7-(COUNTIF(C30:I30,"")+COUNTIF(C30:I30,$B$144))</f>
        <v>5</v>
      </c>
      <c r="B30" s="178" t="s">
        <v>11</v>
      </c>
      <c r="C30" s="36" t="s">
        <v>95</v>
      </c>
      <c r="D30" s="36" t="s">
        <v>149</v>
      </c>
      <c r="E30" s="36" t="s">
        <v>93</v>
      </c>
      <c r="F30" s="36"/>
      <c r="G30" s="36" t="s">
        <v>139</v>
      </c>
      <c r="H30" s="35" t="s">
        <v>83</v>
      </c>
      <c r="I30" s="35" t="s">
        <v>84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>
        <f t="shared" ref="C31:I31" si="14">IF(ISBLANK(C30),"",VLOOKUP(C30,$B$110:$L$146,11,0))</f>
        <v>0</v>
      </c>
      <c r="D31" s="37" t="str">
        <f t="shared" si="14"/>
        <v>09H00-17H30</v>
      </c>
      <c r="E31" s="37" t="str">
        <f t="shared" si="14"/>
        <v>06H00-14H30</v>
      </c>
      <c r="F31" s="37" t="str">
        <f t="shared" si="14"/>
        <v/>
      </c>
      <c r="G31" s="37" t="str">
        <f t="shared" si="14"/>
        <v>14H00-22H30</v>
      </c>
      <c r="H31" s="37" t="str">
        <f t="shared" si="14"/>
        <v>09H00-17H30</v>
      </c>
      <c r="I31" s="37" t="str">
        <f t="shared" si="14"/>
        <v>13H30-22H00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7-(COUNTIF(C32:I32,"")+COUNTIF(C32:I32,$B$144))</f>
        <v>5</v>
      </c>
      <c r="B32" s="201" t="s">
        <v>12</v>
      </c>
      <c r="C32" s="36" t="s">
        <v>82</v>
      </c>
      <c r="D32" s="36" t="s">
        <v>152</v>
      </c>
      <c r="E32" s="36" t="s">
        <v>92</v>
      </c>
      <c r="F32" s="36" t="s">
        <v>80</v>
      </c>
      <c r="G32" s="36" t="s">
        <v>100</v>
      </c>
      <c r="H32" s="36" t="s">
        <v>95</v>
      </c>
      <c r="I32" s="36" t="s">
        <v>95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 t="str">
        <f t="shared" ref="C33:I33" si="15">IF(ISBLANK(C32),"",VLOOKUP(C32,$B$110:$L$146,11,0))</f>
        <v>06H00-14H30</v>
      </c>
      <c r="D33" s="37" t="str">
        <f t="shared" si="15"/>
        <v>08H30-17H00</v>
      </c>
      <c r="E33" s="37" t="str">
        <f t="shared" si="15"/>
        <v>10H00-18H30</v>
      </c>
      <c r="F33" s="37" t="str">
        <f t="shared" si="15"/>
        <v>06H00-14H30</v>
      </c>
      <c r="G33" s="37" t="str">
        <f t="shared" si="15"/>
        <v>c.f. GDI</v>
      </c>
      <c r="H33" s="37">
        <f t="shared" si="15"/>
        <v>0</v>
      </c>
      <c r="I33" s="37">
        <f t="shared" si="15"/>
        <v>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7-(COUNTIF(C34:I34,"")+COUNTIF(C34:I34,$B$144))</f>
        <v>3</v>
      </c>
      <c r="B34" s="193" t="s">
        <v>13</v>
      </c>
      <c r="C34" s="36" t="s">
        <v>154</v>
      </c>
      <c r="D34" s="36"/>
      <c r="E34" s="36"/>
      <c r="F34" s="36"/>
      <c r="G34" s="36" t="s">
        <v>152</v>
      </c>
      <c r="H34" s="36" t="s">
        <v>160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4"/>
      <c r="C35" s="37" t="str">
        <f t="shared" ref="C35:I35" si="16">IF(ISBLANK(C34),"",VLOOKUP(C34,$B$110:$L$146,11,0))</f>
        <v>13H00-21H30</v>
      </c>
      <c r="D35" s="37" t="str">
        <f t="shared" si="16"/>
        <v/>
      </c>
      <c r="E35" s="37" t="str">
        <f t="shared" si="16"/>
        <v/>
      </c>
      <c r="F35" s="37" t="str">
        <f t="shared" si="16"/>
        <v/>
      </c>
      <c r="G35" s="37" t="str">
        <f t="shared" si="16"/>
        <v>08H30-17H00</v>
      </c>
      <c r="H35" s="37" t="str">
        <f t="shared" si="16"/>
        <v>08H00-16H30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7-(COUNTIF(C36:I36,"")+COUNTIF(C36:I36,$B$144))</f>
        <v>5</v>
      </c>
      <c r="B36" s="199" t="s">
        <v>43</v>
      </c>
      <c r="C36" s="36" t="s">
        <v>139</v>
      </c>
      <c r="D36" s="36" t="s">
        <v>84</v>
      </c>
      <c r="E36" s="36"/>
      <c r="F36" s="36" t="s">
        <v>122</v>
      </c>
      <c r="G36" s="36" t="s">
        <v>82</v>
      </c>
      <c r="H36" s="36" t="s">
        <v>91</v>
      </c>
      <c r="I36" s="36"/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 t="str">
        <f t="shared" ref="C37:I37" si="17">IF(ISBLANK(C36),"",VLOOKUP(C36,$B$110:$L$146,11,0))</f>
        <v>14H00-22H30</v>
      </c>
      <c r="D37" s="37" t="str">
        <f t="shared" si="17"/>
        <v>13H30-22H00</v>
      </c>
      <c r="E37" s="37" t="str">
        <f t="shared" si="17"/>
        <v/>
      </c>
      <c r="F37" s="37" t="str">
        <f t="shared" si="17"/>
        <v>06H00-14H30</v>
      </c>
      <c r="G37" s="37" t="str">
        <f t="shared" si="17"/>
        <v>06H00-14H30</v>
      </c>
      <c r="H37" s="37" t="str">
        <f t="shared" si="17"/>
        <v>06H00-14H30</v>
      </c>
      <c r="I37" s="37" t="str">
        <f t="shared" si="17"/>
        <v/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7-(COUNTIF(C38:I38,"")+COUNTIF(C38:I38,$B$144))</f>
        <v>4</v>
      </c>
      <c r="B38" s="178" t="s">
        <v>14</v>
      </c>
      <c r="C38" s="36" t="s">
        <v>122</v>
      </c>
      <c r="D38" s="35"/>
      <c r="E38" s="36" t="s">
        <v>82</v>
      </c>
      <c r="F38" s="36" t="s">
        <v>81</v>
      </c>
      <c r="G38" s="36"/>
      <c r="H38" s="36" t="s">
        <v>31</v>
      </c>
      <c r="I38" s="36"/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IF(ISBLANK(C38),"",VLOOKUP(C38,$B$110:$L$146,11,0))</f>
        <v>06H00-14H30</v>
      </c>
      <c r="D39" s="37" t="str">
        <f t="shared" si="18"/>
        <v/>
      </c>
      <c r="E39" s="37" t="str">
        <f t="shared" si="18"/>
        <v>06H00-14H30</v>
      </c>
      <c r="F39" s="37" t="str">
        <f t="shared" si="18"/>
        <v>14H30-23H00</v>
      </c>
      <c r="G39" s="37" t="str">
        <f t="shared" si="18"/>
        <v/>
      </c>
      <c r="H39" s="37" t="str">
        <f t="shared" si="18"/>
        <v>06H00-14H30</v>
      </c>
      <c r="I39" s="37" t="str">
        <f t="shared" si="18"/>
        <v/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7-(COUNTIF(C40:I40,"")+COUNTIF(C40:I40,$B$144))</f>
        <v>5</v>
      </c>
      <c r="B40" s="201" t="s">
        <v>15</v>
      </c>
      <c r="C40" s="36" t="s">
        <v>95</v>
      </c>
      <c r="D40" s="36" t="s">
        <v>31</v>
      </c>
      <c r="E40" s="36" t="s">
        <v>84</v>
      </c>
      <c r="F40" s="36"/>
      <c r="G40" s="36" t="s">
        <v>154</v>
      </c>
      <c r="H40" s="36" t="s">
        <v>151</v>
      </c>
      <c r="I40" s="36" t="s">
        <v>90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>
        <f t="shared" ref="C41:I41" si="19">IF(ISBLANK(C40),"",VLOOKUP(C40,$B$110:$L$146,11,0))</f>
        <v>0</v>
      </c>
      <c r="D41" s="37" t="str">
        <f t="shared" si="19"/>
        <v>06H00-14H30</v>
      </c>
      <c r="E41" s="37" t="str">
        <f t="shared" si="19"/>
        <v>13H30-22H00</v>
      </c>
      <c r="F41" s="37" t="str">
        <f t="shared" si="19"/>
        <v/>
      </c>
      <c r="G41" s="37" t="str">
        <f t="shared" si="19"/>
        <v>13H00-21H30</v>
      </c>
      <c r="H41" s="37" t="str">
        <f t="shared" si="19"/>
        <v>08H30-17H00</v>
      </c>
      <c r="I41" s="37" t="str">
        <f t="shared" si="19"/>
        <v>06H00-14H30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7-(COUNTIF(C42:I42,"")+COUNTIF(C42:I42,$B$144))</f>
        <v>5</v>
      </c>
      <c r="B42" s="186" t="s">
        <v>119</v>
      </c>
      <c r="C42" s="38"/>
      <c r="D42" s="38" t="s">
        <v>123</v>
      </c>
      <c r="E42" s="36" t="s">
        <v>149</v>
      </c>
      <c r="F42" s="38" t="s">
        <v>84</v>
      </c>
      <c r="G42" s="36"/>
      <c r="H42" s="36" t="s">
        <v>90</v>
      </c>
      <c r="I42" s="36" t="s">
        <v>82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IF(ISBLANK(C42),"",VLOOKUP(C42,$B$110:$L$146,11,0))</f>
        <v/>
      </c>
      <c r="D43" s="43" t="str">
        <f t="shared" si="20"/>
        <v>14H30-23H00</v>
      </c>
      <c r="E43" s="43" t="str">
        <f t="shared" si="20"/>
        <v>09H00-17H30</v>
      </c>
      <c r="F43" s="43" t="str">
        <f t="shared" si="20"/>
        <v>13H30-22H00</v>
      </c>
      <c r="G43" s="43" t="str">
        <f t="shared" si="20"/>
        <v/>
      </c>
      <c r="H43" s="43" t="str">
        <f t="shared" si="20"/>
        <v>06H00-14H30</v>
      </c>
      <c r="I43" s="43" t="str">
        <f t="shared" si="20"/>
        <v>06H00-14H30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7-(COUNTIF(C44:I44,"")+COUNTIF(C44:I44,$B$144))</f>
        <v>5</v>
      </c>
      <c r="B44" s="178" t="s">
        <v>16</v>
      </c>
      <c r="C44" s="36" t="s">
        <v>80</v>
      </c>
      <c r="D44" s="36" t="s">
        <v>91</v>
      </c>
      <c r="E44" s="36" t="s">
        <v>110</v>
      </c>
      <c r="F44" s="36" t="s">
        <v>138</v>
      </c>
      <c r="G44" s="36"/>
      <c r="H44" s="36" t="s">
        <v>110</v>
      </c>
      <c r="I44" s="36" t="s">
        <v>95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IF(ISBLANK(C44),"",VLOOKUP(C44,$B$110:$L$146,11,0))</f>
        <v>06H00-14H30</v>
      </c>
      <c r="D45" s="37" t="str">
        <f t="shared" si="21"/>
        <v>06H00-14H30</v>
      </c>
      <c r="E45" s="37" t="str">
        <f t="shared" si="21"/>
        <v>21H45-06H15</v>
      </c>
      <c r="F45" s="37" t="str">
        <f t="shared" si="21"/>
        <v>22H00-06H30</v>
      </c>
      <c r="G45" s="37" t="str">
        <f t="shared" si="21"/>
        <v/>
      </c>
      <c r="H45" s="37" t="str">
        <f t="shared" si="21"/>
        <v>21H45-06H15</v>
      </c>
      <c r="I45" s="37">
        <f t="shared" si="21"/>
        <v>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7-(COUNTIF(C46:I46,"")+COUNTIF(C46:I46,$B$144))</f>
        <v>5</v>
      </c>
      <c r="B46" s="178" t="s">
        <v>102</v>
      </c>
      <c r="C46" s="36" t="s">
        <v>138</v>
      </c>
      <c r="D46" s="36"/>
      <c r="E46" s="36" t="s">
        <v>80</v>
      </c>
      <c r="F46" s="36" t="s">
        <v>152</v>
      </c>
      <c r="G46" s="36" t="s">
        <v>110</v>
      </c>
      <c r="H46" s="36"/>
      <c r="I46" s="36" t="s">
        <v>138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 t="str">
        <f t="shared" ref="C47:I47" si="22">IF(ISBLANK(C46),"",VLOOKUP(C46,$B$110:$L$146,11,0))</f>
        <v>22H00-06H30</v>
      </c>
      <c r="D47" s="37" t="str">
        <f t="shared" si="22"/>
        <v/>
      </c>
      <c r="E47" s="37" t="str">
        <f t="shared" si="22"/>
        <v>06H00-14H30</v>
      </c>
      <c r="F47" s="37" t="str">
        <f t="shared" si="22"/>
        <v>08H30-17H00</v>
      </c>
      <c r="G47" s="37" t="str">
        <f t="shared" si="22"/>
        <v>21H45-06H15</v>
      </c>
      <c r="H47" s="37" t="str">
        <f t="shared" si="22"/>
        <v/>
      </c>
      <c r="I47" s="37" t="str">
        <f t="shared" si="22"/>
        <v>22H00-06H30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7-(COUNTIF(C48:I48,"")+COUNTIF(C48:I48,$B$144))</f>
        <v>5</v>
      </c>
      <c r="B48" s="178" t="s">
        <v>132</v>
      </c>
      <c r="C48" s="36"/>
      <c r="D48" s="36" t="s">
        <v>93</v>
      </c>
      <c r="E48" s="36" t="s">
        <v>84</v>
      </c>
      <c r="F48" s="36" t="s">
        <v>83</v>
      </c>
      <c r="G48" s="36" t="s">
        <v>90</v>
      </c>
      <c r="H48" s="36" t="s">
        <v>85</v>
      </c>
      <c r="I48" s="36" t="s">
        <v>95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IF(ISBLANK(C48),"",VLOOKUP(C48,$B$110:$L$146,11,0))</f>
        <v/>
      </c>
      <c r="D49" s="37" t="str">
        <f t="shared" si="23"/>
        <v>06H00-14H30</v>
      </c>
      <c r="E49" s="37" t="str">
        <f t="shared" si="23"/>
        <v>13H30-22H00</v>
      </c>
      <c r="F49" s="37" t="str">
        <f t="shared" si="23"/>
        <v>09H00-17H30</v>
      </c>
      <c r="G49" s="37" t="str">
        <f t="shared" si="23"/>
        <v>06H00-14H30</v>
      </c>
      <c r="H49" s="37" t="str">
        <f t="shared" si="23"/>
        <v>14H30-23H00</v>
      </c>
      <c r="I49" s="37">
        <f t="shared" si="23"/>
        <v>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7-(COUNTIF(C50:I50,"")+COUNTIF(C50:I50,$B$144))</f>
        <v>5</v>
      </c>
      <c r="B50" s="201" t="s">
        <v>17</v>
      </c>
      <c r="C50" s="36" t="s">
        <v>84</v>
      </c>
      <c r="D50" s="36" t="s">
        <v>83</v>
      </c>
      <c r="E50" s="36"/>
      <c r="F50" s="36" t="s">
        <v>149</v>
      </c>
      <c r="G50" s="36"/>
      <c r="H50" s="36" t="s">
        <v>80</v>
      </c>
      <c r="I50" s="36" t="s">
        <v>139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 t="str">
        <f t="shared" ref="C51:I51" si="24">IF(ISBLANK(C50),"",VLOOKUP(C50,$B$110:$L$146,11,0))</f>
        <v>13H30-22H00</v>
      </c>
      <c r="D51" s="37" t="str">
        <f t="shared" si="24"/>
        <v>09H00-17H30</v>
      </c>
      <c r="E51" s="37" t="str">
        <f t="shared" si="24"/>
        <v/>
      </c>
      <c r="F51" s="37" t="str">
        <f t="shared" si="24"/>
        <v>09H00-17H30</v>
      </c>
      <c r="G51" s="37" t="str">
        <f t="shared" si="24"/>
        <v/>
      </c>
      <c r="H51" s="37" t="str">
        <f t="shared" si="24"/>
        <v>06H00-14H30</v>
      </c>
      <c r="I51" s="37" t="str">
        <f t="shared" si="24"/>
        <v>14H00-22H30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7-(COUNTIF(C52:I52,"")+COUNTIF(C52:I52,$B$144))</f>
        <v>4</v>
      </c>
      <c r="B52" s="178" t="s">
        <v>127</v>
      </c>
      <c r="C52" s="36" t="s">
        <v>123</v>
      </c>
      <c r="D52" s="36" t="s">
        <v>95</v>
      </c>
      <c r="E52" s="36" t="s">
        <v>95</v>
      </c>
      <c r="F52" s="36" t="s">
        <v>137</v>
      </c>
      <c r="G52" s="36" t="s">
        <v>99</v>
      </c>
      <c r="H52" s="36" t="s">
        <v>99</v>
      </c>
      <c r="I52" s="36" t="s">
        <v>95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IF(ISBLANK(C52),"",VLOOKUP(C52,$B$110:$L$146,11,0))</f>
        <v>14H30-23H00</v>
      </c>
      <c r="D53" s="37">
        <f t="shared" si="25"/>
        <v>0</v>
      </c>
      <c r="E53" s="37">
        <f t="shared" si="25"/>
        <v>0</v>
      </c>
      <c r="F53" s="37" t="str">
        <f t="shared" si="25"/>
        <v>06H00-14H30</v>
      </c>
      <c r="G53" s="37">
        <f t="shared" si="25"/>
        <v>0</v>
      </c>
      <c r="H53" s="37">
        <f t="shared" si="25"/>
        <v>0</v>
      </c>
      <c r="I53" s="37">
        <f t="shared" si="25"/>
        <v>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7-(COUNTIF(C54:I54,"")+COUNTIF(C54:I54,$B$144))</f>
        <v>4</v>
      </c>
      <c r="B54" s="201" t="s">
        <v>18</v>
      </c>
      <c r="C54" s="36"/>
      <c r="D54" s="36" t="s">
        <v>138</v>
      </c>
      <c r="E54" s="36"/>
      <c r="F54" s="36" t="s">
        <v>110</v>
      </c>
      <c r="G54" s="36"/>
      <c r="H54" s="36" t="s">
        <v>79</v>
      </c>
      <c r="I54" s="36" t="s">
        <v>84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 t="str">
        <f t="shared" ref="C55:I55" si="26">IF(ISBLANK(C54),"",VLOOKUP(C54,$B$110:$L$146,11,0))</f>
        <v/>
      </c>
      <c r="D55" s="37" t="str">
        <f t="shared" si="26"/>
        <v>22H00-06H30</v>
      </c>
      <c r="E55" s="37" t="str">
        <f t="shared" si="26"/>
        <v/>
      </c>
      <c r="F55" s="37" t="str">
        <f t="shared" si="26"/>
        <v>21H45-06H15</v>
      </c>
      <c r="G55" s="37" t="str">
        <f t="shared" si="26"/>
        <v/>
      </c>
      <c r="H55" s="37" t="str">
        <f t="shared" si="26"/>
        <v>09H00-17H30</v>
      </c>
      <c r="I55" s="37" t="str">
        <f t="shared" si="26"/>
        <v>13H30-22H00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7-(COUNTIF(C56:I56,"")+COUNTIF(C56:I56,$B$144))</f>
        <v>5</v>
      </c>
      <c r="B56" s="178" t="s">
        <v>19</v>
      </c>
      <c r="C56" s="36" t="s">
        <v>31</v>
      </c>
      <c r="D56" s="36"/>
      <c r="E56" s="36" t="s">
        <v>83</v>
      </c>
      <c r="F56" s="36" t="s">
        <v>123</v>
      </c>
      <c r="G56" s="36" t="s">
        <v>40</v>
      </c>
      <c r="H56" s="36" t="s">
        <v>40</v>
      </c>
      <c r="I56" s="36" t="s">
        <v>95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IF(ISBLANK(C56),"",VLOOKUP(C56,$B$110:$L$146,11,0))</f>
        <v>06H00-14H30</v>
      </c>
      <c r="D57" s="37" t="str">
        <f t="shared" si="27"/>
        <v/>
      </c>
      <c r="E57" s="37" t="str">
        <f t="shared" si="27"/>
        <v>09H00-17H30</v>
      </c>
      <c r="F57" s="37" t="str">
        <f t="shared" si="27"/>
        <v>14H30-23H00</v>
      </c>
      <c r="G57" s="37">
        <f t="shared" si="27"/>
        <v>0</v>
      </c>
      <c r="H57" s="37">
        <f t="shared" si="27"/>
        <v>0</v>
      </c>
      <c r="I57" s="37">
        <f t="shared" si="27"/>
        <v>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7-(COUNTIF(C58:I58,"")+COUNTIF(C58:I58,$B$144))</f>
        <v>5</v>
      </c>
      <c r="B58" s="178" t="s">
        <v>20</v>
      </c>
      <c r="C58" s="35" t="s">
        <v>90</v>
      </c>
      <c r="D58" s="36"/>
      <c r="E58" s="36" t="s">
        <v>85</v>
      </c>
      <c r="F58" s="36"/>
      <c r="G58" s="36" t="s">
        <v>93</v>
      </c>
      <c r="H58" s="36" t="s">
        <v>150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7" t="str">
        <f t="shared" ref="C59:I59" si="28">IF(ISBLANK(C58),"",VLOOKUP(C58,$B$110:$L$146,11,0))</f>
        <v>06H00-14H30</v>
      </c>
      <c r="D59" s="37" t="str">
        <f t="shared" si="28"/>
        <v/>
      </c>
      <c r="E59" s="37" t="str">
        <f t="shared" si="28"/>
        <v>14H30-23H00</v>
      </c>
      <c r="F59" s="37" t="str">
        <f t="shared" si="28"/>
        <v/>
      </c>
      <c r="G59" s="37" t="str">
        <f t="shared" si="28"/>
        <v>06H00-14H30</v>
      </c>
      <c r="H59" s="37" t="str">
        <f t="shared" si="28"/>
        <v>09H00-17H30</v>
      </c>
      <c r="I59" s="37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7-(COUNTIF(C60:I60,"")+COUNTIF(C60:I60,$B$144))</f>
        <v>5</v>
      </c>
      <c r="B60" s="193" t="s">
        <v>133</v>
      </c>
      <c r="C60" s="36" t="s">
        <v>91</v>
      </c>
      <c r="D60" s="36" t="s">
        <v>150</v>
      </c>
      <c r="E60" s="36" t="s">
        <v>139</v>
      </c>
      <c r="F60" s="36" t="s">
        <v>92</v>
      </c>
      <c r="G60" s="36" t="s">
        <v>85</v>
      </c>
      <c r="H60" s="36" t="s">
        <v>95</v>
      </c>
      <c r="I60" s="36" t="s">
        <v>95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IF(ISBLANK(C60),"",VLOOKUP(C60,$B$110:$L$146,11,0))</f>
        <v>06H00-14H30</v>
      </c>
      <c r="D61" s="37" t="str">
        <f t="shared" si="29"/>
        <v>09H00-17H30</v>
      </c>
      <c r="E61" s="37" t="str">
        <f t="shared" si="29"/>
        <v>14H00-22H30</v>
      </c>
      <c r="F61" s="37" t="str">
        <f t="shared" si="29"/>
        <v>10H00-18H30</v>
      </c>
      <c r="G61" s="37" t="str">
        <f t="shared" si="29"/>
        <v>14H30-23H00</v>
      </c>
      <c r="H61" s="37">
        <f t="shared" si="29"/>
        <v>0</v>
      </c>
      <c r="I61" s="37">
        <f t="shared" si="29"/>
        <v>0</v>
      </c>
      <c r="J61" s="181"/>
      <c r="K61" s="139"/>
    </row>
    <row r="62" spans="1:12" s="39" customFormat="1" ht="13" customHeight="1" thickTop="1" x14ac:dyDescent="0.2">
      <c r="A62" s="21">
        <f>7-(COUNTIF(C62:I62,"")+COUNTIF(C62:I62,$B$144))</f>
        <v>5</v>
      </c>
      <c r="B62" s="178" t="s">
        <v>21</v>
      </c>
      <c r="C62" s="36" t="s">
        <v>149</v>
      </c>
      <c r="D62" s="36"/>
      <c r="E62" s="36" t="s">
        <v>90</v>
      </c>
      <c r="F62" s="36"/>
      <c r="G62" s="36" t="s">
        <v>84</v>
      </c>
      <c r="H62" s="36" t="s">
        <v>139</v>
      </c>
      <c r="I62" s="36" t="s">
        <v>79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IF(ISBLANK(C62),"",VLOOKUP(C62,$B$110:$L$146,11,0))</f>
        <v>09H00-17H30</v>
      </c>
      <c r="D63" s="37" t="str">
        <f t="shared" si="30"/>
        <v/>
      </c>
      <c r="E63" s="37" t="str">
        <f t="shared" si="30"/>
        <v>06H00-14H30</v>
      </c>
      <c r="F63" s="37" t="str">
        <f t="shared" si="30"/>
        <v/>
      </c>
      <c r="G63" s="37" t="str">
        <f t="shared" si="30"/>
        <v>13H30-22H00</v>
      </c>
      <c r="H63" s="37" t="str">
        <f t="shared" si="30"/>
        <v>14H00-22H30</v>
      </c>
      <c r="I63" s="37" t="str">
        <f t="shared" si="30"/>
        <v>09H00-17H30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7-(COUNTIF(C64:I64,"")+COUNTIF(C64:I64,$B$144))</f>
        <v>5</v>
      </c>
      <c r="B64" s="193" t="s">
        <v>131</v>
      </c>
      <c r="C64" s="38" t="s">
        <v>93</v>
      </c>
      <c r="D64" s="36" t="s">
        <v>84</v>
      </c>
      <c r="E64" s="36"/>
      <c r="F64" s="36" t="s">
        <v>85</v>
      </c>
      <c r="G64" s="36" t="s">
        <v>150</v>
      </c>
      <c r="H64" s="36"/>
      <c r="I64" s="36" t="s">
        <v>80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IF(ISBLANK(C64),"",VLOOKUP(C64,$B$110:$L$146,11,0))</f>
        <v>06H00-14H30</v>
      </c>
      <c r="D65" s="37" t="str">
        <f t="shared" si="31"/>
        <v>13H30-22H00</v>
      </c>
      <c r="E65" s="37" t="str">
        <f t="shared" si="31"/>
        <v/>
      </c>
      <c r="F65" s="37" t="str">
        <f t="shared" si="31"/>
        <v>14H30-23H00</v>
      </c>
      <c r="G65" s="37" t="str">
        <f t="shared" si="31"/>
        <v>09H00-17H30</v>
      </c>
      <c r="H65" s="37" t="str">
        <f t="shared" si="31"/>
        <v/>
      </c>
      <c r="I65" s="37" t="str">
        <f t="shared" si="31"/>
        <v>06H00-14H30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7-(COUNTIF(C66:I66,"")+COUNTIF(C66:I66,$B$144))</f>
        <v>4</v>
      </c>
      <c r="B66" s="178" t="s">
        <v>124</v>
      </c>
      <c r="C66" s="38"/>
      <c r="D66" s="36" t="s">
        <v>122</v>
      </c>
      <c r="E66" s="36"/>
      <c r="F66" s="36"/>
      <c r="G66" s="36" t="s">
        <v>123</v>
      </c>
      <c r="H66" s="36" t="s">
        <v>84</v>
      </c>
      <c r="I66" s="36" t="s">
        <v>150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IF(ISBLANK(C66),"",VLOOKUP(C66,$B$110:$L$146,11,0))</f>
        <v/>
      </c>
      <c r="D67" s="37" t="str">
        <f t="shared" si="32"/>
        <v>06H00-14H30</v>
      </c>
      <c r="E67" s="37" t="str">
        <f t="shared" si="32"/>
        <v/>
      </c>
      <c r="F67" s="37" t="str">
        <f t="shared" si="32"/>
        <v/>
      </c>
      <c r="G67" s="37" t="str">
        <f t="shared" si="32"/>
        <v>14H30-23H00</v>
      </c>
      <c r="H67" s="37" t="str">
        <f t="shared" si="32"/>
        <v>13H30-22H00</v>
      </c>
      <c r="I67" s="37" t="str">
        <f t="shared" si="32"/>
        <v>09H00-17H30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7-(COUNTIF(C68:I68,"")+COUNTIF(C68:I68,$B$144))</f>
        <v>4</v>
      </c>
      <c r="B68" s="186" t="s">
        <v>146</v>
      </c>
      <c r="C68" s="36" t="s">
        <v>84</v>
      </c>
      <c r="D68" s="35"/>
      <c r="E68" s="36" t="s">
        <v>150</v>
      </c>
      <c r="F68" s="36" t="s">
        <v>82</v>
      </c>
      <c r="G68" s="36" t="s">
        <v>81</v>
      </c>
      <c r="H68" s="36" t="s">
        <v>95</v>
      </c>
      <c r="I68" s="36" t="s">
        <v>95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IF(ISBLANK(C68),"",VLOOKUP(C68,$B$110:$L$146,11,0))</f>
        <v>13H30-22H00</v>
      </c>
      <c r="D69" s="37" t="str">
        <f t="shared" si="33"/>
        <v/>
      </c>
      <c r="E69" s="37" t="str">
        <f t="shared" si="33"/>
        <v>09H00-17H30</v>
      </c>
      <c r="F69" s="37" t="str">
        <f t="shared" si="33"/>
        <v>06H00-14H30</v>
      </c>
      <c r="G69" s="37" t="str">
        <f t="shared" si="33"/>
        <v>14H30-23H00</v>
      </c>
      <c r="H69" s="37">
        <f t="shared" si="33"/>
        <v>0</v>
      </c>
      <c r="I69" s="37">
        <f t="shared" si="33"/>
        <v>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7-(COUNTIF(C70:I70,"")+COUNTIF(C70:I70,$B$144))</f>
        <v>5</v>
      </c>
      <c r="B70" s="178" t="s">
        <v>104</v>
      </c>
      <c r="C70" s="36"/>
      <c r="D70" s="36" t="s">
        <v>100</v>
      </c>
      <c r="E70" s="36" t="s">
        <v>82</v>
      </c>
      <c r="F70" s="36" t="s">
        <v>150</v>
      </c>
      <c r="G70" s="38"/>
      <c r="H70" s="36" t="s">
        <v>93</v>
      </c>
      <c r="I70" s="36" t="s">
        <v>81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IF(ISBLANK(C70),"",VLOOKUP(C70,$B$110:$L$146,11,0))</f>
        <v/>
      </c>
      <c r="D71" s="37" t="str">
        <f t="shared" si="34"/>
        <v>c.f. GDI</v>
      </c>
      <c r="E71" s="37" t="str">
        <f t="shared" si="34"/>
        <v>06H00-14H30</v>
      </c>
      <c r="F71" s="37" t="str">
        <f t="shared" si="34"/>
        <v>09H00-17H30</v>
      </c>
      <c r="G71" s="37" t="str">
        <f t="shared" si="34"/>
        <v/>
      </c>
      <c r="H71" s="37" t="str">
        <f t="shared" si="34"/>
        <v>06H00-14H30</v>
      </c>
      <c r="I71" s="37" t="str">
        <f t="shared" si="34"/>
        <v>14H30-23H00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7-(COUNTIF(C72:I72,"")+COUNTIF(C72:I72,$B$144))</f>
        <v>5</v>
      </c>
      <c r="B72" s="178" t="s">
        <v>22</v>
      </c>
      <c r="C72" s="36" t="s">
        <v>99</v>
      </c>
      <c r="D72" s="36" t="s">
        <v>99</v>
      </c>
      <c r="E72" s="36" t="s">
        <v>99</v>
      </c>
      <c r="F72" s="36" t="s">
        <v>99</v>
      </c>
      <c r="G72" s="36" t="s">
        <v>99</v>
      </c>
      <c r="H72" s="36" t="s">
        <v>95</v>
      </c>
      <c r="I72" s="36" t="s">
        <v>95</v>
      </c>
      <c r="J72" s="180" t="s">
        <v>67</v>
      </c>
      <c r="K72" s="139">
        <v>3</v>
      </c>
      <c r="L72" s="40"/>
    </row>
    <row r="73" spans="1:12" s="39" customFormat="1" ht="13" customHeight="1" thickBot="1" x14ac:dyDescent="0.25">
      <c r="B73" s="179"/>
      <c r="C73" s="37">
        <f t="shared" ref="C73:I73" si="35">IF(ISBLANK(C72),"",VLOOKUP(C72,$B$110:$L$146,11,0))</f>
        <v>0</v>
      </c>
      <c r="D73" s="37">
        <f t="shared" si="35"/>
        <v>0</v>
      </c>
      <c r="E73" s="37">
        <f t="shared" si="35"/>
        <v>0</v>
      </c>
      <c r="F73" s="37">
        <f t="shared" si="35"/>
        <v>0</v>
      </c>
      <c r="G73" s="37">
        <f t="shared" si="35"/>
        <v>0</v>
      </c>
      <c r="H73" s="37">
        <f t="shared" si="35"/>
        <v>0</v>
      </c>
      <c r="I73" s="37">
        <f t="shared" si="35"/>
        <v>0</v>
      </c>
      <c r="J73" s="181" t="s">
        <v>68</v>
      </c>
      <c r="K73" s="139"/>
      <c r="L73" s="40"/>
    </row>
    <row r="74" spans="1:12" s="39" customFormat="1" ht="13" customHeight="1" thickTop="1" x14ac:dyDescent="0.2">
      <c r="A74" s="21">
        <f>7-(COUNTIF(C74:I74,"")+COUNTIF(C74:I74,$B$144))</f>
        <v>5</v>
      </c>
      <c r="B74" s="201" t="s">
        <v>23</v>
      </c>
      <c r="C74" s="36" t="s">
        <v>150</v>
      </c>
      <c r="D74" s="36" t="s">
        <v>84</v>
      </c>
      <c r="E74" s="36" t="s">
        <v>40</v>
      </c>
      <c r="F74" s="36" t="s">
        <v>40</v>
      </c>
      <c r="G74" s="36" t="s">
        <v>40</v>
      </c>
      <c r="H74" s="36" t="s">
        <v>95</v>
      </c>
      <c r="I74" s="36" t="s">
        <v>95</v>
      </c>
      <c r="J74" s="180" t="s">
        <v>68</v>
      </c>
      <c r="K74" s="139">
        <v>5</v>
      </c>
      <c r="L74" s="40"/>
    </row>
    <row r="75" spans="1:12" s="39" customFormat="1" ht="13" customHeight="1" thickBot="1" x14ac:dyDescent="0.25">
      <c r="B75" s="196"/>
      <c r="C75" s="37" t="str">
        <f t="shared" ref="C75:I75" si="36">IF(ISBLANK(C74),"",VLOOKUP(C74,$B$110:$L$146,11,0))</f>
        <v>09H00-17H30</v>
      </c>
      <c r="D75" s="37" t="str">
        <f t="shared" si="36"/>
        <v>13H30-22H00</v>
      </c>
      <c r="E75" s="37">
        <f t="shared" si="36"/>
        <v>0</v>
      </c>
      <c r="F75" s="37">
        <f t="shared" si="36"/>
        <v>0</v>
      </c>
      <c r="G75" s="37">
        <f t="shared" si="36"/>
        <v>0</v>
      </c>
      <c r="H75" s="37">
        <f t="shared" si="36"/>
        <v>0</v>
      </c>
      <c r="I75" s="37">
        <f t="shared" si="36"/>
        <v>0</v>
      </c>
      <c r="J75" s="181" t="s">
        <v>69</v>
      </c>
      <c r="K75" s="139"/>
      <c r="L75" s="40"/>
    </row>
    <row r="76" spans="1:12" s="39" customFormat="1" ht="13" customHeight="1" thickTop="1" x14ac:dyDescent="0.2">
      <c r="A76" s="21">
        <f>7-(COUNTIF(C76:I76,"")+COUNTIF(C76:I76,$B$144))</f>
        <v>4</v>
      </c>
      <c r="B76" s="193" t="s">
        <v>120</v>
      </c>
      <c r="C76" s="36"/>
      <c r="D76" s="36" t="s">
        <v>85</v>
      </c>
      <c r="E76" s="36"/>
      <c r="F76" s="36"/>
      <c r="G76" s="36" t="s">
        <v>92</v>
      </c>
      <c r="H76" s="36" t="s">
        <v>82</v>
      </c>
      <c r="I76" s="36" t="s">
        <v>122</v>
      </c>
      <c r="J76" s="180" t="s">
        <v>121</v>
      </c>
      <c r="K76" s="139">
        <v>4</v>
      </c>
      <c r="L76" s="40"/>
    </row>
    <row r="77" spans="1:12" s="39" customFormat="1" ht="13" customHeight="1" thickBot="1" x14ac:dyDescent="0.25">
      <c r="B77" s="194"/>
      <c r="C77" s="37" t="str">
        <f t="shared" ref="C77:I77" si="37">IF(ISBLANK(C76),"",VLOOKUP(C76,$B$110:$L$146,11,0))</f>
        <v/>
      </c>
      <c r="D77" s="37" t="str">
        <f t="shared" si="37"/>
        <v>14H30-23H00</v>
      </c>
      <c r="E77" s="37" t="str">
        <f t="shared" si="37"/>
        <v/>
      </c>
      <c r="F77" s="37" t="str">
        <f t="shared" si="37"/>
        <v/>
      </c>
      <c r="G77" s="37" t="str">
        <f t="shared" si="37"/>
        <v>10H00-18H30</v>
      </c>
      <c r="H77" s="37" t="str">
        <f t="shared" si="37"/>
        <v>06H00-14H30</v>
      </c>
      <c r="I77" s="37" t="str">
        <f t="shared" si="37"/>
        <v>06H00-14H30</v>
      </c>
      <c r="J77" s="181" t="s">
        <v>63</v>
      </c>
      <c r="K77" s="139"/>
      <c r="L77" s="40"/>
    </row>
    <row r="78" spans="1:12" s="39" customFormat="1" ht="13" customHeight="1" thickTop="1" x14ac:dyDescent="0.2">
      <c r="A78" s="21">
        <f>7-(COUNTIF(C78:I78,"")+COUNTIF(C78:I78,$B$144))</f>
        <v>5</v>
      </c>
      <c r="B78" s="178" t="s">
        <v>113</v>
      </c>
      <c r="C78" s="36" t="s">
        <v>137</v>
      </c>
      <c r="D78" s="36" t="s">
        <v>90</v>
      </c>
      <c r="E78" s="36"/>
      <c r="F78" s="36" t="s">
        <v>82</v>
      </c>
      <c r="G78" s="36" t="s">
        <v>82</v>
      </c>
      <c r="H78" s="36" t="s">
        <v>123</v>
      </c>
      <c r="I78" s="36" t="s">
        <v>95</v>
      </c>
      <c r="J78" s="180" t="s">
        <v>45</v>
      </c>
      <c r="K78" s="139">
        <v>5</v>
      </c>
      <c r="L78" s="40"/>
    </row>
    <row r="79" spans="1:12" s="39" customFormat="1" ht="13" customHeight="1" thickBot="1" x14ac:dyDescent="0.25">
      <c r="B79" s="202"/>
      <c r="C79" s="37" t="str">
        <f t="shared" ref="C79:I79" si="38">IF(ISBLANK(C78),"",VLOOKUP(C78,$B$110:$L$146,11,0))</f>
        <v>06H00-14H30</v>
      </c>
      <c r="D79" s="37" t="str">
        <f t="shared" si="38"/>
        <v>06H00-14H30</v>
      </c>
      <c r="E79" s="37" t="str">
        <f t="shared" si="38"/>
        <v/>
      </c>
      <c r="F79" s="37" t="str">
        <f t="shared" si="38"/>
        <v>06H00-14H30</v>
      </c>
      <c r="G79" s="37" t="str">
        <f t="shared" si="38"/>
        <v>06H00-14H30</v>
      </c>
      <c r="H79" s="37" t="str">
        <f t="shared" si="38"/>
        <v>14H30-23H00</v>
      </c>
      <c r="I79" s="37">
        <f t="shared" si="38"/>
        <v>0</v>
      </c>
      <c r="J79" s="181" t="s">
        <v>44</v>
      </c>
      <c r="K79" s="139"/>
      <c r="L79" s="40"/>
    </row>
    <row r="80" spans="1:12" s="39" customFormat="1" ht="13" customHeight="1" thickTop="1" x14ac:dyDescent="0.2">
      <c r="A80" s="21">
        <f>7-(COUNTIF(C80:I80,"")+COUNTIF(C80:I80,$B$144))</f>
        <v>5</v>
      </c>
      <c r="B80" s="204" t="s">
        <v>24</v>
      </c>
      <c r="C80" s="36" t="s">
        <v>99</v>
      </c>
      <c r="D80" s="36" t="s">
        <v>99</v>
      </c>
      <c r="E80" s="36" t="s">
        <v>99</v>
      </c>
      <c r="F80" s="36" t="s">
        <v>99</v>
      </c>
      <c r="G80" s="36" t="s">
        <v>99</v>
      </c>
      <c r="H80" s="36" t="s">
        <v>95</v>
      </c>
      <c r="I80" s="36" t="s">
        <v>95</v>
      </c>
      <c r="J80" s="180" t="s">
        <v>69</v>
      </c>
      <c r="K80" s="139">
        <v>3</v>
      </c>
      <c r="L80" s="40"/>
    </row>
    <row r="81" spans="1:12" s="39" customFormat="1" ht="13" customHeight="1" thickBot="1" x14ac:dyDescent="0.25">
      <c r="B81" s="205"/>
      <c r="C81" s="37">
        <f t="shared" ref="C81:I81" si="39">IF(ISBLANK(C80),"",VLOOKUP(C80,$B$110:$L$146,11,0))</f>
        <v>0</v>
      </c>
      <c r="D81" s="37">
        <f t="shared" si="39"/>
        <v>0</v>
      </c>
      <c r="E81" s="37">
        <f t="shared" si="39"/>
        <v>0</v>
      </c>
      <c r="F81" s="37">
        <f t="shared" si="39"/>
        <v>0</v>
      </c>
      <c r="G81" s="37">
        <f t="shared" si="39"/>
        <v>0</v>
      </c>
      <c r="H81" s="37">
        <f t="shared" si="39"/>
        <v>0</v>
      </c>
      <c r="I81" s="37">
        <f t="shared" si="39"/>
        <v>0</v>
      </c>
      <c r="J81" s="181" t="s">
        <v>70</v>
      </c>
      <c r="K81" s="139"/>
      <c r="L81" s="40"/>
    </row>
    <row r="82" spans="1:12" s="39" customFormat="1" ht="13" customHeight="1" thickTop="1" x14ac:dyDescent="0.2">
      <c r="A82" s="21">
        <f>7-(COUNTIF(C82:I82,"")+COUNTIF(C82:I82,$B$144))</f>
        <v>5</v>
      </c>
      <c r="B82" s="207" t="s">
        <v>25</v>
      </c>
      <c r="C82" s="36"/>
      <c r="D82" s="36" t="s">
        <v>154</v>
      </c>
      <c r="E82" s="36" t="s">
        <v>79</v>
      </c>
      <c r="F82" s="36" t="s">
        <v>91</v>
      </c>
      <c r="G82" s="36" t="s">
        <v>80</v>
      </c>
      <c r="H82" s="36"/>
      <c r="I82" s="36" t="s">
        <v>85</v>
      </c>
      <c r="J82" s="180" t="s">
        <v>70</v>
      </c>
      <c r="K82" s="139">
        <v>5</v>
      </c>
      <c r="L82" s="40"/>
    </row>
    <row r="83" spans="1:12" s="39" customFormat="1" ht="13" customHeight="1" thickBot="1" x14ac:dyDescent="0.25">
      <c r="B83" s="208"/>
      <c r="C83" s="38" t="str">
        <f t="shared" ref="C83:I83" si="40">IF(ISBLANK(C82),"",VLOOKUP(C82,$B$110:$L$146,11,0))</f>
        <v/>
      </c>
      <c r="D83" s="38" t="str">
        <f t="shared" si="40"/>
        <v>13H00-21H30</v>
      </c>
      <c r="E83" s="38" t="str">
        <f t="shared" si="40"/>
        <v>09H00-17H30</v>
      </c>
      <c r="F83" s="38" t="str">
        <f t="shared" si="40"/>
        <v>06H00-14H30</v>
      </c>
      <c r="G83" s="38" t="str">
        <f t="shared" si="40"/>
        <v>06H00-14H30</v>
      </c>
      <c r="H83" s="38" t="str">
        <f t="shared" si="40"/>
        <v/>
      </c>
      <c r="I83" s="38" t="str">
        <f t="shared" si="40"/>
        <v>14H30-23H00</v>
      </c>
      <c r="J83" s="188" t="s">
        <v>71</v>
      </c>
      <c r="K83" s="139"/>
      <c r="L83" s="40"/>
    </row>
    <row r="84" spans="1:12" s="39" customFormat="1" ht="13" customHeight="1" thickTop="1" x14ac:dyDescent="0.2">
      <c r="A84" s="21">
        <f>7-(COUNTIF(C84:I84,"")+COUNTIF(C84:I84,$B$144))</f>
        <v>5</v>
      </c>
      <c r="B84" s="178" t="s">
        <v>105</v>
      </c>
      <c r="C84" s="36"/>
      <c r="D84" s="36" t="s">
        <v>80</v>
      </c>
      <c r="E84" s="36" t="s">
        <v>152</v>
      </c>
      <c r="F84" s="36" t="s">
        <v>79</v>
      </c>
      <c r="G84" s="36" t="s">
        <v>31</v>
      </c>
      <c r="H84" s="36" t="s">
        <v>154</v>
      </c>
      <c r="I84" s="36"/>
      <c r="J84" s="180" t="s">
        <v>71</v>
      </c>
      <c r="K84" s="139">
        <v>5</v>
      </c>
      <c r="L84" s="40"/>
    </row>
    <row r="85" spans="1:12" s="39" customFormat="1" ht="13" customHeight="1" thickBot="1" x14ac:dyDescent="0.25">
      <c r="B85" s="179"/>
      <c r="C85" s="37" t="str">
        <f t="shared" ref="C85:I85" si="41">IF(ISBLANK(C84),"",VLOOKUP(C84,$B$110:$L$146,11,0))</f>
        <v/>
      </c>
      <c r="D85" s="37" t="str">
        <f t="shared" si="41"/>
        <v>06H00-14H30</v>
      </c>
      <c r="E85" s="37" t="str">
        <f t="shared" si="41"/>
        <v>08H30-17H00</v>
      </c>
      <c r="F85" s="37" t="str">
        <f t="shared" si="41"/>
        <v>09H00-17H30</v>
      </c>
      <c r="G85" s="37" t="str">
        <f t="shared" si="41"/>
        <v>06H00-14H30</v>
      </c>
      <c r="H85" s="37" t="str">
        <f t="shared" si="41"/>
        <v>13H00-21H30</v>
      </c>
      <c r="I85" s="37" t="str">
        <f t="shared" si="41"/>
        <v/>
      </c>
      <c r="J85" s="181" t="s">
        <v>72</v>
      </c>
      <c r="K85" s="139"/>
      <c r="L85" s="40"/>
    </row>
    <row r="86" spans="1:12" s="39" customFormat="1" ht="13" customHeight="1" thickTop="1" x14ac:dyDescent="0.2">
      <c r="A86" s="21">
        <f>7-(COUNTIF(C86:I86,"")+COUNTIF(C86:I86,$B$144))</f>
        <v>5</v>
      </c>
      <c r="B86" s="178" t="s">
        <v>143</v>
      </c>
      <c r="C86" s="36" t="s">
        <v>85</v>
      </c>
      <c r="D86" s="36" t="s">
        <v>92</v>
      </c>
      <c r="E86" s="36"/>
      <c r="F86" s="36" t="s">
        <v>93</v>
      </c>
      <c r="G86" s="36" t="s">
        <v>122</v>
      </c>
      <c r="H86" s="36"/>
      <c r="I86" s="36" t="s">
        <v>137</v>
      </c>
      <c r="J86" s="180" t="s">
        <v>142</v>
      </c>
      <c r="K86" s="139">
        <v>4</v>
      </c>
      <c r="L86" s="40"/>
    </row>
    <row r="87" spans="1:12" ht="13" customHeight="1" thickBot="1" x14ac:dyDescent="0.25">
      <c r="A87" s="41"/>
      <c r="B87" s="179"/>
      <c r="C87" s="37" t="str">
        <f t="shared" ref="C87:I87" si="42">IF(ISBLANK(C86),"",VLOOKUP(C86,$B$110:$L$146,11,0))</f>
        <v>14H30-23H00</v>
      </c>
      <c r="D87" s="37" t="str">
        <f t="shared" si="42"/>
        <v>10H00-18H30</v>
      </c>
      <c r="E87" s="37" t="str">
        <f t="shared" si="42"/>
        <v/>
      </c>
      <c r="F87" s="37" t="str">
        <f t="shared" si="42"/>
        <v>06H00-14H30</v>
      </c>
      <c r="G87" s="37" t="str">
        <f t="shared" si="42"/>
        <v>06H00-14H30</v>
      </c>
      <c r="H87" s="37" t="str">
        <f t="shared" si="42"/>
        <v/>
      </c>
      <c r="I87" s="37" t="str">
        <f t="shared" si="42"/>
        <v>06H00-14H30</v>
      </c>
      <c r="J87" s="181" t="s">
        <v>57</v>
      </c>
      <c r="K87" s="139"/>
    </row>
    <row r="88" spans="1:12" s="39" customFormat="1" ht="13" customHeight="1" thickTop="1" x14ac:dyDescent="0.2">
      <c r="A88" s="21">
        <f>7-(COUNTIF(C88:I88,"")+COUNTIF(C88:I88,$B$144))</f>
        <v>5</v>
      </c>
      <c r="B88" s="201" t="s">
        <v>26</v>
      </c>
      <c r="C88" s="38" t="s">
        <v>152</v>
      </c>
      <c r="D88" s="36" t="s">
        <v>110</v>
      </c>
      <c r="E88" s="36" t="s">
        <v>138</v>
      </c>
      <c r="F88" s="36"/>
      <c r="G88" s="36" t="s">
        <v>79</v>
      </c>
      <c r="H88" s="36" t="s">
        <v>138</v>
      </c>
      <c r="I88" s="36"/>
      <c r="J88" s="180" t="s">
        <v>72</v>
      </c>
      <c r="K88" s="139">
        <v>5</v>
      </c>
      <c r="L88" s="40"/>
    </row>
    <row r="89" spans="1:12" s="39" customFormat="1" ht="13" customHeight="1" thickBot="1" x14ac:dyDescent="0.25">
      <c r="B89" s="196"/>
      <c r="C89" s="37" t="str">
        <f t="shared" ref="C89:I89" si="43">IF(ISBLANK(C88),"",VLOOKUP(C88,$B$110:$L$146,11,0))</f>
        <v>08H30-17H00</v>
      </c>
      <c r="D89" s="37" t="str">
        <f t="shared" si="43"/>
        <v>21H45-06H15</v>
      </c>
      <c r="E89" s="37" t="str">
        <f t="shared" si="43"/>
        <v>22H00-06H30</v>
      </c>
      <c r="F89" s="37" t="str">
        <f t="shared" si="43"/>
        <v/>
      </c>
      <c r="G89" s="37" t="str">
        <f t="shared" si="43"/>
        <v>09H00-17H30</v>
      </c>
      <c r="H89" s="37" t="str">
        <f t="shared" si="43"/>
        <v>22H00-06H30</v>
      </c>
      <c r="I89" s="37" t="str">
        <f t="shared" si="43"/>
        <v/>
      </c>
      <c r="J89" s="181" t="s">
        <v>73</v>
      </c>
      <c r="K89" s="139"/>
      <c r="L89" s="40"/>
    </row>
    <row r="90" spans="1:12" s="39" customFormat="1" ht="13" customHeight="1" thickTop="1" x14ac:dyDescent="0.2">
      <c r="A90" s="21">
        <f>7-(COUNTIF(C90:I90,"")+COUNTIF(C90:I90,$B$144))</f>
        <v>5</v>
      </c>
      <c r="B90" s="201" t="s">
        <v>27</v>
      </c>
      <c r="C90" s="36" t="s">
        <v>83</v>
      </c>
      <c r="D90" s="36" t="s">
        <v>82</v>
      </c>
      <c r="E90" s="36" t="s">
        <v>31</v>
      </c>
      <c r="F90" s="36"/>
      <c r="G90" s="36" t="s">
        <v>137</v>
      </c>
      <c r="H90" s="35" t="s">
        <v>81</v>
      </c>
      <c r="I90" s="35" t="s">
        <v>95</v>
      </c>
      <c r="J90" s="180" t="s">
        <v>74</v>
      </c>
      <c r="K90" s="139">
        <v>5</v>
      </c>
      <c r="L90" s="40"/>
    </row>
    <row r="91" spans="1:12" s="39" customFormat="1" ht="13" customHeight="1" thickBot="1" x14ac:dyDescent="0.25">
      <c r="B91" s="196"/>
      <c r="C91" s="37" t="str">
        <f t="shared" ref="C91:I91" si="44">IF(ISBLANK(C90),"",VLOOKUP(C90,$B$110:$L$146,11,0))</f>
        <v>09H00-17H30</v>
      </c>
      <c r="D91" s="37" t="str">
        <f t="shared" si="44"/>
        <v>06H00-14H30</v>
      </c>
      <c r="E91" s="37" t="str">
        <f t="shared" si="44"/>
        <v>06H00-14H30</v>
      </c>
      <c r="F91" s="37" t="str">
        <f t="shared" si="44"/>
        <v/>
      </c>
      <c r="G91" s="37" t="str">
        <f t="shared" si="44"/>
        <v>06H00-14H30</v>
      </c>
      <c r="H91" s="37" t="str">
        <f t="shared" si="44"/>
        <v>14H30-23H00</v>
      </c>
      <c r="I91" s="37">
        <f t="shared" si="44"/>
        <v>0</v>
      </c>
      <c r="J91" s="181" t="s">
        <v>75</v>
      </c>
      <c r="K91" s="139"/>
      <c r="L91" s="40"/>
    </row>
    <row r="92" spans="1:12" s="39" customFormat="1" ht="13" customHeight="1" thickTop="1" x14ac:dyDescent="0.2">
      <c r="A92" s="21">
        <f>7-(COUNTIF(C92:I92,"")+COUNTIF(C92:I92,$B$144))</f>
        <v>5</v>
      </c>
      <c r="B92" s="193" t="s">
        <v>115</v>
      </c>
      <c r="C92" s="38" t="s">
        <v>82</v>
      </c>
      <c r="D92" s="36"/>
      <c r="E92" s="36" t="s">
        <v>137</v>
      </c>
      <c r="F92" s="38" t="s">
        <v>139</v>
      </c>
      <c r="G92" s="36"/>
      <c r="H92" s="36" t="s">
        <v>84</v>
      </c>
      <c r="I92" s="38" t="s">
        <v>92</v>
      </c>
      <c r="J92" s="188" t="s">
        <v>63</v>
      </c>
      <c r="K92" s="139">
        <v>5</v>
      </c>
      <c r="L92" s="40"/>
    </row>
    <row r="93" spans="1:12" s="39" customFormat="1" ht="13" customHeight="1" thickBot="1" x14ac:dyDescent="0.25">
      <c r="B93" s="206"/>
      <c r="C93" s="43" t="str">
        <f t="shared" ref="C93:I93" si="45">IF(ISBLANK(C92),"",VLOOKUP(C92,$B$110:$L$146,11,0))</f>
        <v>06H00-14H30</v>
      </c>
      <c r="D93" s="43" t="str">
        <f t="shared" si="45"/>
        <v/>
      </c>
      <c r="E93" s="43" t="str">
        <f t="shared" si="45"/>
        <v>06H00-14H30</v>
      </c>
      <c r="F93" s="43" t="str">
        <f t="shared" si="45"/>
        <v>14H00-22H30</v>
      </c>
      <c r="G93" s="43" t="str">
        <f t="shared" si="45"/>
        <v/>
      </c>
      <c r="H93" s="43" t="str">
        <f t="shared" si="45"/>
        <v>13H30-22H00</v>
      </c>
      <c r="I93" s="43" t="str">
        <f t="shared" si="45"/>
        <v>10H00-18H30</v>
      </c>
      <c r="J93" s="203"/>
      <c r="K93" s="139"/>
      <c r="L93" s="40"/>
    </row>
    <row r="94" spans="1:12" s="39" customFormat="1" ht="13" customHeight="1" thickTop="1" x14ac:dyDescent="0.2">
      <c r="A94" s="21">
        <f>7-(COUNTIF(C94:I94,"")+COUNTIF(C94:I94,$B$144))</f>
        <v>4</v>
      </c>
      <c r="B94" s="178" t="s">
        <v>148</v>
      </c>
      <c r="C94" s="36"/>
      <c r="D94" s="36" t="s">
        <v>139</v>
      </c>
      <c r="E94" s="36" t="s">
        <v>84</v>
      </c>
      <c r="F94" s="36" t="s">
        <v>84</v>
      </c>
      <c r="G94" s="36"/>
      <c r="H94" s="36"/>
      <c r="I94" s="36" t="s">
        <v>91</v>
      </c>
      <c r="J94" s="180" t="s">
        <v>144</v>
      </c>
      <c r="K94" s="139">
        <v>4</v>
      </c>
      <c r="L94" s="40"/>
    </row>
    <row r="95" spans="1:12" ht="13" customHeight="1" thickBot="1" x14ac:dyDescent="0.25">
      <c r="A95" s="41"/>
      <c r="B95" s="179"/>
      <c r="C95" s="37" t="str">
        <f t="shared" ref="C95:I95" si="46">IF(ISBLANK(C94),"",VLOOKUP(C94,$B$110:$L$146,11,0))</f>
        <v/>
      </c>
      <c r="D95" s="37" t="str">
        <f t="shared" si="46"/>
        <v>14H00-22H30</v>
      </c>
      <c r="E95" s="37" t="str">
        <f t="shared" si="46"/>
        <v>13H30-22H00</v>
      </c>
      <c r="F95" s="37" t="str">
        <f t="shared" si="46"/>
        <v>13H30-22H00</v>
      </c>
      <c r="G95" s="37" t="str">
        <f t="shared" si="46"/>
        <v/>
      </c>
      <c r="H95" s="37" t="str">
        <f t="shared" si="46"/>
        <v/>
      </c>
      <c r="I95" s="37" t="str">
        <f t="shared" si="46"/>
        <v>06H00-14H30</v>
      </c>
      <c r="J95" s="181" t="s">
        <v>57</v>
      </c>
      <c r="K95" s="139"/>
    </row>
    <row r="96" spans="1:12" s="39" customFormat="1" ht="13" customHeight="1" thickTop="1" x14ac:dyDescent="0.2">
      <c r="A96" s="21">
        <f>7-(COUNTIF(C96:I96,"")+COUNTIF(C96:I96,$B$144))</f>
        <v>4</v>
      </c>
      <c r="B96" s="178" t="s">
        <v>147</v>
      </c>
      <c r="C96" s="36"/>
      <c r="D96" s="36"/>
      <c r="E96" s="36" t="s">
        <v>123</v>
      </c>
      <c r="F96" s="36" t="s">
        <v>84</v>
      </c>
      <c r="G96" s="36"/>
      <c r="H96" s="36" t="s">
        <v>137</v>
      </c>
      <c r="I96" s="36" t="s">
        <v>93</v>
      </c>
      <c r="J96" s="180" t="s">
        <v>145</v>
      </c>
      <c r="K96" s="139">
        <v>4</v>
      </c>
      <c r="L96" s="40"/>
    </row>
    <row r="97" spans="1:12" ht="13" customHeight="1" thickBot="1" x14ac:dyDescent="0.25">
      <c r="A97" s="41"/>
      <c r="B97" s="179"/>
      <c r="C97" s="37" t="str">
        <f t="shared" ref="C97:I97" si="47">IF(ISBLANK(C96),"",VLOOKUP(C96,$B$110:$L$146,11,0))</f>
        <v/>
      </c>
      <c r="D97" s="37" t="str">
        <f t="shared" si="47"/>
        <v/>
      </c>
      <c r="E97" s="37" t="str">
        <f t="shared" si="47"/>
        <v>14H30-23H00</v>
      </c>
      <c r="F97" s="37" t="str">
        <f t="shared" si="47"/>
        <v>13H30-22H00</v>
      </c>
      <c r="G97" s="37" t="str">
        <f t="shared" si="47"/>
        <v/>
      </c>
      <c r="H97" s="37" t="str">
        <f t="shared" si="47"/>
        <v>06H00-14H30</v>
      </c>
      <c r="I97" s="37" t="str">
        <f t="shared" si="47"/>
        <v>06H00-14H30</v>
      </c>
      <c r="J97" s="181" t="s">
        <v>57</v>
      </c>
      <c r="K97" s="139"/>
    </row>
    <row r="98" spans="1:12" s="39" customFormat="1" ht="13" customHeight="1" thickTop="1" x14ac:dyDescent="0.2">
      <c r="A98" s="21">
        <f>7-(COUNTIF(C98:I98,"")+COUNTIF(C98:I98,$B$144))</f>
        <v>5</v>
      </c>
      <c r="B98" s="201" t="s">
        <v>106</v>
      </c>
      <c r="C98" s="36" t="s">
        <v>79</v>
      </c>
      <c r="D98" s="36" t="s">
        <v>79</v>
      </c>
      <c r="E98" s="36"/>
      <c r="F98" s="36" t="s">
        <v>154</v>
      </c>
      <c r="G98" s="36"/>
      <c r="H98" s="36" t="s">
        <v>82</v>
      </c>
      <c r="I98" s="36" t="s">
        <v>151</v>
      </c>
      <c r="J98" s="180" t="s">
        <v>75</v>
      </c>
      <c r="K98" s="139">
        <v>5</v>
      </c>
      <c r="L98" s="40"/>
    </row>
    <row r="99" spans="1:12" s="39" customFormat="1" ht="13" customHeight="1" thickBot="1" x14ac:dyDescent="0.25">
      <c r="B99" s="196"/>
      <c r="C99" s="37" t="str">
        <f t="shared" ref="C99:I99" si="48">IF(ISBLANK(C98),"",VLOOKUP(C98,$B$110:$L$146,11,0))</f>
        <v>09H00-17H30</v>
      </c>
      <c r="D99" s="37" t="str">
        <f t="shared" si="48"/>
        <v>09H00-17H30</v>
      </c>
      <c r="E99" s="37" t="str">
        <f t="shared" si="48"/>
        <v/>
      </c>
      <c r="F99" s="37" t="str">
        <f t="shared" si="48"/>
        <v>13H00-21H30</v>
      </c>
      <c r="G99" s="37" t="str">
        <f t="shared" si="48"/>
        <v/>
      </c>
      <c r="H99" s="37" t="str">
        <f t="shared" si="48"/>
        <v>06H00-14H30</v>
      </c>
      <c r="I99" s="37" t="str">
        <f t="shared" si="48"/>
        <v>08H30-17H00</v>
      </c>
      <c r="J99" s="181" t="s">
        <v>76</v>
      </c>
      <c r="K99" s="139"/>
      <c r="L99" s="40"/>
    </row>
    <row r="100" spans="1:12" s="39" customFormat="1" ht="13" customHeight="1" thickTop="1" x14ac:dyDescent="0.2">
      <c r="A100" s="21">
        <f>7-(COUNTIF(C100:I100,"")+COUNTIF(C100:I100,$B$144))</f>
        <v>5</v>
      </c>
      <c r="B100" s="178" t="s">
        <v>28</v>
      </c>
      <c r="C100" s="38" t="s">
        <v>81</v>
      </c>
      <c r="D100" s="38"/>
      <c r="E100" s="38" t="s">
        <v>122</v>
      </c>
      <c r="F100" s="38"/>
      <c r="G100" s="36" t="s">
        <v>84</v>
      </c>
      <c r="H100" s="38" t="s">
        <v>92</v>
      </c>
      <c r="I100" s="38" t="s">
        <v>31</v>
      </c>
      <c r="J100" s="180" t="s">
        <v>76</v>
      </c>
      <c r="K100" s="139">
        <v>5</v>
      </c>
      <c r="L100" s="40"/>
    </row>
    <row r="101" spans="1:12" s="39" customFormat="1" ht="13" customHeight="1" thickBot="1" x14ac:dyDescent="0.25">
      <c r="B101" s="179"/>
      <c r="C101" s="37" t="str">
        <f t="shared" ref="C101:I101" si="49">IF(ISBLANK(C100),"",VLOOKUP(C100,$B$110:$L$146,11,0))</f>
        <v>14H30-23H00</v>
      </c>
      <c r="D101" s="37" t="str">
        <f t="shared" si="49"/>
        <v/>
      </c>
      <c r="E101" s="37" t="str">
        <f t="shared" si="49"/>
        <v>06H00-14H30</v>
      </c>
      <c r="F101" s="37" t="str">
        <f t="shared" si="49"/>
        <v/>
      </c>
      <c r="G101" s="37" t="str">
        <f t="shared" si="49"/>
        <v>13H30-22H00</v>
      </c>
      <c r="H101" s="37" t="str">
        <f t="shared" si="49"/>
        <v>10H00-18H30</v>
      </c>
      <c r="I101" s="37" t="str">
        <f t="shared" si="49"/>
        <v>06H00-14H30</v>
      </c>
      <c r="J101" s="181" t="s">
        <v>77</v>
      </c>
      <c r="K101" s="139"/>
      <c r="L101" s="40"/>
    </row>
    <row r="102" spans="1:12" s="39" customFormat="1" ht="13" customHeight="1" thickTop="1" x14ac:dyDescent="0.2">
      <c r="A102" s="21"/>
      <c r="B102" s="178" t="s">
        <v>136</v>
      </c>
      <c r="C102" s="36"/>
      <c r="D102" s="35" t="s">
        <v>95</v>
      </c>
      <c r="E102" s="36"/>
      <c r="F102" s="35" t="s">
        <v>95</v>
      </c>
      <c r="G102" s="35" t="s">
        <v>95</v>
      </c>
      <c r="H102" s="35" t="s">
        <v>95</v>
      </c>
      <c r="I102" s="35" t="s">
        <v>95</v>
      </c>
      <c r="J102" s="180"/>
      <c r="K102" s="139">
        <v>2</v>
      </c>
      <c r="L102" s="40"/>
    </row>
    <row r="103" spans="1:12" ht="13" customHeight="1" thickBot="1" x14ac:dyDescent="0.25">
      <c r="A103" s="41"/>
      <c r="B103" s="179"/>
      <c r="C103" s="37" t="str">
        <f t="shared" ref="C103:I103" si="50">IF(ISBLANK(C102),"",VLOOKUP(C102,$B$110:$L$146,11,0))</f>
        <v/>
      </c>
      <c r="D103" s="37">
        <f t="shared" si="50"/>
        <v>0</v>
      </c>
      <c r="E103" s="37" t="str">
        <f t="shared" si="50"/>
        <v/>
      </c>
      <c r="F103" s="37">
        <f t="shared" si="50"/>
        <v>0</v>
      </c>
      <c r="G103" s="37">
        <f t="shared" si="50"/>
        <v>0</v>
      </c>
      <c r="H103" s="37">
        <f t="shared" si="50"/>
        <v>0</v>
      </c>
      <c r="I103" s="37">
        <f t="shared" si="50"/>
        <v>0</v>
      </c>
      <c r="J103" s="181" t="s">
        <v>57</v>
      </c>
      <c r="K103" s="139"/>
    </row>
    <row r="104" spans="1:12" s="39" customFormat="1" ht="13" customHeight="1" thickTop="1" x14ac:dyDescent="0.2">
      <c r="A104" s="21"/>
      <c r="B104" s="178" t="s">
        <v>135</v>
      </c>
      <c r="C104" s="36"/>
      <c r="D104" s="35"/>
      <c r="E104" s="36" t="s">
        <v>95</v>
      </c>
      <c r="F104" s="35"/>
      <c r="G104" s="36"/>
      <c r="H104" s="35" t="s">
        <v>95</v>
      </c>
      <c r="I104" s="35" t="s">
        <v>95</v>
      </c>
      <c r="J104" s="180"/>
      <c r="K104" s="139">
        <v>4</v>
      </c>
      <c r="L104" s="40"/>
    </row>
    <row r="105" spans="1:12" ht="13" customHeight="1" thickBot="1" x14ac:dyDescent="0.25">
      <c r="A105" s="41"/>
      <c r="B105" s="179"/>
      <c r="C105" s="37" t="str">
        <f t="shared" ref="C105:I105" si="51">IF(ISBLANK(C104),"",VLOOKUP(C104,$B$110:$L$146,11,0))</f>
        <v/>
      </c>
      <c r="D105" s="37" t="str">
        <f t="shared" si="51"/>
        <v/>
      </c>
      <c r="E105" s="37">
        <f t="shared" si="51"/>
        <v>0</v>
      </c>
      <c r="F105" s="37" t="str">
        <f t="shared" si="51"/>
        <v/>
      </c>
      <c r="G105" s="37" t="str">
        <f t="shared" si="51"/>
        <v/>
      </c>
      <c r="H105" s="37">
        <f t="shared" si="51"/>
        <v>0</v>
      </c>
      <c r="I105" s="37">
        <f t="shared" si="51"/>
        <v>0</v>
      </c>
      <c r="J105" s="181" t="s">
        <v>57</v>
      </c>
      <c r="K105" s="139"/>
    </row>
    <row r="106" spans="1:12" s="39" customFormat="1" ht="13" customHeight="1" thickTop="1" x14ac:dyDescent="0.2">
      <c r="A106" s="21">
        <f>7-(COUNTIF(C106:I106,"")+COUNTIF(C106:I106,$B$144))</f>
        <v>5</v>
      </c>
      <c r="B106" s="178" t="s">
        <v>29</v>
      </c>
      <c r="C106" s="35" t="s">
        <v>87</v>
      </c>
      <c r="D106" s="35" t="s">
        <v>87</v>
      </c>
      <c r="E106" s="35" t="s">
        <v>87</v>
      </c>
      <c r="F106" s="35" t="s">
        <v>87</v>
      </c>
      <c r="G106" s="35" t="s">
        <v>87</v>
      </c>
      <c r="H106" s="36" t="s">
        <v>95</v>
      </c>
      <c r="I106" s="36" t="s">
        <v>95</v>
      </c>
      <c r="J106" s="180"/>
      <c r="K106" s="139">
        <v>5</v>
      </c>
      <c r="L106" s="40"/>
    </row>
    <row r="107" spans="1:12" s="39" customFormat="1" ht="13" customHeight="1" thickBot="1" x14ac:dyDescent="0.25">
      <c r="B107" s="202"/>
      <c r="C107" s="43" t="str">
        <f t="shared" ref="C107:I107" si="52">IF(ISBLANK(C106),"",VLOOKUP(C106,$B$110:$L$146,11,0))</f>
        <v>08H00-16H30</v>
      </c>
      <c r="D107" s="43" t="str">
        <f t="shared" si="52"/>
        <v>08H00-16H30</v>
      </c>
      <c r="E107" s="43" t="str">
        <f t="shared" si="52"/>
        <v>08H00-16H30</v>
      </c>
      <c r="F107" s="43" t="str">
        <f t="shared" si="52"/>
        <v>08H00-16H30</v>
      </c>
      <c r="G107" s="43" t="str">
        <f t="shared" si="52"/>
        <v>08H00-16H30</v>
      </c>
      <c r="H107" s="43">
        <f t="shared" si="52"/>
        <v>0</v>
      </c>
      <c r="I107" s="43">
        <f t="shared" si="52"/>
        <v>0</v>
      </c>
      <c r="J107" s="203"/>
      <c r="K107" s="139"/>
      <c r="L107" s="40"/>
    </row>
    <row r="108" spans="1:12" s="39" customFormat="1" ht="13" customHeight="1" thickTop="1" x14ac:dyDescent="0.2">
      <c r="C108" s="45">
        <f>C5</f>
        <v>43129</v>
      </c>
      <c r="D108" s="45">
        <f t="shared" ref="D108:I108" si="53">C108+1</f>
        <v>43130</v>
      </c>
      <c r="E108" s="45">
        <f t="shared" si="53"/>
        <v>43131</v>
      </c>
      <c r="F108" s="45">
        <f t="shared" si="53"/>
        <v>43132</v>
      </c>
      <c r="G108" s="45">
        <f t="shared" si="53"/>
        <v>43133</v>
      </c>
      <c r="H108" s="45">
        <f t="shared" si="53"/>
        <v>43134</v>
      </c>
      <c r="I108" s="45">
        <f t="shared" si="53"/>
        <v>43135</v>
      </c>
      <c r="L108" s="40"/>
    </row>
    <row r="109" spans="1:12" ht="13" customHeight="1" x14ac:dyDescent="0.2">
      <c r="A109" s="41"/>
      <c r="B109" s="46" t="s">
        <v>39</v>
      </c>
      <c r="C109" s="47"/>
      <c r="D109" s="47" t="s">
        <v>108</v>
      </c>
      <c r="E109" s="47" t="s">
        <v>108</v>
      </c>
      <c r="F109" s="47"/>
      <c r="G109" s="39"/>
      <c r="H109" s="39"/>
      <c r="I109" s="39"/>
      <c r="J109" s="48" t="s">
        <v>98</v>
      </c>
      <c r="K109" s="49" t="s">
        <v>107</v>
      </c>
      <c r="L109" s="50" t="s">
        <v>97</v>
      </c>
    </row>
    <row r="110" spans="1:12" ht="13" customHeight="1" x14ac:dyDescent="0.2">
      <c r="A110" s="41"/>
      <c r="B110" s="51" t="s">
        <v>117</v>
      </c>
      <c r="C110" s="52">
        <f t="shared" ref="C110:I119" si="54">COUNTIF(C$6:C$107,$B110)</f>
        <v>0</v>
      </c>
      <c r="D110" s="52">
        <f t="shared" si="54"/>
        <v>0</v>
      </c>
      <c r="E110" s="52">
        <f t="shared" si="54"/>
        <v>0</v>
      </c>
      <c r="F110" s="52">
        <f t="shared" si="54"/>
        <v>0</v>
      </c>
      <c r="G110" s="52">
        <f t="shared" si="54"/>
        <v>0</v>
      </c>
      <c r="H110" s="52">
        <f t="shared" si="54"/>
        <v>0</v>
      </c>
      <c r="I110" s="52">
        <f t="shared" si="54"/>
        <v>0</v>
      </c>
      <c r="J110" s="53">
        <f t="shared" ref="J110:J146" si="55">SUM(C110:I110)</f>
        <v>0</v>
      </c>
      <c r="K110" s="49">
        <v>3</v>
      </c>
      <c r="L110" s="1" t="s">
        <v>118</v>
      </c>
    </row>
    <row r="111" spans="1:12" ht="13" customHeight="1" x14ac:dyDescent="0.2">
      <c r="A111" s="41"/>
      <c r="B111" s="54" t="s">
        <v>160</v>
      </c>
      <c r="C111" s="52">
        <f t="shared" si="54"/>
        <v>0</v>
      </c>
      <c r="D111" s="52">
        <f t="shared" si="54"/>
        <v>0</v>
      </c>
      <c r="E111" s="52">
        <f t="shared" si="54"/>
        <v>0</v>
      </c>
      <c r="F111" s="52">
        <f t="shared" si="54"/>
        <v>0</v>
      </c>
      <c r="G111" s="52">
        <f t="shared" si="54"/>
        <v>0</v>
      </c>
      <c r="H111" s="52">
        <f t="shared" si="54"/>
        <v>1</v>
      </c>
      <c r="I111" s="52">
        <f t="shared" si="54"/>
        <v>0</v>
      </c>
      <c r="J111" s="53">
        <f t="shared" si="55"/>
        <v>1</v>
      </c>
      <c r="K111" s="49">
        <v>0</v>
      </c>
      <c r="L111" s="1" t="s">
        <v>116</v>
      </c>
    </row>
    <row r="112" spans="1:12" ht="13" customHeight="1" x14ac:dyDescent="0.2">
      <c r="A112" s="41"/>
      <c r="B112" s="55" t="s">
        <v>79</v>
      </c>
      <c r="C112" s="52">
        <f t="shared" si="54"/>
        <v>1</v>
      </c>
      <c r="D112" s="52">
        <f t="shared" si="54"/>
        <v>1</v>
      </c>
      <c r="E112" s="52">
        <f t="shared" si="54"/>
        <v>1</v>
      </c>
      <c r="F112" s="52">
        <f t="shared" si="54"/>
        <v>1</v>
      </c>
      <c r="G112" s="52">
        <f t="shared" si="54"/>
        <v>1</v>
      </c>
      <c r="H112" s="52">
        <f t="shared" si="54"/>
        <v>1</v>
      </c>
      <c r="I112" s="52">
        <f t="shared" si="54"/>
        <v>1</v>
      </c>
      <c r="J112" s="53">
        <f t="shared" si="55"/>
        <v>7</v>
      </c>
      <c r="K112" s="49">
        <v>7</v>
      </c>
      <c r="L112" s="1" t="s">
        <v>34</v>
      </c>
    </row>
    <row r="113" spans="1:12" ht="13" customHeight="1" x14ac:dyDescent="0.2">
      <c r="A113" s="41"/>
      <c r="B113" s="20" t="s">
        <v>150</v>
      </c>
      <c r="C113" s="52">
        <f t="shared" si="54"/>
        <v>1</v>
      </c>
      <c r="D113" s="52">
        <f t="shared" si="54"/>
        <v>1</v>
      </c>
      <c r="E113" s="52">
        <f t="shared" si="54"/>
        <v>1</v>
      </c>
      <c r="F113" s="52">
        <f t="shared" si="54"/>
        <v>1</v>
      </c>
      <c r="G113" s="52">
        <f t="shared" si="54"/>
        <v>1</v>
      </c>
      <c r="H113" s="52">
        <f t="shared" si="54"/>
        <v>1</v>
      </c>
      <c r="I113" s="52">
        <f t="shared" si="54"/>
        <v>1</v>
      </c>
      <c r="J113" s="53">
        <f t="shared" si="55"/>
        <v>7</v>
      </c>
      <c r="K113" s="49">
        <v>7</v>
      </c>
      <c r="L113" s="1" t="s">
        <v>34</v>
      </c>
    </row>
    <row r="114" spans="1:12" ht="13" customHeight="1" x14ac:dyDescent="0.2">
      <c r="A114" s="41"/>
      <c r="B114" s="3" t="s">
        <v>80</v>
      </c>
      <c r="C114" s="52">
        <f t="shared" si="54"/>
        <v>1</v>
      </c>
      <c r="D114" s="52">
        <f t="shared" si="54"/>
        <v>1</v>
      </c>
      <c r="E114" s="52">
        <f t="shared" si="54"/>
        <v>1</v>
      </c>
      <c r="F114" s="52">
        <f t="shared" si="54"/>
        <v>1</v>
      </c>
      <c r="G114" s="52">
        <f t="shared" si="54"/>
        <v>1</v>
      </c>
      <c r="H114" s="52">
        <f t="shared" si="54"/>
        <v>1</v>
      </c>
      <c r="I114" s="52">
        <f t="shared" si="54"/>
        <v>1</v>
      </c>
      <c r="J114" s="53">
        <f t="shared" si="55"/>
        <v>7</v>
      </c>
      <c r="K114" s="49">
        <v>7</v>
      </c>
      <c r="L114" s="1" t="s">
        <v>32</v>
      </c>
    </row>
    <row r="115" spans="1:12" ht="13" customHeight="1" x14ac:dyDescent="0.2">
      <c r="A115" s="41"/>
      <c r="B115" s="4" t="s">
        <v>81</v>
      </c>
      <c r="C115" s="52">
        <f t="shared" si="54"/>
        <v>1</v>
      </c>
      <c r="D115" s="52">
        <f t="shared" si="54"/>
        <v>1</v>
      </c>
      <c r="E115" s="52">
        <f t="shared" si="54"/>
        <v>1</v>
      </c>
      <c r="F115" s="52">
        <f t="shared" si="54"/>
        <v>1</v>
      </c>
      <c r="G115" s="52">
        <f t="shared" si="54"/>
        <v>1</v>
      </c>
      <c r="H115" s="52">
        <f t="shared" si="54"/>
        <v>1</v>
      </c>
      <c r="I115" s="52">
        <f t="shared" si="54"/>
        <v>1</v>
      </c>
      <c r="J115" s="53">
        <f t="shared" si="55"/>
        <v>7</v>
      </c>
      <c r="K115" s="49">
        <v>7</v>
      </c>
      <c r="L115" s="1" t="s">
        <v>36</v>
      </c>
    </row>
    <row r="116" spans="1:12" ht="13" customHeight="1" x14ac:dyDescent="0.2">
      <c r="B116" s="73" t="s">
        <v>154</v>
      </c>
      <c r="C116" s="52">
        <f t="shared" si="54"/>
        <v>1</v>
      </c>
      <c r="D116" s="52">
        <f t="shared" si="54"/>
        <v>1</v>
      </c>
      <c r="E116" s="52">
        <f t="shared" si="54"/>
        <v>1</v>
      </c>
      <c r="F116" s="52">
        <f t="shared" si="54"/>
        <v>1</v>
      </c>
      <c r="G116" s="52">
        <f t="shared" si="54"/>
        <v>1</v>
      </c>
      <c r="H116" s="52">
        <f t="shared" si="54"/>
        <v>1</v>
      </c>
      <c r="I116" s="52">
        <f t="shared" si="54"/>
        <v>0</v>
      </c>
      <c r="J116" s="53">
        <f t="shared" si="55"/>
        <v>6</v>
      </c>
      <c r="K116" s="49">
        <v>7</v>
      </c>
      <c r="L116" s="1" t="s">
        <v>125</v>
      </c>
    </row>
    <row r="117" spans="1:12" ht="13" customHeight="1" x14ac:dyDescent="0.2">
      <c r="A117" s="41"/>
      <c r="B117" s="5" t="s">
        <v>103</v>
      </c>
      <c r="C117" s="52">
        <f t="shared" si="54"/>
        <v>0</v>
      </c>
      <c r="D117" s="52">
        <f t="shared" si="54"/>
        <v>0</v>
      </c>
      <c r="E117" s="52">
        <f t="shared" si="54"/>
        <v>0</v>
      </c>
      <c r="F117" s="52">
        <f t="shared" si="54"/>
        <v>0</v>
      </c>
      <c r="G117" s="52">
        <f t="shared" si="54"/>
        <v>0</v>
      </c>
      <c r="H117" s="52">
        <f t="shared" si="54"/>
        <v>0</v>
      </c>
      <c r="I117" s="52">
        <f t="shared" si="54"/>
        <v>0</v>
      </c>
      <c r="J117" s="53">
        <f t="shared" si="55"/>
        <v>0</v>
      </c>
      <c r="K117" s="49">
        <v>0</v>
      </c>
      <c r="L117" s="1" t="s">
        <v>38</v>
      </c>
    </row>
    <row r="118" spans="1:12" ht="13" customHeight="1" x14ac:dyDescent="0.2">
      <c r="A118" s="41"/>
      <c r="B118" s="14" t="s">
        <v>149</v>
      </c>
      <c r="C118" s="52">
        <f t="shared" si="54"/>
        <v>1</v>
      </c>
      <c r="D118" s="52">
        <f t="shared" si="54"/>
        <v>1</v>
      </c>
      <c r="E118" s="52">
        <f t="shared" si="54"/>
        <v>1</v>
      </c>
      <c r="F118" s="52">
        <f t="shared" si="54"/>
        <v>1</v>
      </c>
      <c r="G118" s="52">
        <f t="shared" si="54"/>
        <v>1</v>
      </c>
      <c r="H118" s="52">
        <f t="shared" si="54"/>
        <v>1</v>
      </c>
      <c r="I118" s="52">
        <f t="shared" si="54"/>
        <v>1</v>
      </c>
      <c r="J118" s="53">
        <f t="shared" si="55"/>
        <v>7</v>
      </c>
      <c r="K118" s="49">
        <v>7</v>
      </c>
      <c r="L118" s="1" t="s">
        <v>34</v>
      </c>
    </row>
    <row r="119" spans="1:12" ht="13" customHeight="1" x14ac:dyDescent="0.2">
      <c r="A119" s="41"/>
      <c r="B119" s="16" t="s">
        <v>122</v>
      </c>
      <c r="C119" s="52">
        <f t="shared" si="54"/>
        <v>1</v>
      </c>
      <c r="D119" s="52">
        <f t="shared" si="54"/>
        <v>1</v>
      </c>
      <c r="E119" s="52">
        <f t="shared" si="54"/>
        <v>1</v>
      </c>
      <c r="F119" s="52">
        <f t="shared" si="54"/>
        <v>1</v>
      </c>
      <c r="G119" s="52">
        <f t="shared" si="54"/>
        <v>1</v>
      </c>
      <c r="H119" s="52">
        <f t="shared" si="54"/>
        <v>1</v>
      </c>
      <c r="I119" s="52">
        <f t="shared" si="54"/>
        <v>1</v>
      </c>
      <c r="J119" s="53">
        <f>SUM(C119:I119)</f>
        <v>7</v>
      </c>
      <c r="K119" s="49">
        <v>7</v>
      </c>
      <c r="L119" s="1" t="s">
        <v>32</v>
      </c>
    </row>
    <row r="120" spans="1:12" ht="13" customHeight="1" x14ac:dyDescent="0.2">
      <c r="A120" s="41"/>
      <c r="B120" s="6" t="s">
        <v>82</v>
      </c>
      <c r="C120" s="52">
        <f t="shared" ref="C120:I129" si="56">COUNTIF(C$6:C$107,$B120)</f>
        <v>2</v>
      </c>
      <c r="D120" s="52">
        <f t="shared" si="56"/>
        <v>2</v>
      </c>
      <c r="E120" s="52">
        <f t="shared" si="56"/>
        <v>2</v>
      </c>
      <c r="F120" s="52">
        <f t="shared" si="56"/>
        <v>2</v>
      </c>
      <c r="G120" s="52">
        <f t="shared" si="56"/>
        <v>2</v>
      </c>
      <c r="H120" s="52">
        <f t="shared" si="56"/>
        <v>2</v>
      </c>
      <c r="I120" s="52">
        <f t="shared" si="56"/>
        <v>2</v>
      </c>
      <c r="J120" s="53">
        <f t="shared" si="55"/>
        <v>14</v>
      </c>
      <c r="K120" s="49">
        <v>14</v>
      </c>
      <c r="L120" s="1" t="s">
        <v>32</v>
      </c>
    </row>
    <row r="121" spans="1:12" ht="13" customHeight="1" x14ac:dyDescent="0.2">
      <c r="A121" s="41"/>
      <c r="B121" s="6" t="s">
        <v>83</v>
      </c>
      <c r="C121" s="52">
        <f t="shared" si="56"/>
        <v>1</v>
      </c>
      <c r="D121" s="52">
        <f t="shared" si="56"/>
        <v>1</v>
      </c>
      <c r="E121" s="52">
        <f t="shared" si="56"/>
        <v>1</v>
      </c>
      <c r="F121" s="52">
        <f t="shared" si="56"/>
        <v>1</v>
      </c>
      <c r="G121" s="52">
        <f t="shared" si="56"/>
        <v>1</v>
      </c>
      <c r="H121" s="52">
        <f t="shared" si="56"/>
        <v>1</v>
      </c>
      <c r="I121" s="52">
        <f t="shared" si="56"/>
        <v>1</v>
      </c>
      <c r="J121" s="53">
        <f t="shared" si="55"/>
        <v>7</v>
      </c>
      <c r="K121" s="49">
        <v>7</v>
      </c>
      <c r="L121" s="1" t="s">
        <v>34</v>
      </c>
    </row>
    <row r="122" spans="1:12" ht="13" customHeight="1" x14ac:dyDescent="0.2">
      <c r="A122" s="41"/>
      <c r="B122" s="6" t="s">
        <v>109</v>
      </c>
      <c r="C122" s="52">
        <f t="shared" si="56"/>
        <v>0</v>
      </c>
      <c r="D122" s="52">
        <f t="shared" si="56"/>
        <v>0</v>
      </c>
      <c r="E122" s="52">
        <f t="shared" si="56"/>
        <v>0</v>
      </c>
      <c r="F122" s="52">
        <f t="shared" si="56"/>
        <v>0</v>
      </c>
      <c r="G122" s="52">
        <f t="shared" si="56"/>
        <v>0</v>
      </c>
      <c r="H122" s="52">
        <f t="shared" si="56"/>
        <v>0</v>
      </c>
      <c r="I122" s="52">
        <f t="shared" si="56"/>
        <v>0</v>
      </c>
      <c r="J122" s="53">
        <f t="shared" si="55"/>
        <v>0</v>
      </c>
      <c r="K122" s="49">
        <v>0</v>
      </c>
      <c r="L122" s="1" t="s">
        <v>126</v>
      </c>
    </row>
    <row r="123" spans="1:12" ht="13" customHeight="1" x14ac:dyDescent="0.2">
      <c r="A123" s="41"/>
      <c r="B123" s="7" t="s">
        <v>84</v>
      </c>
      <c r="C123" s="52">
        <f t="shared" si="56"/>
        <v>2</v>
      </c>
      <c r="D123" s="52">
        <f t="shared" si="56"/>
        <v>3</v>
      </c>
      <c r="E123" s="52">
        <f t="shared" si="56"/>
        <v>3</v>
      </c>
      <c r="F123" s="52">
        <f t="shared" si="56"/>
        <v>3</v>
      </c>
      <c r="G123" s="52">
        <f t="shared" si="56"/>
        <v>2</v>
      </c>
      <c r="H123" s="52">
        <f t="shared" si="56"/>
        <v>3</v>
      </c>
      <c r="I123" s="52">
        <f t="shared" si="56"/>
        <v>3</v>
      </c>
      <c r="J123" s="53">
        <f t="shared" si="55"/>
        <v>19</v>
      </c>
      <c r="K123" s="49">
        <v>21</v>
      </c>
      <c r="L123" s="1" t="s">
        <v>35</v>
      </c>
    </row>
    <row r="124" spans="1:12" ht="13" customHeight="1" x14ac:dyDescent="0.2">
      <c r="A124" s="41"/>
      <c r="B124" s="17" t="s">
        <v>123</v>
      </c>
      <c r="C124" s="52">
        <f t="shared" si="56"/>
        <v>1</v>
      </c>
      <c r="D124" s="52">
        <f t="shared" si="56"/>
        <v>1</v>
      </c>
      <c r="E124" s="52">
        <f t="shared" si="56"/>
        <v>1</v>
      </c>
      <c r="F124" s="52">
        <f t="shared" si="56"/>
        <v>1</v>
      </c>
      <c r="G124" s="52">
        <f t="shared" si="56"/>
        <v>1</v>
      </c>
      <c r="H124" s="52">
        <f t="shared" si="56"/>
        <v>1</v>
      </c>
      <c r="I124" s="52">
        <f t="shared" si="56"/>
        <v>1</v>
      </c>
      <c r="J124" s="53">
        <f>SUM(C124:I124)</f>
        <v>7</v>
      </c>
      <c r="K124" s="49">
        <v>7</v>
      </c>
      <c r="L124" s="1" t="s">
        <v>36</v>
      </c>
    </row>
    <row r="125" spans="1:12" ht="13" customHeight="1" x14ac:dyDescent="0.2">
      <c r="A125" s="41"/>
      <c r="B125" s="7" t="s">
        <v>85</v>
      </c>
      <c r="C125" s="52">
        <f t="shared" si="56"/>
        <v>1</v>
      </c>
      <c r="D125" s="52">
        <f t="shared" si="56"/>
        <v>1</v>
      </c>
      <c r="E125" s="52">
        <f t="shared" si="56"/>
        <v>1</v>
      </c>
      <c r="F125" s="52">
        <f t="shared" si="56"/>
        <v>1</v>
      </c>
      <c r="G125" s="52">
        <f t="shared" si="56"/>
        <v>1</v>
      </c>
      <c r="H125" s="52">
        <f t="shared" si="56"/>
        <v>1</v>
      </c>
      <c r="I125" s="52">
        <f t="shared" si="56"/>
        <v>1</v>
      </c>
      <c r="J125" s="53">
        <f t="shared" si="55"/>
        <v>7</v>
      </c>
      <c r="K125" s="49">
        <v>7</v>
      </c>
      <c r="L125" s="1" t="s">
        <v>36</v>
      </c>
    </row>
    <row r="126" spans="1:12" ht="13" customHeight="1" x14ac:dyDescent="0.2">
      <c r="A126" s="41"/>
      <c r="B126" s="8" t="s">
        <v>110</v>
      </c>
      <c r="C126" s="52">
        <f t="shared" si="56"/>
        <v>1</v>
      </c>
      <c r="D126" s="52">
        <f t="shared" si="56"/>
        <v>1</v>
      </c>
      <c r="E126" s="52">
        <f t="shared" si="56"/>
        <v>1</v>
      </c>
      <c r="F126" s="52">
        <f t="shared" si="56"/>
        <v>1</v>
      </c>
      <c r="G126" s="52">
        <f t="shared" si="56"/>
        <v>1</v>
      </c>
      <c r="H126" s="52">
        <f t="shared" si="56"/>
        <v>1</v>
      </c>
      <c r="I126" s="52">
        <f t="shared" si="56"/>
        <v>1</v>
      </c>
      <c r="J126" s="53">
        <f t="shared" si="55"/>
        <v>7</v>
      </c>
      <c r="K126" s="49">
        <v>7</v>
      </c>
      <c r="L126" s="1" t="s">
        <v>38</v>
      </c>
    </row>
    <row r="127" spans="1:12" ht="13" customHeight="1" x14ac:dyDescent="0.2">
      <c r="A127" s="41"/>
      <c r="B127" s="56" t="s">
        <v>86</v>
      </c>
      <c r="C127" s="52">
        <f t="shared" si="56"/>
        <v>0</v>
      </c>
      <c r="D127" s="52">
        <f t="shared" si="56"/>
        <v>0</v>
      </c>
      <c r="E127" s="52">
        <f t="shared" si="56"/>
        <v>0</v>
      </c>
      <c r="F127" s="52">
        <f t="shared" si="56"/>
        <v>0</v>
      </c>
      <c r="G127" s="52">
        <f t="shared" si="56"/>
        <v>0</v>
      </c>
      <c r="H127" s="52">
        <f t="shared" si="56"/>
        <v>0</v>
      </c>
      <c r="I127" s="52">
        <f t="shared" si="56"/>
        <v>0</v>
      </c>
      <c r="J127" s="53">
        <f t="shared" si="55"/>
        <v>0</v>
      </c>
      <c r="K127" s="49">
        <v>19</v>
      </c>
      <c r="L127" s="1" t="s">
        <v>32</v>
      </c>
    </row>
    <row r="128" spans="1:12" ht="13" customHeight="1" x14ac:dyDescent="0.2">
      <c r="A128" s="41"/>
      <c r="B128" s="56" t="s">
        <v>87</v>
      </c>
      <c r="C128" s="52">
        <f t="shared" si="56"/>
        <v>7</v>
      </c>
      <c r="D128" s="52">
        <f t="shared" si="56"/>
        <v>7</v>
      </c>
      <c r="E128" s="52">
        <f t="shared" si="56"/>
        <v>7</v>
      </c>
      <c r="F128" s="52">
        <f t="shared" si="56"/>
        <v>7</v>
      </c>
      <c r="G128" s="52">
        <f t="shared" si="56"/>
        <v>7</v>
      </c>
      <c r="H128" s="52">
        <f t="shared" si="56"/>
        <v>0</v>
      </c>
      <c r="I128" s="52">
        <f t="shared" si="56"/>
        <v>0</v>
      </c>
      <c r="J128" s="53">
        <f t="shared" si="55"/>
        <v>35</v>
      </c>
      <c r="K128" s="49">
        <v>20</v>
      </c>
      <c r="L128" s="1" t="s">
        <v>116</v>
      </c>
    </row>
    <row r="129" spans="1:12" ht="13" customHeight="1" x14ac:dyDescent="0.2">
      <c r="A129" s="41"/>
      <c r="B129" s="57" t="s">
        <v>88</v>
      </c>
      <c r="C129" s="52">
        <f t="shared" si="56"/>
        <v>0</v>
      </c>
      <c r="D129" s="52">
        <f t="shared" si="56"/>
        <v>0</v>
      </c>
      <c r="E129" s="52">
        <f t="shared" si="56"/>
        <v>0</v>
      </c>
      <c r="F129" s="52">
        <f t="shared" si="56"/>
        <v>0</v>
      </c>
      <c r="G129" s="52">
        <f t="shared" si="56"/>
        <v>0</v>
      </c>
      <c r="H129" s="52">
        <f t="shared" si="56"/>
        <v>0</v>
      </c>
      <c r="I129" s="52">
        <f t="shared" si="56"/>
        <v>0</v>
      </c>
      <c r="J129" s="53">
        <f t="shared" si="55"/>
        <v>0</v>
      </c>
      <c r="K129" s="49">
        <v>6</v>
      </c>
      <c r="L129" s="1" t="s">
        <v>36</v>
      </c>
    </row>
    <row r="130" spans="1:12" ht="13" customHeight="1" x14ac:dyDescent="0.2">
      <c r="A130" s="41"/>
      <c r="B130" s="58" t="s">
        <v>89</v>
      </c>
      <c r="C130" s="52">
        <f t="shared" ref="C130:I135" si="57">COUNTIF(C$6:C$107,$B130)</f>
        <v>1</v>
      </c>
      <c r="D130" s="52">
        <f t="shared" si="57"/>
        <v>1</v>
      </c>
      <c r="E130" s="52">
        <f t="shared" si="57"/>
        <v>1</v>
      </c>
      <c r="F130" s="52">
        <f t="shared" si="57"/>
        <v>1</v>
      </c>
      <c r="G130" s="52">
        <f t="shared" si="57"/>
        <v>1</v>
      </c>
      <c r="H130" s="52">
        <f t="shared" si="57"/>
        <v>0</v>
      </c>
      <c r="I130" s="52">
        <f t="shared" si="57"/>
        <v>0</v>
      </c>
      <c r="J130" s="53">
        <f t="shared" si="55"/>
        <v>5</v>
      </c>
      <c r="K130" s="49">
        <v>5</v>
      </c>
      <c r="L130" s="1" t="s">
        <v>37</v>
      </c>
    </row>
    <row r="131" spans="1:12" ht="13" customHeight="1" x14ac:dyDescent="0.2">
      <c r="A131" s="41"/>
      <c r="B131" s="9" t="s">
        <v>90</v>
      </c>
      <c r="C131" s="52">
        <f t="shared" si="57"/>
        <v>1</v>
      </c>
      <c r="D131" s="52">
        <f t="shared" si="57"/>
        <v>1</v>
      </c>
      <c r="E131" s="52">
        <f t="shared" si="57"/>
        <v>1</v>
      </c>
      <c r="F131" s="52">
        <f t="shared" si="57"/>
        <v>1</v>
      </c>
      <c r="G131" s="52">
        <f t="shared" si="57"/>
        <v>1</v>
      </c>
      <c r="H131" s="52">
        <f t="shared" si="57"/>
        <v>1</v>
      </c>
      <c r="I131" s="52">
        <f t="shared" si="57"/>
        <v>1</v>
      </c>
      <c r="J131" s="53">
        <f t="shared" si="55"/>
        <v>7</v>
      </c>
      <c r="K131" s="49">
        <v>7</v>
      </c>
      <c r="L131" s="1" t="s">
        <v>32</v>
      </c>
    </row>
    <row r="132" spans="1:12" ht="13" customHeight="1" x14ac:dyDescent="0.2">
      <c r="A132" s="41"/>
      <c r="B132" s="9" t="s">
        <v>91</v>
      </c>
      <c r="C132" s="52">
        <f t="shared" si="57"/>
        <v>1</v>
      </c>
      <c r="D132" s="52">
        <f t="shared" si="57"/>
        <v>1</v>
      </c>
      <c r="E132" s="52">
        <f t="shared" si="57"/>
        <v>1</v>
      </c>
      <c r="F132" s="52">
        <f t="shared" si="57"/>
        <v>1</v>
      </c>
      <c r="G132" s="52">
        <f t="shared" si="57"/>
        <v>1</v>
      </c>
      <c r="H132" s="52">
        <f t="shared" si="57"/>
        <v>1</v>
      </c>
      <c r="I132" s="52">
        <f t="shared" si="57"/>
        <v>1</v>
      </c>
      <c r="J132" s="53">
        <f t="shared" si="55"/>
        <v>7</v>
      </c>
      <c r="K132" s="49">
        <v>7</v>
      </c>
      <c r="L132" s="1" t="s">
        <v>32</v>
      </c>
    </row>
    <row r="133" spans="1:12" ht="13" customHeight="1" x14ac:dyDescent="0.2">
      <c r="A133" s="41"/>
      <c r="B133" s="9" t="s">
        <v>92</v>
      </c>
      <c r="C133" s="52">
        <f t="shared" si="57"/>
        <v>1</v>
      </c>
      <c r="D133" s="52">
        <f t="shared" si="57"/>
        <v>1</v>
      </c>
      <c r="E133" s="52">
        <f t="shared" si="57"/>
        <v>1</v>
      </c>
      <c r="F133" s="52">
        <f t="shared" si="57"/>
        <v>1</v>
      </c>
      <c r="G133" s="52">
        <f t="shared" si="57"/>
        <v>1</v>
      </c>
      <c r="H133" s="52">
        <f t="shared" si="57"/>
        <v>1</v>
      </c>
      <c r="I133" s="52">
        <f t="shared" si="57"/>
        <v>1</v>
      </c>
      <c r="J133" s="53">
        <f t="shared" si="55"/>
        <v>7</v>
      </c>
      <c r="K133" s="49">
        <v>7</v>
      </c>
      <c r="L133" s="1" t="s">
        <v>96</v>
      </c>
    </row>
    <row r="134" spans="1:12" ht="13" customHeight="1" x14ac:dyDescent="0.2">
      <c r="A134" s="41"/>
      <c r="B134" s="10" t="s">
        <v>31</v>
      </c>
      <c r="C134" s="52">
        <f t="shared" si="57"/>
        <v>1</v>
      </c>
      <c r="D134" s="52">
        <f t="shared" si="57"/>
        <v>1</v>
      </c>
      <c r="E134" s="52">
        <f t="shared" si="57"/>
        <v>1</v>
      </c>
      <c r="F134" s="52">
        <f t="shared" si="57"/>
        <v>1</v>
      </c>
      <c r="G134" s="52">
        <f t="shared" si="57"/>
        <v>1</v>
      </c>
      <c r="H134" s="52">
        <f t="shared" si="57"/>
        <v>1</v>
      </c>
      <c r="I134" s="52">
        <f t="shared" si="57"/>
        <v>1</v>
      </c>
      <c r="J134" s="53">
        <f t="shared" si="55"/>
        <v>7</v>
      </c>
      <c r="K134" s="49">
        <v>7</v>
      </c>
      <c r="L134" s="1" t="s">
        <v>32</v>
      </c>
    </row>
    <row r="135" spans="1:12" ht="13" customHeight="1" x14ac:dyDescent="0.2">
      <c r="A135" s="41"/>
      <c r="B135" s="11" t="s">
        <v>93</v>
      </c>
      <c r="C135" s="52">
        <f t="shared" si="57"/>
        <v>1</v>
      </c>
      <c r="D135" s="52">
        <f t="shared" si="57"/>
        <v>1</v>
      </c>
      <c r="E135" s="52">
        <f t="shared" si="57"/>
        <v>1</v>
      </c>
      <c r="F135" s="52">
        <f t="shared" si="57"/>
        <v>1</v>
      </c>
      <c r="G135" s="52">
        <f t="shared" si="57"/>
        <v>1</v>
      </c>
      <c r="H135" s="52">
        <f t="shared" si="57"/>
        <v>1</v>
      </c>
      <c r="I135" s="52">
        <f t="shared" si="57"/>
        <v>1</v>
      </c>
      <c r="J135" s="53">
        <f t="shared" si="55"/>
        <v>7</v>
      </c>
      <c r="K135" s="49">
        <v>7</v>
      </c>
      <c r="L135" s="1" t="s">
        <v>32</v>
      </c>
    </row>
    <row r="136" spans="1:12" ht="13" customHeight="1" x14ac:dyDescent="0.2">
      <c r="B136" s="19" t="s">
        <v>137</v>
      </c>
      <c r="C136" s="52">
        <f t="shared" ref="C136:I138" si="58">COUNTIF(C$6:C$115,Actions)</f>
        <v>1</v>
      </c>
      <c r="D136" s="52">
        <f t="shared" si="58"/>
        <v>1</v>
      </c>
      <c r="E136" s="52">
        <f t="shared" si="58"/>
        <v>1</v>
      </c>
      <c r="F136" s="52">
        <f t="shared" si="58"/>
        <v>1</v>
      </c>
      <c r="G136" s="52">
        <f t="shared" si="58"/>
        <v>1</v>
      </c>
      <c r="H136" s="52">
        <f t="shared" si="58"/>
        <v>1</v>
      </c>
      <c r="I136" s="52">
        <f t="shared" si="58"/>
        <v>1</v>
      </c>
      <c r="J136" s="53">
        <f t="shared" si="55"/>
        <v>7</v>
      </c>
      <c r="K136" s="59">
        <v>7</v>
      </c>
      <c r="L136" s="2" t="s">
        <v>32</v>
      </c>
    </row>
    <row r="137" spans="1:12" ht="13" customHeight="1" x14ac:dyDescent="0.2">
      <c r="B137" s="18" t="s">
        <v>139</v>
      </c>
      <c r="C137" s="52">
        <f t="shared" si="58"/>
        <v>1</v>
      </c>
      <c r="D137" s="52">
        <f t="shared" si="58"/>
        <v>1</v>
      </c>
      <c r="E137" s="52">
        <f t="shared" si="58"/>
        <v>1</v>
      </c>
      <c r="F137" s="52">
        <f t="shared" si="58"/>
        <v>1</v>
      </c>
      <c r="G137" s="52">
        <f t="shared" si="58"/>
        <v>1</v>
      </c>
      <c r="H137" s="52">
        <f t="shared" si="58"/>
        <v>1</v>
      </c>
      <c r="I137" s="52">
        <f t="shared" si="58"/>
        <v>1</v>
      </c>
      <c r="J137" s="53">
        <f t="shared" si="55"/>
        <v>7</v>
      </c>
      <c r="K137" s="60">
        <v>7</v>
      </c>
      <c r="L137" s="2" t="s">
        <v>140</v>
      </c>
    </row>
    <row r="138" spans="1:12" ht="13" customHeight="1" x14ac:dyDescent="0.2">
      <c r="B138" s="61" t="s">
        <v>138</v>
      </c>
      <c r="C138" s="52">
        <f t="shared" si="58"/>
        <v>1</v>
      </c>
      <c r="D138" s="52">
        <f t="shared" si="58"/>
        <v>1</v>
      </c>
      <c r="E138" s="52">
        <f t="shared" si="58"/>
        <v>1</v>
      </c>
      <c r="F138" s="52">
        <f t="shared" si="58"/>
        <v>1</v>
      </c>
      <c r="G138" s="52">
        <f t="shared" si="58"/>
        <v>1</v>
      </c>
      <c r="H138" s="52">
        <f t="shared" si="58"/>
        <v>1</v>
      </c>
      <c r="I138" s="52">
        <f t="shared" si="58"/>
        <v>1</v>
      </c>
      <c r="J138" s="53">
        <f t="shared" si="55"/>
        <v>7</v>
      </c>
      <c r="K138" s="62">
        <v>7</v>
      </c>
      <c r="L138" s="2" t="s">
        <v>141</v>
      </c>
    </row>
    <row r="139" spans="1:12" ht="13" customHeight="1" x14ac:dyDescent="0.2">
      <c r="A139" s="41"/>
      <c r="B139" s="12" t="s">
        <v>151</v>
      </c>
      <c r="C139" s="52">
        <f t="shared" ref="C139:I146" si="59">COUNTIF(C$6:C$107,$B139)</f>
        <v>0</v>
      </c>
      <c r="D139" s="52">
        <f t="shared" si="59"/>
        <v>0</v>
      </c>
      <c r="E139" s="52">
        <f t="shared" si="59"/>
        <v>0</v>
      </c>
      <c r="F139" s="52">
        <f t="shared" si="59"/>
        <v>0</v>
      </c>
      <c r="G139" s="52">
        <f t="shared" si="59"/>
        <v>0</v>
      </c>
      <c r="H139" s="52">
        <f t="shared" si="59"/>
        <v>1</v>
      </c>
      <c r="I139" s="52">
        <f t="shared" si="59"/>
        <v>1</v>
      </c>
      <c r="J139" s="53">
        <f t="shared" si="55"/>
        <v>2</v>
      </c>
      <c r="K139" s="59">
        <v>2</v>
      </c>
      <c r="L139" s="2" t="s">
        <v>33</v>
      </c>
    </row>
    <row r="140" spans="1:12" ht="13" customHeight="1" x14ac:dyDescent="0.2">
      <c r="A140" s="41"/>
      <c r="B140" s="12" t="s">
        <v>94</v>
      </c>
      <c r="C140" s="52">
        <f t="shared" si="59"/>
        <v>0</v>
      </c>
      <c r="D140" s="52">
        <f t="shared" si="59"/>
        <v>0</v>
      </c>
      <c r="E140" s="52">
        <f t="shared" si="59"/>
        <v>0</v>
      </c>
      <c r="F140" s="52">
        <f t="shared" si="59"/>
        <v>0</v>
      </c>
      <c r="G140" s="52">
        <f t="shared" si="59"/>
        <v>0</v>
      </c>
      <c r="H140" s="52">
        <f t="shared" si="59"/>
        <v>0</v>
      </c>
      <c r="I140" s="52">
        <f t="shared" si="59"/>
        <v>0</v>
      </c>
      <c r="J140" s="53">
        <f t="shared" si="55"/>
        <v>0</v>
      </c>
      <c r="K140" s="60">
        <v>1</v>
      </c>
      <c r="L140" s="2" t="s">
        <v>33</v>
      </c>
    </row>
    <row r="141" spans="1:12" ht="13" customHeight="1" x14ac:dyDescent="0.2">
      <c r="A141" s="41"/>
      <c r="B141" s="63" t="s">
        <v>152</v>
      </c>
      <c r="C141" s="52">
        <f t="shared" si="59"/>
        <v>1</v>
      </c>
      <c r="D141" s="52">
        <f t="shared" si="59"/>
        <v>1</v>
      </c>
      <c r="E141" s="52">
        <f t="shared" si="59"/>
        <v>1</v>
      </c>
      <c r="F141" s="52">
        <f t="shared" si="59"/>
        <v>1</v>
      </c>
      <c r="G141" s="52">
        <f t="shared" si="59"/>
        <v>1</v>
      </c>
      <c r="H141" s="52">
        <f t="shared" si="59"/>
        <v>0</v>
      </c>
      <c r="I141" s="52">
        <f t="shared" si="59"/>
        <v>0</v>
      </c>
      <c r="J141" s="53">
        <f t="shared" si="55"/>
        <v>5</v>
      </c>
      <c r="K141" s="62">
        <v>5</v>
      </c>
      <c r="L141" s="2" t="s">
        <v>33</v>
      </c>
    </row>
    <row r="142" spans="1:12" ht="13" customHeight="1" x14ac:dyDescent="0.2">
      <c r="A142" s="41"/>
      <c r="B142" s="64" t="s">
        <v>40</v>
      </c>
      <c r="C142" s="52">
        <f t="shared" si="59"/>
        <v>0</v>
      </c>
      <c r="D142" s="52">
        <f t="shared" si="59"/>
        <v>0</v>
      </c>
      <c r="E142" s="52">
        <f t="shared" si="59"/>
        <v>1</v>
      </c>
      <c r="F142" s="52">
        <f t="shared" si="59"/>
        <v>1</v>
      </c>
      <c r="G142" s="52">
        <f t="shared" si="59"/>
        <v>2</v>
      </c>
      <c r="H142" s="52">
        <f t="shared" si="59"/>
        <v>1</v>
      </c>
      <c r="I142" s="52">
        <f t="shared" si="59"/>
        <v>0</v>
      </c>
      <c r="J142" s="53">
        <f t="shared" si="55"/>
        <v>5</v>
      </c>
      <c r="K142" s="65">
        <v>7</v>
      </c>
      <c r="L142" s="13"/>
    </row>
    <row r="143" spans="1:12" ht="13" customHeight="1" x14ac:dyDescent="0.2">
      <c r="A143" s="41"/>
      <c r="B143" s="64" t="s">
        <v>41</v>
      </c>
      <c r="C143" s="52">
        <f t="shared" si="59"/>
        <v>0</v>
      </c>
      <c r="D143" s="52">
        <f t="shared" si="59"/>
        <v>0</v>
      </c>
      <c r="E143" s="52">
        <f t="shared" si="59"/>
        <v>0</v>
      </c>
      <c r="F143" s="52">
        <f t="shared" si="59"/>
        <v>0</v>
      </c>
      <c r="G143" s="52">
        <f t="shared" si="59"/>
        <v>0</v>
      </c>
      <c r="H143" s="52">
        <f t="shared" si="59"/>
        <v>0</v>
      </c>
      <c r="I143" s="52">
        <f t="shared" si="59"/>
        <v>0</v>
      </c>
      <c r="J143" s="53">
        <f t="shared" si="55"/>
        <v>0</v>
      </c>
      <c r="K143" s="65">
        <v>0</v>
      </c>
      <c r="L143" s="13"/>
    </row>
    <row r="144" spans="1:12" ht="13" customHeight="1" x14ac:dyDescent="0.2">
      <c r="A144" s="41"/>
      <c r="B144" s="66" t="s">
        <v>95</v>
      </c>
      <c r="C144" s="52">
        <f t="shared" si="59"/>
        <v>2</v>
      </c>
      <c r="D144" s="52">
        <f t="shared" si="59"/>
        <v>2</v>
      </c>
      <c r="E144" s="52">
        <f t="shared" si="59"/>
        <v>2</v>
      </c>
      <c r="F144" s="52">
        <f t="shared" si="59"/>
        <v>1</v>
      </c>
      <c r="G144" s="52">
        <f t="shared" si="59"/>
        <v>1</v>
      </c>
      <c r="H144" s="52">
        <f t="shared" si="59"/>
        <v>16</v>
      </c>
      <c r="I144" s="52">
        <f t="shared" si="59"/>
        <v>22</v>
      </c>
      <c r="J144" s="53">
        <f t="shared" si="55"/>
        <v>46</v>
      </c>
      <c r="K144" s="65">
        <v>25</v>
      </c>
      <c r="L144" s="13"/>
    </row>
    <row r="145" spans="1:12" ht="13" customHeight="1" x14ac:dyDescent="0.2">
      <c r="A145" s="41"/>
      <c r="B145" s="67" t="s">
        <v>99</v>
      </c>
      <c r="C145" s="52">
        <f t="shared" si="59"/>
        <v>2</v>
      </c>
      <c r="D145" s="52">
        <f t="shared" si="59"/>
        <v>2</v>
      </c>
      <c r="E145" s="52">
        <f t="shared" si="59"/>
        <v>2</v>
      </c>
      <c r="F145" s="52">
        <f t="shared" si="59"/>
        <v>2</v>
      </c>
      <c r="G145" s="52">
        <f t="shared" si="59"/>
        <v>3</v>
      </c>
      <c r="H145" s="52">
        <f t="shared" si="59"/>
        <v>1</v>
      </c>
      <c r="I145" s="52">
        <f t="shared" si="59"/>
        <v>0</v>
      </c>
      <c r="J145" s="53">
        <f t="shared" si="55"/>
        <v>12</v>
      </c>
      <c r="K145" s="65">
        <v>0</v>
      </c>
      <c r="L145" s="13"/>
    </row>
    <row r="146" spans="1:12" ht="13" customHeight="1" x14ac:dyDescent="0.2">
      <c r="A146" s="41"/>
      <c r="B146" s="67" t="s">
        <v>100</v>
      </c>
      <c r="C146" s="52">
        <f t="shared" si="59"/>
        <v>0</v>
      </c>
      <c r="D146" s="52">
        <f t="shared" si="59"/>
        <v>1</v>
      </c>
      <c r="E146" s="52">
        <f t="shared" si="59"/>
        <v>0</v>
      </c>
      <c r="F146" s="52">
        <f t="shared" si="59"/>
        <v>0</v>
      </c>
      <c r="G146" s="52">
        <f t="shared" si="59"/>
        <v>1</v>
      </c>
      <c r="H146" s="52">
        <f t="shared" si="59"/>
        <v>0</v>
      </c>
      <c r="I146" s="52">
        <f t="shared" si="59"/>
        <v>0</v>
      </c>
      <c r="J146" s="53">
        <f t="shared" si="55"/>
        <v>2</v>
      </c>
      <c r="K146" s="65">
        <v>0</v>
      </c>
      <c r="L146" s="13" t="s">
        <v>101</v>
      </c>
    </row>
    <row r="147" spans="1:12" ht="13" customHeight="1" x14ac:dyDescent="0.2">
      <c r="A147" s="41"/>
      <c r="B147" s="68"/>
      <c r="C147" s="69">
        <f t="shared" ref="C147:I147" si="60">SUM(C110:C141)-SUM(C127:C130)-C110</f>
        <v>24</v>
      </c>
      <c r="D147" s="69">
        <f t="shared" si="60"/>
        <v>25</v>
      </c>
      <c r="E147" s="69">
        <f t="shared" si="60"/>
        <v>25</v>
      </c>
      <c r="F147" s="69">
        <f t="shared" si="60"/>
        <v>25</v>
      </c>
      <c r="G147" s="69">
        <f t="shared" si="60"/>
        <v>24</v>
      </c>
      <c r="H147" s="69">
        <f t="shared" si="60"/>
        <v>26</v>
      </c>
      <c r="I147" s="69">
        <f t="shared" si="60"/>
        <v>24</v>
      </c>
      <c r="J147" s="69">
        <f>SUM(J110:J141)</f>
        <v>213</v>
      </c>
    </row>
  </sheetData>
  <mergeCells count="104">
    <mergeCell ref="B86:B87"/>
    <mergeCell ref="J86:J87"/>
    <mergeCell ref="J106:J107"/>
    <mergeCell ref="B106:B107"/>
    <mergeCell ref="B104:B105"/>
    <mergeCell ref="J104:J105"/>
    <mergeCell ref="B102:B103"/>
    <mergeCell ref="J102:J103"/>
    <mergeCell ref="B96:B97"/>
    <mergeCell ref="J96:J97"/>
    <mergeCell ref="B94:B95"/>
    <mergeCell ref="J94:J95"/>
    <mergeCell ref="B88:B89"/>
    <mergeCell ref="J88:J89"/>
    <mergeCell ref="B90:B91"/>
    <mergeCell ref="J90:J91"/>
    <mergeCell ref="B98:B99"/>
    <mergeCell ref="J98:J99"/>
    <mergeCell ref="B100:B101"/>
    <mergeCell ref="J100:J101"/>
    <mergeCell ref="B92:B93"/>
    <mergeCell ref="J92:J93"/>
    <mergeCell ref="B1:B2"/>
    <mergeCell ref="C4:I4"/>
    <mergeCell ref="B6:B7"/>
    <mergeCell ref="J6:J7"/>
    <mergeCell ref="B8:B9"/>
    <mergeCell ref="J8:J9"/>
    <mergeCell ref="B10:B11"/>
    <mergeCell ref="J10:J11"/>
    <mergeCell ref="B20:B21"/>
    <mergeCell ref="J20:J21"/>
    <mergeCell ref="B12:B13"/>
    <mergeCell ref="J12:J13"/>
    <mergeCell ref="B14:B15"/>
    <mergeCell ref="J14:J15"/>
    <mergeCell ref="B16:B17"/>
    <mergeCell ref="J16:J17"/>
    <mergeCell ref="B18:B19"/>
    <mergeCell ref="J18:J19"/>
    <mergeCell ref="B22:B23"/>
    <mergeCell ref="J22:J23"/>
    <mergeCell ref="B38:B39"/>
    <mergeCell ref="J38:J39"/>
    <mergeCell ref="B40:B41"/>
    <mergeCell ref="J40:J41"/>
    <mergeCell ref="B44:B45"/>
    <mergeCell ref="J44:J45"/>
    <mergeCell ref="B46:B47"/>
    <mergeCell ref="J46:J47"/>
    <mergeCell ref="B36:B37"/>
    <mergeCell ref="J36:J37"/>
    <mergeCell ref="B24:B25"/>
    <mergeCell ref="J24:J25"/>
    <mergeCell ref="B26:B27"/>
    <mergeCell ref="J26:J27"/>
    <mergeCell ref="B28:B29"/>
    <mergeCell ref="J28:J29"/>
    <mergeCell ref="B30:B31"/>
    <mergeCell ref="J30:J31"/>
    <mergeCell ref="B32:B33"/>
    <mergeCell ref="J32:J33"/>
    <mergeCell ref="B34:B35"/>
    <mergeCell ref="J34:J35"/>
    <mergeCell ref="B84:B85"/>
    <mergeCell ref="J84:J85"/>
    <mergeCell ref="B72:B73"/>
    <mergeCell ref="J72:J73"/>
    <mergeCell ref="B62:B63"/>
    <mergeCell ref="J62:J63"/>
    <mergeCell ref="B68:B69"/>
    <mergeCell ref="J68:J69"/>
    <mergeCell ref="B70:B71"/>
    <mergeCell ref="J70:J71"/>
    <mergeCell ref="B64:B65"/>
    <mergeCell ref="J64:J65"/>
    <mergeCell ref="B80:B81"/>
    <mergeCell ref="J80:J81"/>
    <mergeCell ref="B82:B83"/>
    <mergeCell ref="J82:J83"/>
    <mergeCell ref="B76:B77"/>
    <mergeCell ref="J76:J77"/>
    <mergeCell ref="B66:B67"/>
    <mergeCell ref="J66:J67"/>
    <mergeCell ref="B78:B79"/>
    <mergeCell ref="J78:J79"/>
    <mergeCell ref="B42:B43"/>
    <mergeCell ref="J42:J43"/>
    <mergeCell ref="B52:B53"/>
    <mergeCell ref="J52:J53"/>
    <mergeCell ref="B74:B75"/>
    <mergeCell ref="J74:J75"/>
    <mergeCell ref="B54:B55"/>
    <mergeCell ref="J54:J55"/>
    <mergeCell ref="B56:B57"/>
    <mergeCell ref="J56:J57"/>
    <mergeCell ref="B60:B61"/>
    <mergeCell ref="J60:J61"/>
    <mergeCell ref="B58:B59"/>
    <mergeCell ref="J58:J59"/>
    <mergeCell ref="B50:B51"/>
    <mergeCell ref="J50:J51"/>
    <mergeCell ref="B48:B49"/>
    <mergeCell ref="J48:J49"/>
  </mergeCells>
  <conditionalFormatting sqref="C147:I147">
    <cfRule type="cellIs" dxfId="4405" priority="2461" operator="lessThan">
      <formula>22</formula>
    </cfRule>
  </conditionalFormatting>
  <conditionalFormatting sqref="J117:J118 J120:J123 J125:J135 J110:J115">
    <cfRule type="cellIs" dxfId="4404" priority="2460" operator="notEqual">
      <formula>$K110</formula>
    </cfRule>
  </conditionalFormatting>
  <conditionalFormatting sqref="J139">
    <cfRule type="expression" dxfId="4403" priority="2459">
      <formula>$J$139+$J$140&lt;$K$139</formula>
    </cfRule>
  </conditionalFormatting>
  <conditionalFormatting sqref="J140">
    <cfRule type="expression" dxfId="4402" priority="2458">
      <formula>$J$139+$J$140&lt;$K$139</formula>
    </cfRule>
  </conditionalFormatting>
  <conditionalFormatting sqref="J142:J146">
    <cfRule type="cellIs" dxfId="4401" priority="2457" operator="notEqual">
      <formula>$K142</formula>
    </cfRule>
  </conditionalFormatting>
  <conditionalFormatting sqref="C93:I93">
    <cfRule type="expression" dxfId="4400" priority="2165">
      <formula>C93=$B$116</formula>
    </cfRule>
  </conditionalFormatting>
  <conditionalFormatting sqref="J116">
    <cfRule type="cellIs" dxfId="4399" priority="2163" operator="notEqual">
      <formula>$K116</formula>
    </cfRule>
  </conditionalFormatting>
  <conditionalFormatting sqref="C77:I77">
    <cfRule type="expression" dxfId="4398" priority="2095">
      <formula>C77=$B$116</formula>
    </cfRule>
  </conditionalFormatting>
  <conditionalFormatting sqref="C77:I77">
    <cfRule type="expression" dxfId="4397" priority="2128">
      <formula>C77=$B$111</formula>
    </cfRule>
  </conditionalFormatting>
  <conditionalFormatting sqref="J119">
    <cfRule type="cellIs" dxfId="4396" priority="2094" operator="notEqual">
      <formula>$K119</formula>
    </cfRule>
  </conditionalFormatting>
  <conditionalFormatting sqref="J124">
    <cfRule type="cellIs" dxfId="4395" priority="2093" operator="notEqual">
      <formula>$K124</formula>
    </cfRule>
  </conditionalFormatting>
  <conditionalFormatting sqref="H50">
    <cfRule type="expression" dxfId="4394" priority="2059">
      <formula>H50=$B$116</formula>
    </cfRule>
  </conditionalFormatting>
  <conditionalFormatting sqref="H50">
    <cfRule type="expression" dxfId="4393" priority="2060">
      <formula>H50=$B$111</formula>
    </cfRule>
  </conditionalFormatting>
  <conditionalFormatting sqref="C36">
    <cfRule type="expression" dxfId="4392" priority="2025">
      <formula>C36=$B$116</formula>
    </cfRule>
  </conditionalFormatting>
  <conditionalFormatting sqref="C36">
    <cfRule type="expression" dxfId="4391" priority="2058">
      <formula>C36=$B$111</formula>
    </cfRule>
  </conditionalFormatting>
  <conditionalFormatting sqref="C76 C90:G90 E38:I38 C47:I47 C98:I101 E76:I76 C46:F46 C50:I57 D58:I58 C91:I93 C94:F94 C88:I89 C6:I37 C38 H64 H86:I86 H46:I46 C106:I107 C59:I63 C39:I45 C66:I75 C77:I85">
    <cfRule type="expression" dxfId="4390" priority="57593">
      <formula>C6=$B$130</formula>
    </cfRule>
    <cfRule type="expression" dxfId="4389" priority="57594">
      <formula>C6=$B$128</formula>
    </cfRule>
    <cfRule type="expression" dxfId="4388" priority="57595">
      <formula>C6=$B$124</formula>
    </cfRule>
    <cfRule type="expression" dxfId="4387" priority="57596">
      <formula>C6=$B$119</formula>
    </cfRule>
    <cfRule type="expression" dxfId="4386" priority="57597">
      <formula>C6=$B$116</formula>
    </cfRule>
    <cfRule type="expression" dxfId="4385" priority="57598">
      <formula>C6=$B$113</formula>
    </cfRule>
    <cfRule type="expression" dxfId="4384" priority="57599">
      <formula>C6=$B$116</formula>
    </cfRule>
    <cfRule type="expression" dxfId="4383" priority="57600">
      <formula>C6=$B$146</formula>
    </cfRule>
    <cfRule type="expression" dxfId="4382" priority="57601">
      <formula>C6=$B$118</formula>
    </cfRule>
    <cfRule type="expression" dxfId="4381" priority="57602">
      <formula>C6=$B$146</formula>
    </cfRule>
    <cfRule type="expression" dxfId="4380" priority="57603">
      <formula>C6=$B$145</formula>
    </cfRule>
    <cfRule type="expression" dxfId="4379" priority="57604">
      <formula>C6=$B$144</formula>
    </cfRule>
    <cfRule type="expression" dxfId="4378" priority="57605">
      <formula>C6=$B$143</formula>
    </cfRule>
    <cfRule type="expression" dxfId="4377" priority="57606">
      <formula>C6=$B$142</formula>
    </cfRule>
    <cfRule type="expression" dxfId="4376" priority="57607">
      <formula>C6=$B$141</formula>
    </cfRule>
    <cfRule type="expression" dxfId="4375" priority="57608">
      <formula>C6=$B$140</formula>
    </cfRule>
    <cfRule type="expression" dxfId="4374" priority="57609">
      <formula>C6=$B$139</formula>
    </cfRule>
    <cfRule type="expression" dxfId="4373" priority="57610">
      <formula>C6=$B$135</formula>
    </cfRule>
    <cfRule type="expression" dxfId="4372" priority="57611">
      <formula>C6=$B$134</formula>
    </cfRule>
    <cfRule type="expression" dxfId="4371" priority="57612">
      <formula>C6=$B$133</formula>
    </cfRule>
    <cfRule type="expression" dxfId="4370" priority="57613">
      <formula>C6=$B$132</formula>
    </cfRule>
    <cfRule type="expression" dxfId="4369" priority="57614">
      <formula>C6=$B$131</formula>
    </cfRule>
    <cfRule type="expression" dxfId="4368" priority="57615" stopIfTrue="1">
      <formula>C6=$B$130</formula>
    </cfRule>
    <cfRule type="expression" dxfId="4367" priority="57616">
      <formula>C6=$B$129</formula>
    </cfRule>
    <cfRule type="expression" dxfId="4366" priority="57617" stopIfTrue="1">
      <formula>C6=$B$128</formula>
    </cfRule>
    <cfRule type="expression" dxfId="4365" priority="57618">
      <formula>C6=$B$127</formula>
    </cfRule>
    <cfRule type="expression" dxfId="4364" priority="57619">
      <formula>C6=$B$126</formula>
    </cfRule>
    <cfRule type="expression" dxfId="4363" priority="57620">
      <formula>C6=$B$125</formula>
    </cfRule>
    <cfRule type="expression" dxfId="4362" priority="57621" stopIfTrue="1">
      <formula>C6=$B$123</formula>
    </cfRule>
    <cfRule type="expression" dxfId="4361" priority="57622" stopIfTrue="1">
      <formula>C6=$B$122</formula>
    </cfRule>
    <cfRule type="expression" dxfId="4360" priority="57623" stopIfTrue="1">
      <formula>C6=$B$121</formula>
    </cfRule>
    <cfRule type="expression" dxfId="4359" priority="57624">
      <formula>C6=$B$120</formula>
    </cfRule>
    <cfRule type="expression" dxfId="4358" priority="57625">
      <formula>C6=$B$117</formula>
    </cfRule>
    <cfRule type="expression" dxfId="4357" priority="57626" stopIfTrue="1">
      <formula>C6=$B$115</formula>
    </cfRule>
    <cfRule type="expression" dxfId="4356" priority="57627">
      <formula>C6=$B$114</formula>
    </cfRule>
    <cfRule type="expression" dxfId="4355" priority="57628">
      <formula>C6=$B$113</formula>
    </cfRule>
    <cfRule type="expression" dxfId="4354" priority="57629">
      <formula>C6=$B$112</formula>
    </cfRule>
    <cfRule type="expression" dxfId="4353" priority="57630">
      <formula>C6=$B$110</formula>
    </cfRule>
    <cfRule type="expression" dxfId="4352" priority="57631" stopIfTrue="1">
      <formula>C6=$B$111</formula>
    </cfRule>
    <cfRule type="expression" dxfId="4351" priority="57632" stopIfTrue="1">
      <formula>C$5=TODAY()</formula>
    </cfRule>
  </conditionalFormatting>
  <conditionalFormatting sqref="J141">
    <cfRule type="cellIs" dxfId="4350" priority="1814" operator="notEqual">
      <formula>$K141</formula>
    </cfRule>
  </conditionalFormatting>
  <conditionalFormatting sqref="C102:I105 G94:I94 H22:I22 C64:I65 C48:I49 C86:I87 C95:I97 H90:I90 H30:I30 H42:I42 C38:D38 G46 C58">
    <cfRule type="expression" dxfId="4349" priority="1691">
      <formula>C22=$B$145</formula>
    </cfRule>
    <cfRule type="expression" dxfId="4348" priority="1692">
      <formula>C22=$B$130</formula>
    </cfRule>
    <cfRule type="expression" dxfId="4347" priority="1693">
      <formula>C22=$B$128</formula>
    </cfRule>
    <cfRule type="expression" dxfId="4346" priority="1694">
      <formula>C22=$B$124</formula>
    </cfRule>
    <cfRule type="expression" dxfId="4345" priority="1695">
      <formula>C22=$B$119</formula>
    </cfRule>
    <cfRule type="expression" dxfId="4344" priority="1696">
      <formula>C22=$B$116</formula>
    </cfRule>
    <cfRule type="expression" dxfId="4343" priority="1697">
      <formula>C22=$B$113</formula>
    </cfRule>
    <cfRule type="expression" dxfId="4342" priority="1698">
      <formula>C22=$B$116</formula>
    </cfRule>
    <cfRule type="expression" dxfId="4341" priority="1699">
      <formula>C22=$B$146</formula>
    </cfRule>
    <cfRule type="expression" dxfId="4340" priority="1700">
      <formula>C22=$B$118</formula>
    </cfRule>
    <cfRule type="expression" dxfId="4339" priority="1701">
      <formula>C22=$B$146</formula>
    </cfRule>
    <cfRule type="expression" dxfId="4338" priority="1702">
      <formula>C22=$B$145</formula>
    </cfRule>
    <cfRule type="expression" dxfId="4337" priority="1703">
      <formula>C22=$B$144</formula>
    </cfRule>
    <cfRule type="expression" dxfId="4336" priority="1704">
      <formula>C22=$B$143</formula>
    </cfRule>
    <cfRule type="expression" dxfId="4335" priority="1705">
      <formula>C22=$B$142</formula>
    </cfRule>
    <cfRule type="expression" dxfId="4334" priority="1706">
      <formula>C22=$B$141</formula>
    </cfRule>
    <cfRule type="expression" dxfId="4333" priority="1707">
      <formula>C22=$B$140</formula>
    </cfRule>
    <cfRule type="expression" dxfId="4332" priority="1708">
      <formula>C22=$B$139</formula>
    </cfRule>
    <cfRule type="expression" dxfId="4331" priority="1709">
      <formula>C22=$B$135</formula>
    </cfRule>
    <cfRule type="expression" dxfId="4330" priority="1710">
      <formula>C22=$B$134</formula>
    </cfRule>
    <cfRule type="expression" dxfId="4329" priority="1711">
      <formula>C22=$B$133</formula>
    </cfRule>
    <cfRule type="expression" dxfId="4328" priority="1712">
      <formula>C22=$B$132</formula>
    </cfRule>
    <cfRule type="expression" dxfId="4327" priority="1713">
      <formula>C22=$B$131</formula>
    </cfRule>
    <cfRule type="expression" dxfId="4326" priority="1714" stopIfTrue="1">
      <formula>C22=$B$130</formula>
    </cfRule>
    <cfRule type="expression" dxfId="4325" priority="1715">
      <formula>C22=$B$129</formula>
    </cfRule>
    <cfRule type="expression" dxfId="4324" priority="1716" stopIfTrue="1">
      <formula>C22=$B$128</formula>
    </cfRule>
    <cfRule type="expression" dxfId="4323" priority="1717">
      <formula>C22=$B$127</formula>
    </cfRule>
    <cfRule type="expression" dxfId="4322" priority="1718">
      <formula>C22=$B$126</formula>
    </cfRule>
    <cfRule type="expression" dxfId="4321" priority="1719">
      <formula>C22=$B$125</formula>
    </cfRule>
    <cfRule type="expression" dxfId="4320" priority="1720" stopIfTrue="1">
      <formula>C22=$B$123</formula>
    </cfRule>
    <cfRule type="expression" dxfId="4319" priority="1721" stopIfTrue="1">
      <formula>C22=$B$122</formula>
    </cfRule>
    <cfRule type="expression" dxfId="4318" priority="1722" stopIfTrue="1">
      <formula>C22=$B$121</formula>
    </cfRule>
    <cfRule type="expression" dxfId="4317" priority="1723">
      <formula>C22=$B$120</formula>
    </cfRule>
    <cfRule type="expression" dxfId="4316" priority="1724">
      <formula>C22=$B$117</formula>
    </cfRule>
    <cfRule type="expression" dxfId="4315" priority="1725" stopIfTrue="1">
      <formula>C22=$B$115</formula>
    </cfRule>
    <cfRule type="expression" dxfId="4314" priority="1726">
      <formula>C22=$B$114</formula>
    </cfRule>
    <cfRule type="expression" dxfId="4313" priority="1727">
      <formula>C22=$B$113</formula>
    </cfRule>
    <cfRule type="expression" dxfId="4312" priority="1728">
      <formula>C22=$B$112</formula>
    </cfRule>
    <cfRule type="expression" dxfId="4311" priority="1729">
      <formula>C22=$B$110</formula>
    </cfRule>
    <cfRule type="expression" dxfId="4310" priority="1730" stopIfTrue="1">
      <formula>C22=$B$111</formula>
    </cfRule>
    <cfRule type="expression" dxfId="4309" priority="1731" stopIfTrue="1">
      <formula>C$5=TODAY()</formula>
    </cfRule>
  </conditionalFormatting>
  <conditionalFormatting sqref="H48">
    <cfRule type="expression" dxfId="4308" priority="1647">
      <formula>H48=$B$116</formula>
    </cfRule>
  </conditionalFormatting>
  <conditionalFormatting sqref="H48">
    <cfRule type="expression" dxfId="4307" priority="1648">
      <formula>H48=$B$111</formula>
    </cfRule>
  </conditionalFormatting>
  <conditionalFormatting sqref="H86">
    <cfRule type="expression" dxfId="4306" priority="1604">
      <formula>H86=$B$116</formula>
    </cfRule>
  </conditionalFormatting>
  <conditionalFormatting sqref="H86">
    <cfRule type="expression" dxfId="4305" priority="1605">
      <formula>H86=$B$111</formula>
    </cfRule>
  </conditionalFormatting>
  <conditionalFormatting sqref="H96">
    <cfRule type="expression" dxfId="4304" priority="1475">
      <formula>H96=$B$116</formula>
    </cfRule>
  </conditionalFormatting>
  <conditionalFormatting sqref="H96">
    <cfRule type="expression" dxfId="4303" priority="1476">
      <formula>H96=$B$111</formula>
    </cfRule>
  </conditionalFormatting>
  <conditionalFormatting sqref="C76 C90:G90 C22:G22 C30:G30 C98:I101 E76:I76 C6:I21 C23:I29 C50:I55 C91:I93 C88:I89 C31:I37 C38 G58:I58 G56 C106:I107 C60:I63 C66:I75 C77:I85">
    <cfRule type="expression" dxfId="4302" priority="57592">
      <formula>C6=$B$145</formula>
    </cfRule>
  </conditionalFormatting>
  <conditionalFormatting sqref="C47:I55 G94:I94 C96:I105 G58:I58 G56 C6:I45 C60:I93">
    <cfRule type="expression" dxfId="4301" priority="1103">
      <formula>C6=$B$137</formula>
    </cfRule>
    <cfRule type="expression" dxfId="4300" priority="1104">
      <formula>C6=$B$138</formula>
    </cfRule>
    <cfRule type="expression" dxfId="4299" priority="1105">
      <formula>C6=$B$136</formula>
    </cfRule>
  </conditionalFormatting>
  <conditionalFormatting sqref="H94">
    <cfRule type="expression" dxfId="4298" priority="1060">
      <formula>H94=$B$116</formula>
    </cfRule>
  </conditionalFormatting>
  <conditionalFormatting sqref="H94">
    <cfRule type="expression" dxfId="4297" priority="1061">
      <formula>H94=$B$111</formula>
    </cfRule>
  </conditionalFormatting>
  <conditionalFormatting sqref="C95:I95">
    <cfRule type="expression" dxfId="4296" priority="1057">
      <formula>C95=$B$137</formula>
    </cfRule>
    <cfRule type="expression" dxfId="4295" priority="1058">
      <formula>C95=$B$138</formula>
    </cfRule>
    <cfRule type="expression" dxfId="4294" priority="1059">
      <formula>C95=$B$136</formula>
    </cfRule>
  </conditionalFormatting>
  <conditionalFormatting sqref="C94:F94">
    <cfRule type="expression" dxfId="4293" priority="1016">
      <formula>C94=$B$145</formula>
    </cfRule>
  </conditionalFormatting>
  <conditionalFormatting sqref="C94:F94">
    <cfRule type="expression" dxfId="4292" priority="1013">
      <formula>C94=$B$137</formula>
    </cfRule>
    <cfRule type="expression" dxfId="4291" priority="1014">
      <formula>C94=$B$138</formula>
    </cfRule>
    <cfRule type="expression" dxfId="4290" priority="1015">
      <formula>C94=$B$136</formula>
    </cfRule>
  </conditionalFormatting>
  <conditionalFormatting sqref="J138">
    <cfRule type="cellIs" dxfId="4289" priority="1012" operator="notEqual">
      <formula>$K138</formula>
    </cfRule>
  </conditionalFormatting>
  <conditionalFormatting sqref="J136">
    <cfRule type="cellIs" dxfId="4288" priority="921" operator="notEqual">
      <formula>$K136</formula>
    </cfRule>
  </conditionalFormatting>
  <conditionalFormatting sqref="A6:A106">
    <cfRule type="cellIs" dxfId="4287" priority="919" operator="lessThan">
      <formula>5</formula>
    </cfRule>
    <cfRule type="cellIs" dxfId="4286" priority="920" operator="greaterThanOrEqual">
      <formula>5</formula>
    </cfRule>
  </conditionalFormatting>
  <conditionalFormatting sqref="J137">
    <cfRule type="cellIs" dxfId="4285" priority="918" operator="notEqual">
      <formula>$K137</formula>
    </cfRule>
  </conditionalFormatting>
  <conditionalFormatting sqref="C44:I44">
    <cfRule type="expression" dxfId="4284" priority="833">
      <formula>C44=$B$145</formula>
    </cfRule>
  </conditionalFormatting>
  <conditionalFormatting sqref="G46">
    <cfRule type="expression" dxfId="4283" priority="749">
      <formula>G46=$B$137</formula>
    </cfRule>
    <cfRule type="expression" dxfId="4282" priority="750">
      <formula>G46=$B$138</formula>
    </cfRule>
    <cfRule type="expression" dxfId="4281" priority="751">
      <formula>G46=$B$136</formula>
    </cfRule>
  </conditionalFormatting>
  <conditionalFormatting sqref="C46:F46">
    <cfRule type="expression" dxfId="4280" priority="746">
      <formula>C46=$B$145</formula>
    </cfRule>
  </conditionalFormatting>
  <conditionalFormatting sqref="C46:F46">
    <cfRule type="expression" dxfId="4279" priority="743">
      <formula>C46=$B$137</formula>
    </cfRule>
    <cfRule type="expression" dxfId="4278" priority="744">
      <formula>C46=$B$138</formula>
    </cfRule>
    <cfRule type="expression" dxfId="4277" priority="745">
      <formula>C46=$B$136</formula>
    </cfRule>
  </conditionalFormatting>
  <conditionalFormatting sqref="C56:I59">
    <cfRule type="expression" dxfId="4276" priority="659">
      <formula>C56=$B$137</formula>
    </cfRule>
    <cfRule type="expression" dxfId="4275" priority="660">
      <formula>C56=$B$138</formula>
    </cfRule>
    <cfRule type="expression" dxfId="4274" priority="661">
      <formula>C56=$B$136</formula>
    </cfRule>
  </conditionalFormatting>
  <conditionalFormatting sqref="H22:I22">
    <cfRule type="expression" dxfId="4273" priority="390">
      <formula>H22=$B$145</formula>
    </cfRule>
  </conditionalFormatting>
  <conditionalFormatting sqref="H30:I30">
    <cfRule type="expression" dxfId="4272" priority="349">
      <formula>H30=$B$145</formula>
    </cfRule>
  </conditionalFormatting>
  <conditionalFormatting sqref="H42:I42">
    <cfRule type="expression" dxfId="4271" priority="308">
      <formula>H42=$B$145</formula>
    </cfRule>
  </conditionalFormatting>
  <conditionalFormatting sqref="G40">
    <cfRule type="expression" dxfId="4270" priority="307">
      <formula>G40=$B$145</formula>
    </cfRule>
  </conditionalFormatting>
  <conditionalFormatting sqref="E58:F58">
    <cfRule type="expression" dxfId="4269" priority="306">
      <formula>E58=$B$145</formula>
    </cfRule>
  </conditionalFormatting>
  <conditionalFormatting sqref="E58:F58">
    <cfRule type="expression" dxfId="4268" priority="303">
      <formula>E58=$B$137</formula>
    </cfRule>
    <cfRule type="expression" dxfId="4267" priority="304">
      <formula>E58=$B$138</formula>
    </cfRule>
    <cfRule type="expression" dxfId="4266" priority="305">
      <formula>E58=$B$136</formula>
    </cfRule>
  </conditionalFormatting>
  <conditionalFormatting sqref="H64">
    <cfRule type="expression" dxfId="4265" priority="262">
      <formula>H64=$B$145</formula>
    </cfRule>
  </conditionalFormatting>
  <conditionalFormatting sqref="G94">
    <cfRule type="expression" dxfId="4264" priority="222">
      <formula>G94=$B$130</formula>
    </cfRule>
    <cfRule type="expression" dxfId="4263" priority="223">
      <formula>G94=$B$128</formula>
    </cfRule>
    <cfRule type="expression" dxfId="4262" priority="224">
      <formula>G94=$B$124</formula>
    </cfRule>
    <cfRule type="expression" dxfId="4261" priority="225">
      <formula>G94=$B$119</formula>
    </cfRule>
    <cfRule type="expression" dxfId="4260" priority="226">
      <formula>G94=$B$116</formula>
    </cfRule>
    <cfRule type="expression" dxfId="4259" priority="227">
      <formula>G94=$B$113</formula>
    </cfRule>
    <cfRule type="expression" dxfId="4258" priority="228">
      <formula>G94=$B$116</formula>
    </cfRule>
    <cfRule type="expression" dxfId="4257" priority="229">
      <formula>G94=$B$146</formula>
    </cfRule>
    <cfRule type="expression" dxfId="4256" priority="230">
      <formula>G94=$B$118</formula>
    </cfRule>
    <cfRule type="expression" dxfId="4255" priority="231">
      <formula>G94=$B$146</formula>
    </cfRule>
    <cfRule type="expression" dxfId="4254" priority="232">
      <formula>G94=$B$145</formula>
    </cfRule>
    <cfRule type="expression" dxfId="4253" priority="233">
      <formula>G94=$B$144</formula>
    </cfRule>
    <cfRule type="expression" dxfId="4252" priority="234">
      <formula>G94=$B$143</formula>
    </cfRule>
    <cfRule type="expression" dxfId="4251" priority="235">
      <formula>G94=$B$142</formula>
    </cfRule>
    <cfRule type="expression" dxfId="4250" priority="236">
      <formula>G94=$B$141</formula>
    </cfRule>
    <cfRule type="expression" dxfId="4249" priority="237">
      <formula>G94=$B$140</formula>
    </cfRule>
    <cfRule type="expression" dxfId="4248" priority="238">
      <formula>G94=$B$139</formula>
    </cfRule>
    <cfRule type="expression" dxfId="4247" priority="239">
      <formula>G94=$B$135</formula>
    </cfRule>
    <cfRule type="expression" dxfId="4246" priority="240">
      <formula>G94=$B$134</formula>
    </cfRule>
    <cfRule type="expression" dxfId="4245" priority="241">
      <formula>G94=$B$133</formula>
    </cfRule>
    <cfRule type="expression" dxfId="4244" priority="242">
      <formula>G94=$B$132</formula>
    </cfRule>
    <cfRule type="expression" dxfId="4243" priority="243">
      <formula>G94=$B$131</formula>
    </cfRule>
    <cfRule type="expression" dxfId="4242" priority="244" stopIfTrue="1">
      <formula>G94=$B$130</formula>
    </cfRule>
    <cfRule type="expression" dxfId="4241" priority="245">
      <formula>G94=$B$129</formula>
    </cfRule>
    <cfRule type="expression" dxfId="4240" priority="246" stopIfTrue="1">
      <formula>G94=$B$128</formula>
    </cfRule>
    <cfRule type="expression" dxfId="4239" priority="247">
      <formula>G94=$B$127</formula>
    </cfRule>
    <cfRule type="expression" dxfId="4238" priority="248">
      <formula>G94=$B$126</formula>
    </cfRule>
    <cfRule type="expression" dxfId="4237" priority="249">
      <formula>G94=$B$125</formula>
    </cfRule>
    <cfRule type="expression" dxfId="4236" priority="250" stopIfTrue="1">
      <formula>G94=$B$123</formula>
    </cfRule>
    <cfRule type="expression" dxfId="4235" priority="251" stopIfTrue="1">
      <formula>G94=$B$122</formula>
    </cfRule>
    <cfRule type="expression" dxfId="4234" priority="252" stopIfTrue="1">
      <formula>G94=$B$121</formula>
    </cfRule>
    <cfRule type="expression" dxfId="4233" priority="253">
      <formula>G94=$B$120</formula>
    </cfRule>
    <cfRule type="expression" dxfId="4232" priority="254">
      <formula>G94=$B$117</formula>
    </cfRule>
    <cfRule type="expression" dxfId="4231" priority="255" stopIfTrue="1">
      <formula>G94=$B$115</formula>
    </cfRule>
    <cfRule type="expression" dxfId="4230" priority="256">
      <formula>G94=$B$114</formula>
    </cfRule>
    <cfRule type="expression" dxfId="4229" priority="257">
      <formula>G94=$B$113</formula>
    </cfRule>
    <cfRule type="expression" dxfId="4228" priority="258">
      <formula>G94=$B$112</formula>
    </cfRule>
    <cfRule type="expression" dxfId="4227" priority="259">
      <formula>G94=$B$110</formula>
    </cfRule>
    <cfRule type="expression" dxfId="4226" priority="260" stopIfTrue="1">
      <formula>G94=$B$111</formula>
    </cfRule>
    <cfRule type="expression" dxfId="4225" priority="261" stopIfTrue="1">
      <formula>G$5=TODAY()</formula>
    </cfRule>
  </conditionalFormatting>
  <conditionalFormatting sqref="F94:G94">
    <cfRule type="expression" dxfId="4224" priority="221">
      <formula>F94=$B$145</formula>
    </cfRule>
  </conditionalFormatting>
  <conditionalFormatting sqref="F94">
    <cfRule type="expression" dxfId="4223" priority="218">
      <formula>F94=$B$137</formula>
    </cfRule>
    <cfRule type="expression" dxfId="4222" priority="219">
      <formula>F94=$B$138</formula>
    </cfRule>
    <cfRule type="expression" dxfId="4221" priority="220">
      <formula>F94=$B$136</formula>
    </cfRule>
  </conditionalFormatting>
  <conditionalFormatting sqref="G104">
    <cfRule type="expression" dxfId="4220" priority="178">
      <formula>G104=$B$130</formula>
    </cfRule>
    <cfRule type="expression" dxfId="4219" priority="179">
      <formula>G104=$B$128</formula>
    </cfRule>
    <cfRule type="expression" dxfId="4218" priority="180">
      <formula>G104=$B$124</formula>
    </cfRule>
    <cfRule type="expression" dxfId="4217" priority="181">
      <formula>G104=$B$119</formula>
    </cfRule>
    <cfRule type="expression" dxfId="4216" priority="182">
      <formula>G104=$B$116</formula>
    </cfRule>
    <cfRule type="expression" dxfId="4215" priority="183">
      <formula>G104=$B$113</formula>
    </cfRule>
    <cfRule type="expression" dxfId="4214" priority="184">
      <formula>G104=$B$116</formula>
    </cfRule>
    <cfRule type="expression" dxfId="4213" priority="185">
      <formula>G104=$B$146</formula>
    </cfRule>
    <cfRule type="expression" dxfId="4212" priority="186">
      <formula>G104=$B$118</formula>
    </cfRule>
    <cfRule type="expression" dxfId="4211" priority="187">
      <formula>G104=$B$146</formula>
    </cfRule>
    <cfRule type="expression" dxfId="4210" priority="188">
      <formula>G104=$B$145</formula>
    </cfRule>
    <cfRule type="expression" dxfId="4209" priority="189">
      <formula>G104=$B$144</formula>
    </cfRule>
    <cfRule type="expression" dxfId="4208" priority="190">
      <formula>G104=$B$143</formula>
    </cfRule>
    <cfRule type="expression" dxfId="4207" priority="191">
      <formula>G104=$B$142</formula>
    </cfRule>
    <cfRule type="expression" dxfId="4206" priority="192">
      <formula>G104=$B$141</formula>
    </cfRule>
    <cfRule type="expression" dxfId="4205" priority="193">
      <formula>G104=$B$140</formula>
    </cfRule>
    <cfRule type="expression" dxfId="4204" priority="194">
      <formula>G104=$B$139</formula>
    </cfRule>
    <cfRule type="expression" dxfId="4203" priority="195">
      <formula>G104=$B$135</formula>
    </cfRule>
    <cfRule type="expression" dxfId="4202" priority="196">
      <formula>G104=$B$134</formula>
    </cfRule>
    <cfRule type="expression" dxfId="4201" priority="197">
      <formula>G104=$B$133</formula>
    </cfRule>
    <cfRule type="expression" dxfId="4200" priority="198">
      <formula>G104=$B$132</formula>
    </cfRule>
    <cfRule type="expression" dxfId="4199" priority="199">
      <formula>G104=$B$131</formula>
    </cfRule>
    <cfRule type="expression" dxfId="4198" priority="200" stopIfTrue="1">
      <formula>G104=$B$130</formula>
    </cfRule>
    <cfRule type="expression" dxfId="4197" priority="201">
      <formula>G104=$B$129</formula>
    </cfRule>
    <cfRule type="expression" dxfId="4196" priority="202" stopIfTrue="1">
      <formula>G104=$B$128</formula>
    </cfRule>
    <cfRule type="expression" dxfId="4195" priority="203">
      <formula>G104=$B$127</formula>
    </cfRule>
    <cfRule type="expression" dxfId="4194" priority="204">
      <formula>G104=$B$126</formula>
    </cfRule>
    <cfRule type="expression" dxfId="4193" priority="205">
      <formula>G104=$B$125</formula>
    </cfRule>
    <cfRule type="expression" dxfId="4192" priority="206" stopIfTrue="1">
      <formula>G104=$B$123</formula>
    </cfRule>
    <cfRule type="expression" dxfId="4191" priority="207" stopIfTrue="1">
      <formula>G104=$B$122</formula>
    </cfRule>
    <cfRule type="expression" dxfId="4190" priority="208" stopIfTrue="1">
      <formula>G104=$B$121</formula>
    </cfRule>
    <cfRule type="expression" dxfId="4189" priority="209">
      <formula>G104=$B$120</formula>
    </cfRule>
    <cfRule type="expression" dxfId="4188" priority="210">
      <formula>G104=$B$117</formula>
    </cfRule>
    <cfRule type="expression" dxfId="4187" priority="211" stopIfTrue="1">
      <formula>G104=$B$115</formula>
    </cfRule>
    <cfRule type="expression" dxfId="4186" priority="212">
      <formula>G104=$B$114</formula>
    </cfRule>
    <cfRule type="expression" dxfId="4185" priority="213">
      <formula>G104=$B$113</formula>
    </cfRule>
    <cfRule type="expression" dxfId="4184" priority="214">
      <formula>G104=$B$112</formula>
    </cfRule>
    <cfRule type="expression" dxfId="4183" priority="215">
      <formula>G104=$B$110</formula>
    </cfRule>
    <cfRule type="expression" dxfId="4182" priority="216" stopIfTrue="1">
      <formula>G104=$B$111</formula>
    </cfRule>
    <cfRule type="expression" dxfId="4181" priority="217" stopIfTrue="1">
      <formula>G$5=TODAY()</formula>
    </cfRule>
  </conditionalFormatting>
  <conditionalFormatting sqref="G104">
    <cfRule type="expression" dxfId="4180" priority="177">
      <formula>G104=$B$145</formula>
    </cfRule>
  </conditionalFormatting>
  <conditionalFormatting sqref="H86:I86">
    <cfRule type="expression" dxfId="4179" priority="136">
      <formula>H86=$B$145</formula>
    </cfRule>
  </conditionalFormatting>
  <conditionalFormatting sqref="H40:I40">
    <cfRule type="expression" dxfId="4178" priority="135">
      <formula>H40=$B$145</formula>
    </cfRule>
  </conditionalFormatting>
  <conditionalFormatting sqref="H46:I46">
    <cfRule type="expression" dxfId="4177" priority="94">
      <formula>H46=$B$145</formula>
    </cfRule>
  </conditionalFormatting>
  <conditionalFormatting sqref="H46:I46">
    <cfRule type="expression" dxfId="4176" priority="91">
      <formula>H46=$B$137</formula>
    </cfRule>
    <cfRule type="expression" dxfId="4175" priority="92">
      <formula>H46=$B$138</formula>
    </cfRule>
    <cfRule type="expression" dxfId="4174" priority="93">
      <formula>H46=$B$136</formula>
    </cfRule>
  </conditionalFormatting>
  <conditionalFormatting sqref="F44:G44">
    <cfRule type="expression" dxfId="4173" priority="90">
      <formula>F44=$B$145</formula>
    </cfRule>
  </conditionalFormatting>
  <conditionalFormatting sqref="D76">
    <cfRule type="expression" dxfId="4172" priority="50">
      <formula>D76=$B$130</formula>
    </cfRule>
    <cfRule type="expression" dxfId="4171" priority="51">
      <formula>D76=$B$128</formula>
    </cfRule>
    <cfRule type="expression" dxfId="4170" priority="52">
      <formula>D76=$B$124</formula>
    </cfRule>
    <cfRule type="expression" dxfId="4169" priority="53">
      <formula>D76=$B$119</formula>
    </cfRule>
    <cfRule type="expression" dxfId="4168" priority="54">
      <formula>D76=$B$116</formula>
    </cfRule>
    <cfRule type="expression" dxfId="4167" priority="55">
      <formula>D76=$B$113</formula>
    </cfRule>
    <cfRule type="expression" dxfId="4166" priority="56">
      <formula>D76=$B$116</formula>
    </cfRule>
    <cfRule type="expression" dxfId="4165" priority="57">
      <formula>D76=$B$146</formula>
    </cfRule>
    <cfRule type="expression" dxfId="4164" priority="58">
      <formula>D76=$B$118</formula>
    </cfRule>
    <cfRule type="expression" dxfId="4163" priority="59">
      <formula>D76=$B$146</formula>
    </cfRule>
    <cfRule type="expression" dxfId="4162" priority="60">
      <formula>D76=$B$145</formula>
    </cfRule>
    <cfRule type="expression" dxfId="4161" priority="61">
      <formula>D76=$B$144</formula>
    </cfRule>
    <cfRule type="expression" dxfId="4160" priority="62">
      <formula>D76=$B$143</formula>
    </cfRule>
    <cfRule type="expression" dxfId="4159" priority="63">
      <formula>D76=$B$142</formula>
    </cfRule>
    <cfRule type="expression" dxfId="4158" priority="64">
      <formula>D76=$B$141</formula>
    </cfRule>
    <cfRule type="expression" dxfId="4157" priority="65">
      <formula>D76=$B$140</formula>
    </cfRule>
    <cfRule type="expression" dxfId="4156" priority="66">
      <formula>D76=$B$139</formula>
    </cfRule>
    <cfRule type="expression" dxfId="4155" priority="67">
      <formula>D76=$B$135</formula>
    </cfRule>
    <cfRule type="expression" dxfId="4154" priority="68">
      <formula>D76=$B$134</formula>
    </cfRule>
    <cfRule type="expression" dxfId="4153" priority="69">
      <formula>D76=$B$133</formula>
    </cfRule>
    <cfRule type="expression" dxfId="4152" priority="70">
      <formula>D76=$B$132</formula>
    </cfRule>
    <cfRule type="expression" dxfId="4151" priority="71">
      <formula>D76=$B$131</formula>
    </cfRule>
    <cfRule type="expression" dxfId="4150" priority="72" stopIfTrue="1">
      <formula>D76=$B$130</formula>
    </cfRule>
    <cfRule type="expression" dxfId="4149" priority="73">
      <formula>D76=$B$129</formula>
    </cfRule>
    <cfRule type="expression" dxfId="4148" priority="74" stopIfTrue="1">
      <formula>D76=$B$128</formula>
    </cfRule>
    <cfRule type="expression" dxfId="4147" priority="75">
      <formula>D76=$B$127</formula>
    </cfRule>
    <cfRule type="expression" dxfId="4146" priority="76">
      <formula>D76=$B$126</formula>
    </cfRule>
    <cfRule type="expression" dxfId="4145" priority="77">
      <formula>D76=$B$125</formula>
    </cfRule>
    <cfRule type="expression" dxfId="4144" priority="78" stopIfTrue="1">
      <formula>D76=$B$123</formula>
    </cfRule>
    <cfRule type="expression" dxfId="4143" priority="79" stopIfTrue="1">
      <formula>D76=$B$122</formula>
    </cfRule>
    <cfRule type="expression" dxfId="4142" priority="80" stopIfTrue="1">
      <formula>D76=$B$121</formula>
    </cfRule>
    <cfRule type="expression" dxfId="4141" priority="81">
      <formula>D76=$B$120</formula>
    </cfRule>
    <cfRule type="expression" dxfId="4140" priority="82">
      <formula>D76=$B$117</formula>
    </cfRule>
    <cfRule type="expression" dxfId="4139" priority="83" stopIfTrue="1">
      <formula>D76=$B$115</formula>
    </cfRule>
    <cfRule type="expression" dxfId="4138" priority="84">
      <formula>D76=$B$114</formula>
    </cfRule>
    <cfRule type="expression" dxfId="4137" priority="85">
      <formula>D76=$B$113</formula>
    </cfRule>
    <cfRule type="expression" dxfId="4136" priority="86">
      <formula>D76=$B$112</formula>
    </cfRule>
    <cfRule type="expression" dxfId="4135" priority="87">
      <formula>D76=$B$110</formula>
    </cfRule>
    <cfRule type="expression" dxfId="4134" priority="88" stopIfTrue="1">
      <formula>D76=$B$111</formula>
    </cfRule>
    <cfRule type="expression" dxfId="4133" priority="89" stopIfTrue="1">
      <formula>D$5=TODAY()</formula>
    </cfRule>
  </conditionalFormatting>
  <conditionalFormatting sqref="D76">
    <cfRule type="expression" dxfId="4132" priority="49">
      <formula>D76=$B$145</formula>
    </cfRule>
  </conditionalFormatting>
  <conditionalFormatting sqref="E106:I106">
    <cfRule type="expression" dxfId="4131" priority="46">
      <formula>E106=$B$137</formula>
    </cfRule>
    <cfRule type="expression" dxfId="4130" priority="47">
      <formula>E106=$B$138</formula>
    </cfRule>
    <cfRule type="expression" dxfId="4129" priority="48">
      <formula>E106=$B$136</formula>
    </cfRule>
  </conditionalFormatting>
  <conditionalFormatting sqref="I66">
    <cfRule type="expression" dxfId="4128" priority="5">
      <formula>I66=$B$145</formula>
    </cfRule>
    <cfRule type="expression" dxfId="4127" priority="6">
      <formula>I66=$B$130</formula>
    </cfRule>
    <cfRule type="expression" dxfId="4126" priority="7">
      <formula>I66=$B$128</formula>
    </cfRule>
    <cfRule type="expression" dxfId="4125" priority="8">
      <formula>I66=$B$124</formula>
    </cfRule>
    <cfRule type="expression" dxfId="4124" priority="9">
      <formula>I66=$B$119</formula>
    </cfRule>
    <cfRule type="expression" dxfId="4123" priority="10">
      <formula>I66=$B$116</formula>
    </cfRule>
    <cfRule type="expression" dxfId="4122" priority="11">
      <formula>I66=$B$113</formula>
    </cfRule>
    <cfRule type="expression" dxfId="4121" priority="12">
      <formula>I66=$B$116</formula>
    </cfRule>
    <cfRule type="expression" dxfId="4120" priority="13">
      <formula>I66=$B$146</formula>
    </cfRule>
    <cfRule type="expression" dxfId="4119" priority="14">
      <formula>I66=$B$118</formula>
    </cfRule>
    <cfRule type="expression" dxfId="4118" priority="15">
      <formula>I66=$B$146</formula>
    </cfRule>
    <cfRule type="expression" dxfId="4117" priority="16">
      <formula>I66=$B$145</formula>
    </cfRule>
    <cfRule type="expression" dxfId="4116" priority="17">
      <formula>I66=$B$144</formula>
    </cfRule>
    <cfRule type="expression" dxfId="4115" priority="18">
      <formula>I66=$B$143</formula>
    </cfRule>
    <cfRule type="expression" dxfId="4114" priority="19">
      <formula>I66=$B$142</formula>
    </cfRule>
    <cfRule type="expression" dxfId="4113" priority="20">
      <formula>I66=$B$141</formula>
    </cfRule>
    <cfRule type="expression" dxfId="4112" priority="21">
      <formula>I66=$B$140</formula>
    </cfRule>
    <cfRule type="expression" dxfId="4111" priority="22">
      <formula>I66=$B$139</formula>
    </cfRule>
    <cfRule type="expression" dxfId="4110" priority="23">
      <formula>I66=$B$135</formula>
    </cfRule>
    <cfRule type="expression" dxfId="4109" priority="24">
      <formula>I66=$B$134</formula>
    </cfRule>
    <cfRule type="expression" dxfId="4108" priority="25">
      <formula>I66=$B$133</formula>
    </cfRule>
    <cfRule type="expression" dxfId="4107" priority="26">
      <formula>I66=$B$132</formula>
    </cfRule>
    <cfRule type="expression" dxfId="4106" priority="27">
      <formula>I66=$B$131</formula>
    </cfRule>
    <cfRule type="expression" dxfId="4105" priority="28" stopIfTrue="1">
      <formula>I66=$B$130</formula>
    </cfRule>
    <cfRule type="expression" dxfId="4104" priority="29">
      <formula>I66=$B$129</formula>
    </cfRule>
    <cfRule type="expression" dxfId="4103" priority="30" stopIfTrue="1">
      <formula>I66=$B$128</formula>
    </cfRule>
    <cfRule type="expression" dxfId="4102" priority="31">
      <formula>I66=$B$127</formula>
    </cfRule>
    <cfRule type="expression" dxfId="4101" priority="32">
      <formula>I66=$B$126</formula>
    </cfRule>
    <cfRule type="expression" dxfId="4100" priority="33">
      <formula>I66=$B$125</formula>
    </cfRule>
    <cfRule type="expression" dxfId="4099" priority="34" stopIfTrue="1">
      <formula>I66=$B$123</formula>
    </cfRule>
    <cfRule type="expression" dxfId="4098" priority="35" stopIfTrue="1">
      <formula>I66=$B$122</formula>
    </cfRule>
    <cfRule type="expression" dxfId="4097" priority="36" stopIfTrue="1">
      <formula>I66=$B$121</formula>
    </cfRule>
    <cfRule type="expression" dxfId="4096" priority="37">
      <formula>I66=$B$120</formula>
    </cfRule>
    <cfRule type="expression" dxfId="4095" priority="38">
      <formula>I66=$B$117</formula>
    </cfRule>
    <cfRule type="expression" dxfId="4094" priority="39" stopIfTrue="1">
      <formula>I66=$B$115</formula>
    </cfRule>
    <cfRule type="expression" dxfId="4093" priority="40">
      <formula>I66=$B$114</formula>
    </cfRule>
    <cfRule type="expression" dxfId="4092" priority="41">
      <formula>I66=$B$113</formula>
    </cfRule>
    <cfRule type="expression" dxfId="4091" priority="42">
      <formula>I66=$B$112</formula>
    </cfRule>
    <cfRule type="expression" dxfId="4090" priority="43">
      <formula>I66=$B$110</formula>
    </cfRule>
    <cfRule type="expression" dxfId="4089" priority="44" stopIfTrue="1">
      <formula>I66=$B$111</formula>
    </cfRule>
    <cfRule type="expression" dxfId="4088" priority="45" stopIfTrue="1">
      <formula>I$5=TODAY()</formula>
    </cfRule>
  </conditionalFormatting>
  <conditionalFormatting sqref="G44">
    <cfRule type="expression" dxfId="4087" priority="4">
      <formula>G44=$B$145</formula>
    </cfRule>
  </conditionalFormatting>
  <conditionalFormatting sqref="G44:H44">
    <cfRule type="expression" dxfId="4086" priority="1">
      <formula>G44=$B$137</formula>
    </cfRule>
    <cfRule type="expression" dxfId="4085" priority="2">
      <formula>G44=$B$138</formula>
    </cfRule>
    <cfRule type="expression" dxfId="4084" priority="3">
      <formula>G44=$B$136</formula>
    </cfRule>
  </conditionalFormatting>
  <dataValidations count="1">
    <dataValidation type="list" allowBlank="1" showInputMessage="1" showErrorMessage="1" sqref="C56:I56 C74:I74 C20:I20 C64:I64 C66:I66 C86:I86 C44:I44 C102:I102 C50:I50 C34:I34 C18:I18 C38:I38 C58:I58 C88:I88 C54:I54 C62:I62 C98:I98 C6:I6 C30:I30 C10:I10 C24:I24 C42:I42 C14:I14 C70:I70 C40:I40 C36:I36 C8:I8 C52:I52 C106:I106 C46:I46 C22:I22 C104:I104 C92:I92 C78:I78 C90:I90 C12:I12 C16:I16 C28:I28 C84:I84 C32:I32 C26:I26 C100:I100 C60:I60 C76:I76 C72:I72 C48:I48 C68:I68 C96:I96 C94:I94 C82:I82 C80:I80" xr:uid="{00000000-0002-0000-04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4"/>
  <dimension ref="A1:L145"/>
  <sheetViews>
    <sheetView zoomScale="140" zoomScaleNormal="140" zoomScalePageLayoutView="125" workbookViewId="0">
      <pane ySplit="5" topLeftCell="A49" activePane="bottomLeft" state="frozen"/>
      <selection pane="bottomLeft" activeCell="E18" sqref="E18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COUNTIF(C6:C105,$B$125)+COUNTIF(C6:C105,$B$126)+COUNTIF(C6:C105,$B$127)+COUNTIF(C6:C105,$B$128)</f>
        <v>8</v>
      </c>
      <c r="D1" s="22">
        <f t="shared" si="0"/>
        <v>8</v>
      </c>
      <c r="E1" s="22">
        <f t="shared" si="0"/>
        <v>7</v>
      </c>
      <c r="F1" s="22">
        <f t="shared" si="0"/>
        <v>8</v>
      </c>
      <c r="G1" s="22">
        <f t="shared" si="0"/>
        <v>8</v>
      </c>
      <c r="H1" s="22">
        <f t="shared" si="0"/>
        <v>0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43136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162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43136</v>
      </c>
      <c r="D5" s="33">
        <f t="shared" ref="D5:I5" si="1">C5+1</f>
        <v>43137</v>
      </c>
      <c r="E5" s="33">
        <f t="shared" si="1"/>
        <v>43138</v>
      </c>
      <c r="F5" s="33">
        <f t="shared" si="1"/>
        <v>43139</v>
      </c>
      <c r="G5" s="33">
        <f t="shared" si="1"/>
        <v>43140</v>
      </c>
      <c r="H5" s="33">
        <f t="shared" si="1"/>
        <v>43141</v>
      </c>
      <c r="I5" s="33">
        <f t="shared" si="1"/>
        <v>43142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7-(COUNTIF(C6:I6,"")+COUNTIF(C6:I6,$B$142))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IF(ISBLANK(C6),"",VLOOKUP(C6,$B$108:$L$144,11,0))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7-(COUNTIF(C8:I8,"")+COUNTIF(C8:I8,$B$142))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IF(ISBLANK(C8),"",VLOOKUP(C8,$B$108:$L$144,11,0))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7-(COUNTIF(C10:I10,"")+COUNTIF(C10:I10,$B$142))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IF(ISBLANK(C10),"",VLOOKUP(C10,$B$108:$L$144,11,0))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7-(COUNTIF(C12:I12,"")+COUNTIF(C12:I12,$B$142))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IF(ISBLANK(C12),"",VLOOKUP(C12,$B$108:$L$144,11,0))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7-(COUNTIF(C14:I14,"")+COUNTIF(C14:I14,$B$142))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IF(ISBLANK(C14),"",VLOOKUP(C14,$B$108:$L$144,11,0))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7-(COUNTIF(C16:I16,"")+COUNTIF(C16:I16,$B$142))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IF(ISBLANK(C16),"",VLOOKUP(C16,$B$108:$L$144,11,0))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7-(COUNTIF(C18:I18,"")+COUNTIF(C18:I18,$B$142))</f>
        <v>5</v>
      </c>
      <c r="B18" s="186" t="s">
        <v>7</v>
      </c>
      <c r="C18" s="38" t="s">
        <v>89</v>
      </c>
      <c r="D18" s="38" t="s">
        <v>89</v>
      </c>
      <c r="E18" s="38" t="s">
        <v>99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IF(ISBLANK(C18),"",VLOOKUP(C18,$B$108:$L$144,11,0))</f>
        <v>18H00-22H00</v>
      </c>
      <c r="D19" s="38" t="str">
        <f t="shared" si="8"/>
        <v>18H00-22H00</v>
      </c>
      <c r="E19" s="38">
        <f t="shared" si="8"/>
        <v>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7-(COUNTIF(C20:I20,"")+COUNTIF(C20:I20,$B$142))</f>
        <v>4</v>
      </c>
      <c r="B20" s="178" t="s">
        <v>111</v>
      </c>
      <c r="C20" s="36" t="s">
        <v>152</v>
      </c>
      <c r="D20" s="36"/>
      <c r="E20" s="36" t="s">
        <v>79</v>
      </c>
      <c r="F20" s="36"/>
      <c r="G20" s="36" t="s">
        <v>80</v>
      </c>
      <c r="H20" s="36" t="s">
        <v>84</v>
      </c>
      <c r="I20" s="36"/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IF(ISBLANK(C20),"",VLOOKUP(C20,$B$108:$L$144,11,0))</f>
        <v>08H30-17H00</v>
      </c>
      <c r="D21" s="37" t="str">
        <f t="shared" si="9"/>
        <v/>
      </c>
      <c r="E21" s="37" t="str">
        <f t="shared" si="9"/>
        <v>09H00-17H30</v>
      </c>
      <c r="F21" s="37" t="str">
        <f t="shared" si="9"/>
        <v/>
      </c>
      <c r="G21" s="37" t="str">
        <f t="shared" si="9"/>
        <v>06H00-14H30</v>
      </c>
      <c r="H21" s="37" t="str">
        <f t="shared" si="9"/>
        <v>13H30-22H00</v>
      </c>
      <c r="I21" s="37" t="str">
        <f t="shared" si="9"/>
        <v/>
      </c>
      <c r="J21" s="181"/>
      <c r="K21" s="139"/>
      <c r="L21" s="40"/>
    </row>
    <row r="22" spans="1:12" ht="13" customHeight="1" thickTop="1" x14ac:dyDescent="0.2">
      <c r="A22" s="21">
        <f>7-(COUNTIF(C22:I22,"")+COUNTIF(C22:I22,$B$142))</f>
        <v>5</v>
      </c>
      <c r="B22" s="193" t="s">
        <v>3</v>
      </c>
      <c r="C22" s="36"/>
      <c r="D22" s="36" t="s">
        <v>82</v>
      </c>
      <c r="E22" s="36" t="s">
        <v>91</v>
      </c>
      <c r="F22" s="36" t="s">
        <v>122</v>
      </c>
      <c r="G22" s="36" t="s">
        <v>149</v>
      </c>
      <c r="H22" s="36" t="s">
        <v>85</v>
      </c>
      <c r="I22" s="36"/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IF(ISBLANK(C22),"",VLOOKUP(C22,$B$108:$L$144,11,0))</f>
        <v/>
      </c>
      <c r="D23" s="37" t="str">
        <f t="shared" si="10"/>
        <v>06H00-14H30</v>
      </c>
      <c r="E23" s="37" t="str">
        <f t="shared" si="10"/>
        <v>06H00-14H30</v>
      </c>
      <c r="F23" s="37" t="str">
        <f t="shared" si="10"/>
        <v>06H00-14H30</v>
      </c>
      <c r="G23" s="37" t="str">
        <f t="shared" si="10"/>
        <v>09H00-17H30</v>
      </c>
      <c r="H23" s="37" t="str">
        <f t="shared" si="10"/>
        <v>14H30-23H00</v>
      </c>
      <c r="I23" s="37" t="str">
        <f t="shared" si="10"/>
        <v/>
      </c>
      <c r="J23" s="181"/>
      <c r="K23" s="139"/>
    </row>
    <row r="24" spans="1:12" s="39" customFormat="1" ht="13" customHeight="1" thickTop="1" x14ac:dyDescent="0.2">
      <c r="A24" s="21">
        <f>7-(COUNTIF(C24:I24,"")+COUNTIF(C24:I24,$B$142))</f>
        <v>4</v>
      </c>
      <c r="B24" s="195" t="s">
        <v>8</v>
      </c>
      <c r="C24" s="36" t="s">
        <v>95</v>
      </c>
      <c r="D24" s="36"/>
      <c r="E24" s="36" t="s">
        <v>80</v>
      </c>
      <c r="F24" s="36" t="s">
        <v>82</v>
      </c>
      <c r="G24" s="36" t="s">
        <v>123</v>
      </c>
      <c r="H24" s="36"/>
      <c r="I24" s="36" t="s">
        <v>31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>
        <f t="shared" ref="C25:I25" si="11">IF(ISBLANK(C24),"",VLOOKUP(C24,$B$108:$L$144,11,0))</f>
        <v>0</v>
      </c>
      <c r="D25" s="37" t="str">
        <f t="shared" si="11"/>
        <v/>
      </c>
      <c r="E25" s="37" t="str">
        <f t="shared" si="11"/>
        <v>06H00-14H30</v>
      </c>
      <c r="F25" s="37" t="str">
        <f t="shared" si="11"/>
        <v>06H00-14H30</v>
      </c>
      <c r="G25" s="37" t="str">
        <f t="shared" si="11"/>
        <v>14H30-23H00</v>
      </c>
      <c r="H25" s="37" t="str">
        <f t="shared" si="11"/>
        <v/>
      </c>
      <c r="I25" s="37" t="str">
        <f t="shared" si="11"/>
        <v>06H00-14H30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7-(COUNTIF(C26:I26,"")+COUNTIF(C26:I26,$B$142))</f>
        <v>5</v>
      </c>
      <c r="B26" s="178" t="s">
        <v>9</v>
      </c>
      <c r="C26" s="36" t="s">
        <v>137</v>
      </c>
      <c r="D26" s="36" t="s">
        <v>90</v>
      </c>
      <c r="E26" s="36"/>
      <c r="F26" s="36" t="s">
        <v>139</v>
      </c>
      <c r="G26" s="36" t="s">
        <v>79</v>
      </c>
      <c r="H26" s="36"/>
      <c r="I26" s="36" t="s">
        <v>80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IF(ISBLANK(C26),"",VLOOKUP(C26,$B$108:$L$144,11,0))</f>
        <v>06H00-14H30</v>
      </c>
      <c r="D27" s="37" t="str">
        <f t="shared" si="12"/>
        <v>06H00-14H30</v>
      </c>
      <c r="E27" s="37" t="str">
        <f t="shared" si="12"/>
        <v/>
      </c>
      <c r="F27" s="37" t="str">
        <f t="shared" si="12"/>
        <v>14H00-22H30</v>
      </c>
      <c r="G27" s="37" t="str">
        <f t="shared" si="12"/>
        <v>09H00-17H30</v>
      </c>
      <c r="H27" s="37" t="str">
        <f t="shared" si="12"/>
        <v/>
      </c>
      <c r="I27" s="37" t="str">
        <f t="shared" si="12"/>
        <v>06H00-14H30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7-(COUNTIF(C28:I28,"")+COUNTIF(C28:I28,$B$142))</f>
        <v>5</v>
      </c>
      <c r="B28" s="178" t="s">
        <v>10</v>
      </c>
      <c r="C28" s="36"/>
      <c r="D28" s="36" t="s">
        <v>80</v>
      </c>
      <c r="E28" s="36" t="s">
        <v>90</v>
      </c>
      <c r="F28" s="36" t="s">
        <v>85</v>
      </c>
      <c r="G28" s="36" t="s">
        <v>40</v>
      </c>
      <c r="H28" s="36" t="s">
        <v>40</v>
      </c>
      <c r="I28" s="36" t="s">
        <v>95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IF(ISBLANK(C28),"",VLOOKUP(C28,$B$108:$L$144,11,0))</f>
        <v/>
      </c>
      <c r="D29" s="37" t="str">
        <f t="shared" si="13"/>
        <v>06H00-14H30</v>
      </c>
      <c r="E29" s="37" t="str">
        <f t="shared" si="13"/>
        <v>06H00-14H30</v>
      </c>
      <c r="F29" s="37" t="str">
        <f t="shared" si="13"/>
        <v>14H30-23H00</v>
      </c>
      <c r="G29" s="37">
        <f t="shared" si="13"/>
        <v>0</v>
      </c>
      <c r="H29" s="37">
        <f t="shared" si="13"/>
        <v>0</v>
      </c>
      <c r="I29" s="37">
        <f t="shared" si="13"/>
        <v>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7-(COUNTIF(C30:I30,"")+COUNTIF(C30:I30,$B$142))</f>
        <v>5</v>
      </c>
      <c r="B30" s="178" t="s">
        <v>11</v>
      </c>
      <c r="C30" s="36" t="s">
        <v>92</v>
      </c>
      <c r="D30" s="36" t="s">
        <v>84</v>
      </c>
      <c r="E30" s="36"/>
      <c r="F30" s="36" t="s">
        <v>91</v>
      </c>
      <c r="G30" s="36"/>
      <c r="H30" s="36" t="s">
        <v>79</v>
      </c>
      <c r="I30" s="36" t="s">
        <v>85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IF(ISBLANK(C30),"",VLOOKUP(C30,$B$108:$L$144,11,0))</f>
        <v>10H00-18H30</v>
      </c>
      <c r="D31" s="37" t="str">
        <f t="shared" si="14"/>
        <v>13H30-22H00</v>
      </c>
      <c r="E31" s="37" t="str">
        <f t="shared" si="14"/>
        <v/>
      </c>
      <c r="F31" s="37" t="str">
        <f t="shared" si="14"/>
        <v>06H00-14H30</v>
      </c>
      <c r="G31" s="37" t="str">
        <f t="shared" si="14"/>
        <v/>
      </c>
      <c r="H31" s="37" t="str">
        <f t="shared" si="14"/>
        <v>09H00-17H30</v>
      </c>
      <c r="I31" s="37" t="str">
        <f t="shared" si="14"/>
        <v>14H30-23H00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7-(COUNTIF(C32:I32,"")+COUNTIF(C32:I32,$B$142))</f>
        <v>5</v>
      </c>
      <c r="B32" s="201" t="s">
        <v>12</v>
      </c>
      <c r="C32" s="36" t="s">
        <v>79</v>
      </c>
      <c r="D32" s="36" t="s">
        <v>31</v>
      </c>
      <c r="E32" s="36" t="s">
        <v>110</v>
      </c>
      <c r="F32" s="36"/>
      <c r="G32" s="36" t="s">
        <v>138</v>
      </c>
      <c r="H32" s="36" t="s">
        <v>138</v>
      </c>
      <c r="I32" s="36"/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 t="str">
        <f t="shared" ref="C33:I33" si="15">IF(ISBLANK(C32),"",VLOOKUP(C32,$B$108:$L$144,11,0))</f>
        <v>09H00-17H30</v>
      </c>
      <c r="D33" s="37" t="str">
        <f t="shared" si="15"/>
        <v>06H00-14H30</v>
      </c>
      <c r="E33" s="37" t="str">
        <f t="shared" si="15"/>
        <v>21H45-06H15</v>
      </c>
      <c r="F33" s="37" t="str">
        <f t="shared" si="15"/>
        <v/>
      </c>
      <c r="G33" s="37" t="str">
        <f t="shared" si="15"/>
        <v>22H00-06H30</v>
      </c>
      <c r="H33" s="37" t="str">
        <f t="shared" si="15"/>
        <v>22H00-06H30</v>
      </c>
      <c r="I33" s="37" t="str">
        <f t="shared" si="15"/>
        <v/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7-(COUNTIF(C34:I34,"")+COUNTIF(C34:I34,$B$142))</f>
        <v>3</v>
      </c>
      <c r="B34" s="193" t="s">
        <v>13</v>
      </c>
      <c r="C34" s="36"/>
      <c r="D34" s="36"/>
      <c r="E34" s="36" t="s">
        <v>152</v>
      </c>
      <c r="F34" s="36" t="s">
        <v>154</v>
      </c>
      <c r="G34" s="36"/>
      <c r="H34" s="36" t="s">
        <v>137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4"/>
      <c r="C35" s="37" t="str">
        <f t="shared" ref="C35:I35" si="16">IF(ISBLANK(C34),"",VLOOKUP(C34,$B$108:$L$144,11,0))</f>
        <v/>
      </c>
      <c r="D35" s="37" t="str">
        <f t="shared" si="16"/>
        <v/>
      </c>
      <c r="E35" s="37" t="str">
        <f t="shared" si="16"/>
        <v>08H30-17H00</v>
      </c>
      <c r="F35" s="37" t="str">
        <f t="shared" si="16"/>
        <v>13H00-21H30</v>
      </c>
      <c r="G35" s="37" t="str">
        <f t="shared" si="16"/>
        <v/>
      </c>
      <c r="H35" s="37" t="str">
        <f t="shared" si="16"/>
        <v>06H00-14H30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7-(COUNTIF(C36:I36,"")+COUNTIF(C36:I36,$B$142))</f>
        <v>5</v>
      </c>
      <c r="B36" s="199" t="s">
        <v>43</v>
      </c>
      <c r="C36" s="36" t="s">
        <v>138</v>
      </c>
      <c r="D36" s="36"/>
      <c r="E36" s="36" t="s">
        <v>138</v>
      </c>
      <c r="F36" s="36"/>
      <c r="G36" s="36" t="s">
        <v>83</v>
      </c>
      <c r="H36" s="36" t="s">
        <v>31</v>
      </c>
      <c r="I36" s="36" t="s">
        <v>110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 t="str">
        <f t="shared" ref="C37:I37" si="17">IF(ISBLANK(C36),"",VLOOKUP(C36,$B$108:$L$144,11,0))</f>
        <v>22H00-06H30</v>
      </c>
      <c r="D37" s="37" t="str">
        <f t="shared" si="17"/>
        <v/>
      </c>
      <c r="E37" s="37" t="str">
        <f t="shared" si="17"/>
        <v>22H00-06H30</v>
      </c>
      <c r="F37" s="37" t="str">
        <f t="shared" si="17"/>
        <v/>
      </c>
      <c r="G37" s="37" t="str">
        <f t="shared" si="17"/>
        <v>09H00-17H30</v>
      </c>
      <c r="H37" s="37" t="str">
        <f t="shared" si="17"/>
        <v>06H00-14H30</v>
      </c>
      <c r="I37" s="37" t="str">
        <f t="shared" si="17"/>
        <v>21H45-06H15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7-(COUNTIF(C38:I38,"")+COUNTIF(C38:I38,$B$142))</f>
        <v>4</v>
      </c>
      <c r="B38" s="178" t="s">
        <v>14</v>
      </c>
      <c r="C38" s="36" t="s">
        <v>123</v>
      </c>
      <c r="D38" s="35" t="s">
        <v>92</v>
      </c>
      <c r="E38" s="36" t="s">
        <v>83</v>
      </c>
      <c r="F38" s="36" t="s">
        <v>40</v>
      </c>
      <c r="G38" s="36" t="s">
        <v>95</v>
      </c>
      <c r="H38" s="36" t="s">
        <v>95</v>
      </c>
      <c r="I38" s="36" t="s">
        <v>95</v>
      </c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IF(ISBLANK(C38),"",VLOOKUP(C38,$B$108:$L$144,11,0))</f>
        <v>14H30-23H00</v>
      </c>
      <c r="D39" s="37" t="str">
        <f t="shared" si="18"/>
        <v>10H00-18H30</v>
      </c>
      <c r="E39" s="37" t="str">
        <f t="shared" si="18"/>
        <v>09H00-17H30</v>
      </c>
      <c r="F39" s="37">
        <f t="shared" si="18"/>
        <v>0</v>
      </c>
      <c r="G39" s="37">
        <f t="shared" si="18"/>
        <v>0</v>
      </c>
      <c r="H39" s="37">
        <f t="shared" si="18"/>
        <v>0</v>
      </c>
      <c r="I39" s="37">
        <f t="shared" si="18"/>
        <v>0</v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7-(COUNTIF(C40:I40,"")+COUNTIF(C40:I40,$B$142))</f>
        <v>5</v>
      </c>
      <c r="B40" s="201" t="s">
        <v>15</v>
      </c>
      <c r="C40" s="36"/>
      <c r="D40" s="36" t="s">
        <v>137</v>
      </c>
      <c r="E40" s="36" t="s">
        <v>123</v>
      </c>
      <c r="F40" s="36" t="s">
        <v>84</v>
      </c>
      <c r="G40" s="36" t="s">
        <v>152</v>
      </c>
      <c r="H40" s="36"/>
      <c r="I40" s="36" t="s">
        <v>79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IF(ISBLANK(C40),"",VLOOKUP(C40,$B$108:$L$144,11,0))</f>
        <v/>
      </c>
      <c r="D41" s="37" t="str">
        <f t="shared" si="19"/>
        <v>06H00-14H30</v>
      </c>
      <c r="E41" s="37" t="str">
        <f t="shared" si="19"/>
        <v>14H30-23H00</v>
      </c>
      <c r="F41" s="37" t="str">
        <f t="shared" si="19"/>
        <v>13H30-22H00</v>
      </c>
      <c r="G41" s="37" t="str">
        <f t="shared" si="19"/>
        <v>08H30-17H00</v>
      </c>
      <c r="H41" s="37" t="str">
        <f t="shared" si="19"/>
        <v/>
      </c>
      <c r="I41" s="37" t="str">
        <f t="shared" si="19"/>
        <v>09H00-17H30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7-(COUNTIF(C42:I42,"")+COUNTIF(C42:I42,$B$142))</f>
        <v>5</v>
      </c>
      <c r="B42" s="186" t="s">
        <v>119</v>
      </c>
      <c r="C42" s="38"/>
      <c r="D42" s="38" t="s">
        <v>122</v>
      </c>
      <c r="E42" s="36" t="s">
        <v>84</v>
      </c>
      <c r="F42" s="38"/>
      <c r="G42" s="36" t="s">
        <v>31</v>
      </c>
      <c r="H42" s="36" t="s">
        <v>84</v>
      </c>
      <c r="I42" s="36" t="s">
        <v>92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IF(ISBLANK(C42),"",VLOOKUP(C42,$B$108:$L$144,11,0))</f>
        <v/>
      </c>
      <c r="D43" s="43" t="str">
        <f t="shared" si="20"/>
        <v>06H00-14H30</v>
      </c>
      <c r="E43" s="43" t="str">
        <f t="shared" si="20"/>
        <v>13H30-22H00</v>
      </c>
      <c r="F43" s="43" t="str">
        <f t="shared" si="20"/>
        <v/>
      </c>
      <c r="G43" s="43" t="str">
        <f t="shared" si="20"/>
        <v>06H00-14H30</v>
      </c>
      <c r="H43" s="43" t="str">
        <f t="shared" si="20"/>
        <v>13H30-22H00</v>
      </c>
      <c r="I43" s="43" t="str">
        <f t="shared" si="20"/>
        <v>10H00-18H30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7-(COUNTIF(C44:I44,"")+COUNTIF(C44:I44,$B$142))</f>
        <v>5</v>
      </c>
      <c r="B44" s="178" t="s">
        <v>16</v>
      </c>
      <c r="C44" s="36" t="s">
        <v>82</v>
      </c>
      <c r="D44" s="36" t="s">
        <v>84</v>
      </c>
      <c r="E44" s="36" t="s">
        <v>92</v>
      </c>
      <c r="F44" s="36" t="s">
        <v>31</v>
      </c>
      <c r="G44" s="36" t="s">
        <v>85</v>
      </c>
      <c r="H44" s="36" t="s">
        <v>95</v>
      </c>
      <c r="I44" s="36" t="s">
        <v>95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IF(ISBLANK(C44),"",VLOOKUP(C44,$B$108:$L$144,11,0))</f>
        <v>06H00-14H30</v>
      </c>
      <c r="D45" s="37" t="str">
        <f t="shared" si="21"/>
        <v>13H30-22H00</v>
      </c>
      <c r="E45" s="37" t="str">
        <f t="shared" si="21"/>
        <v>10H00-18H30</v>
      </c>
      <c r="F45" s="37" t="str">
        <f t="shared" si="21"/>
        <v>06H00-14H30</v>
      </c>
      <c r="G45" s="37" t="str">
        <f t="shared" si="21"/>
        <v>14H30-23H00</v>
      </c>
      <c r="H45" s="37">
        <f t="shared" si="21"/>
        <v>0</v>
      </c>
      <c r="I45" s="37">
        <f t="shared" si="21"/>
        <v>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7-(COUNTIF(C46:I46,"")+COUNTIF(C46:I46,$B$142))</f>
        <v>5</v>
      </c>
      <c r="B46" s="178" t="s">
        <v>102</v>
      </c>
      <c r="C46" s="36" t="s">
        <v>95</v>
      </c>
      <c r="D46" s="36" t="s">
        <v>82</v>
      </c>
      <c r="E46" s="36" t="s">
        <v>139</v>
      </c>
      <c r="F46" s="36" t="s">
        <v>149</v>
      </c>
      <c r="G46" s="36"/>
      <c r="H46" s="36" t="s">
        <v>83</v>
      </c>
      <c r="I46" s="36" t="s">
        <v>137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>
        <f t="shared" ref="C47:I47" si="22">IF(ISBLANK(C46),"",VLOOKUP(C46,$B$108:$L$144,11,0))</f>
        <v>0</v>
      </c>
      <c r="D47" s="37" t="str">
        <f t="shared" si="22"/>
        <v>06H00-14H30</v>
      </c>
      <c r="E47" s="37" t="str">
        <f t="shared" si="22"/>
        <v>14H00-22H30</v>
      </c>
      <c r="F47" s="37" t="str">
        <f t="shared" si="22"/>
        <v>09H00-17H30</v>
      </c>
      <c r="G47" s="37" t="str">
        <f t="shared" si="22"/>
        <v/>
      </c>
      <c r="H47" s="37" t="str">
        <f t="shared" si="22"/>
        <v>09H00-17H30</v>
      </c>
      <c r="I47" s="37" t="str">
        <f t="shared" si="22"/>
        <v>06H00-14H30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7-(COUNTIF(C48:I48,"")+COUNTIF(C48:I48,$B$142))</f>
        <v>5</v>
      </c>
      <c r="B48" s="178" t="s">
        <v>132</v>
      </c>
      <c r="C48" s="36" t="s">
        <v>91</v>
      </c>
      <c r="D48" s="36" t="s">
        <v>110</v>
      </c>
      <c r="E48" s="36"/>
      <c r="F48" s="36" t="s">
        <v>93</v>
      </c>
      <c r="G48" s="36" t="s">
        <v>110</v>
      </c>
      <c r="H48" s="36"/>
      <c r="I48" s="36" t="s">
        <v>138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IF(ISBLANK(C48),"",VLOOKUP(C48,$B$108:$L$144,11,0))</f>
        <v>06H00-14H30</v>
      </c>
      <c r="D49" s="37" t="str">
        <f t="shared" si="23"/>
        <v>21H45-06H15</v>
      </c>
      <c r="E49" s="37" t="str">
        <f t="shared" si="23"/>
        <v/>
      </c>
      <c r="F49" s="37" t="str">
        <f t="shared" si="23"/>
        <v>06H00-14H30</v>
      </c>
      <c r="G49" s="37" t="str">
        <f t="shared" si="23"/>
        <v>21H45-06H15</v>
      </c>
      <c r="H49" s="37" t="str">
        <f t="shared" si="23"/>
        <v/>
      </c>
      <c r="I49" s="37" t="str">
        <f t="shared" si="23"/>
        <v>22H00-06H30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7-(COUNTIF(C50:I50,"")+COUNTIF(C50:I50,$B$142))</f>
        <v>5</v>
      </c>
      <c r="B50" s="201" t="s">
        <v>17</v>
      </c>
      <c r="C50" s="36" t="s">
        <v>83</v>
      </c>
      <c r="D50" s="36" t="s">
        <v>123</v>
      </c>
      <c r="E50" s="36"/>
      <c r="F50" s="36" t="s">
        <v>84</v>
      </c>
      <c r="G50" s="36" t="s">
        <v>92</v>
      </c>
      <c r="H50" s="36"/>
      <c r="I50" s="36" t="s">
        <v>82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 t="str">
        <f t="shared" ref="C51:I51" si="24">IF(ISBLANK(C50),"",VLOOKUP(C50,$B$108:$L$144,11,0))</f>
        <v>09H00-17H30</v>
      </c>
      <c r="D51" s="37" t="str">
        <f t="shared" si="24"/>
        <v>14H30-23H00</v>
      </c>
      <c r="E51" s="37" t="str">
        <f t="shared" si="24"/>
        <v/>
      </c>
      <c r="F51" s="37" t="str">
        <f t="shared" si="24"/>
        <v>13H30-22H00</v>
      </c>
      <c r="G51" s="37" t="str">
        <f t="shared" si="24"/>
        <v>10H00-18H30</v>
      </c>
      <c r="H51" s="37" t="str">
        <f t="shared" si="24"/>
        <v/>
      </c>
      <c r="I51" s="37" t="str">
        <f t="shared" si="24"/>
        <v>06H00-14H30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7-(COUNTIF(C52:I52,"")+COUNTIF(C52:I52,$B$142))</f>
        <v>3</v>
      </c>
      <c r="B52" s="178" t="s">
        <v>127</v>
      </c>
      <c r="C52" s="36" t="s">
        <v>110</v>
      </c>
      <c r="D52" s="36" t="s">
        <v>95</v>
      </c>
      <c r="E52" s="36" t="s">
        <v>95</v>
      </c>
      <c r="F52" s="36" t="s">
        <v>138</v>
      </c>
      <c r="G52" s="36"/>
      <c r="H52" s="36" t="s">
        <v>110</v>
      </c>
      <c r="I52" s="36" t="s">
        <v>95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IF(ISBLANK(C52),"",VLOOKUP(C52,$B$108:$L$144,11,0))</f>
        <v>21H45-06H15</v>
      </c>
      <c r="D53" s="37">
        <f t="shared" si="25"/>
        <v>0</v>
      </c>
      <c r="E53" s="37">
        <f t="shared" si="25"/>
        <v>0</v>
      </c>
      <c r="F53" s="37" t="str">
        <f t="shared" si="25"/>
        <v>22H00-06H30</v>
      </c>
      <c r="G53" s="37" t="str">
        <f t="shared" si="25"/>
        <v/>
      </c>
      <c r="H53" s="37" t="str">
        <f t="shared" si="25"/>
        <v>21H45-06H15</v>
      </c>
      <c r="I53" s="37">
        <f t="shared" si="25"/>
        <v>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7-(COUNTIF(C54:I54,"")+COUNTIF(C54:I54,$B$142))</f>
        <v>4</v>
      </c>
      <c r="B54" s="201" t="s">
        <v>18</v>
      </c>
      <c r="C54" s="36"/>
      <c r="D54" s="36" t="s">
        <v>138</v>
      </c>
      <c r="E54" s="36"/>
      <c r="F54" s="36" t="s">
        <v>110</v>
      </c>
      <c r="G54" s="36"/>
      <c r="H54" s="36" t="s">
        <v>84</v>
      </c>
      <c r="I54" s="36" t="s">
        <v>84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 t="str">
        <f t="shared" ref="C55:I55" si="26">IF(ISBLANK(C54),"",VLOOKUP(C54,$B$108:$L$144,11,0))</f>
        <v/>
      </c>
      <c r="D55" s="37" t="str">
        <f t="shared" si="26"/>
        <v>22H00-06H30</v>
      </c>
      <c r="E55" s="37" t="str">
        <f t="shared" si="26"/>
        <v/>
      </c>
      <c r="F55" s="37" t="str">
        <f t="shared" si="26"/>
        <v>21H45-06H15</v>
      </c>
      <c r="G55" s="37" t="str">
        <f t="shared" si="26"/>
        <v/>
      </c>
      <c r="H55" s="37" t="str">
        <f t="shared" si="26"/>
        <v>13H30-22H00</v>
      </c>
      <c r="I55" s="37" t="str">
        <f t="shared" si="26"/>
        <v>13H30-22H00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7-(COUNTIF(C56:I56,"")+COUNTIF(C56:I56,$B$142))</f>
        <v>5</v>
      </c>
      <c r="B56" s="178" t="s">
        <v>19</v>
      </c>
      <c r="C56" s="36" t="s">
        <v>40</v>
      </c>
      <c r="D56" s="36" t="s">
        <v>40</v>
      </c>
      <c r="E56" s="36" t="s">
        <v>40</v>
      </c>
      <c r="F56" s="36" t="s">
        <v>40</v>
      </c>
      <c r="G56" s="38" t="s">
        <v>40</v>
      </c>
      <c r="H56" s="36" t="s">
        <v>95</v>
      </c>
      <c r="I56" s="36" t="s">
        <v>95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>
        <f t="shared" ref="C57:I57" si="27">IF(ISBLANK(C56),"",VLOOKUP(C56,$B$108:$L$144,11,0))</f>
        <v>0</v>
      </c>
      <c r="D57" s="37">
        <f t="shared" si="27"/>
        <v>0</v>
      </c>
      <c r="E57" s="37">
        <f t="shared" si="27"/>
        <v>0</v>
      </c>
      <c r="F57" s="37">
        <f t="shared" si="27"/>
        <v>0</v>
      </c>
      <c r="G57" s="37">
        <f t="shared" si="27"/>
        <v>0</v>
      </c>
      <c r="H57" s="37">
        <f t="shared" si="27"/>
        <v>0</v>
      </c>
      <c r="I57" s="37">
        <f t="shared" si="27"/>
        <v>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7-(COUNTIF(C58:I58,"")+COUNTIF(C58:I58,$B$142))</f>
        <v>4</v>
      </c>
      <c r="B58" s="178" t="s">
        <v>20</v>
      </c>
      <c r="C58" s="38"/>
      <c r="D58" s="36" t="s">
        <v>83</v>
      </c>
      <c r="E58" s="36" t="s">
        <v>122</v>
      </c>
      <c r="F58" s="36"/>
      <c r="G58" s="36"/>
      <c r="H58" s="36" t="s">
        <v>80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IF(ISBLANK(C58),"",VLOOKUP(C58,$B$108:$L$144,11,0))</f>
        <v/>
      </c>
      <c r="D59" s="38" t="str">
        <f t="shared" si="28"/>
        <v>09H00-17H30</v>
      </c>
      <c r="E59" s="38" t="str">
        <f t="shared" si="28"/>
        <v>06H00-14H30</v>
      </c>
      <c r="F59" s="38" t="str">
        <f t="shared" si="28"/>
        <v/>
      </c>
      <c r="G59" s="38" t="str">
        <f t="shared" si="28"/>
        <v/>
      </c>
      <c r="H59" s="38" t="str">
        <f t="shared" si="28"/>
        <v>06H00-14H30</v>
      </c>
      <c r="I59" s="38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7-(COUNTIF(C60:I60,"")+COUNTIF(C60:I60,$B$142))</f>
        <v>5</v>
      </c>
      <c r="B60" s="193" t="s">
        <v>133</v>
      </c>
      <c r="C60" s="36" t="s">
        <v>84</v>
      </c>
      <c r="D60" s="36" t="s">
        <v>149</v>
      </c>
      <c r="E60" s="36" t="s">
        <v>93</v>
      </c>
      <c r="F60" s="36"/>
      <c r="G60" s="36" t="s">
        <v>82</v>
      </c>
      <c r="H60" s="36"/>
      <c r="I60" s="36" t="s">
        <v>139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IF(ISBLANK(C60),"",VLOOKUP(C60,$B$108:$L$144,11,0))</f>
        <v>13H30-22H00</v>
      </c>
      <c r="D61" s="37" t="str">
        <f t="shared" si="29"/>
        <v>09H00-17H30</v>
      </c>
      <c r="E61" s="37" t="str">
        <f t="shared" si="29"/>
        <v>06H00-14H30</v>
      </c>
      <c r="F61" s="37" t="str">
        <f t="shared" si="29"/>
        <v/>
      </c>
      <c r="G61" s="37" t="str">
        <f t="shared" si="29"/>
        <v>06H00-14H30</v>
      </c>
      <c r="H61" s="37" t="str">
        <f t="shared" si="29"/>
        <v/>
      </c>
      <c r="I61" s="37" t="str">
        <f t="shared" si="29"/>
        <v>14H00-22H30</v>
      </c>
      <c r="J61" s="181"/>
      <c r="K61" s="139"/>
    </row>
    <row r="62" spans="1:12" s="39" customFormat="1" ht="13" customHeight="1" thickTop="1" x14ac:dyDescent="0.2">
      <c r="A62" s="21">
        <f>7-(COUNTIF(C62:I62,"")+COUNTIF(C62:I62,$B$142))</f>
        <v>5</v>
      </c>
      <c r="B62" s="178" t="s">
        <v>21</v>
      </c>
      <c r="C62" s="36" t="s">
        <v>139</v>
      </c>
      <c r="D62" s="38"/>
      <c r="E62" s="38" t="s">
        <v>31</v>
      </c>
      <c r="F62" s="38"/>
      <c r="G62" s="38" t="s">
        <v>81</v>
      </c>
      <c r="H62" s="38" t="s">
        <v>92</v>
      </c>
      <c r="I62" s="38" t="s">
        <v>122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IF(ISBLANK(C62),"",VLOOKUP(C62,$B$108:$L$144,11,0))</f>
        <v>14H00-22H30</v>
      </c>
      <c r="D63" s="37" t="str">
        <f t="shared" si="30"/>
        <v/>
      </c>
      <c r="E63" s="37" t="str">
        <f t="shared" si="30"/>
        <v>06H00-14H30</v>
      </c>
      <c r="F63" s="37" t="str">
        <f t="shared" si="30"/>
        <v/>
      </c>
      <c r="G63" s="37" t="str">
        <f t="shared" si="30"/>
        <v>14H30-23H00</v>
      </c>
      <c r="H63" s="37" t="str">
        <f t="shared" si="30"/>
        <v>10H00-18H30</v>
      </c>
      <c r="I63" s="37" t="str">
        <f t="shared" si="30"/>
        <v>06H00-14H30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7-(COUNTIF(C64:I64,"")+COUNTIF(C64:I64,$B$142))</f>
        <v>5</v>
      </c>
      <c r="B64" s="193" t="s">
        <v>131</v>
      </c>
      <c r="C64" s="36" t="s">
        <v>84</v>
      </c>
      <c r="D64" s="36"/>
      <c r="E64" s="36" t="s">
        <v>81</v>
      </c>
      <c r="F64" s="36"/>
      <c r="G64" s="36" t="s">
        <v>122</v>
      </c>
      <c r="H64" s="36" t="s">
        <v>149</v>
      </c>
      <c r="I64" s="36" t="s">
        <v>91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IF(ISBLANK(C64),"",VLOOKUP(C64,$B$108:$L$144,11,0))</f>
        <v>13H30-22H00</v>
      </c>
      <c r="D65" s="37" t="str">
        <f t="shared" si="31"/>
        <v/>
      </c>
      <c r="E65" s="37" t="str">
        <f t="shared" si="31"/>
        <v>14H30-23H00</v>
      </c>
      <c r="F65" s="37" t="str">
        <f t="shared" si="31"/>
        <v/>
      </c>
      <c r="G65" s="37" t="str">
        <f t="shared" si="31"/>
        <v>06H00-14H30</v>
      </c>
      <c r="H65" s="37" t="str">
        <f t="shared" si="31"/>
        <v>09H00-17H30</v>
      </c>
      <c r="I65" s="37" t="str">
        <f t="shared" si="31"/>
        <v>06H00-14H30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7-(COUNTIF(C66:I66,"")+COUNTIF(C66:I66,$B$142))</f>
        <v>4</v>
      </c>
      <c r="B66" s="178" t="s">
        <v>124</v>
      </c>
      <c r="C66" s="38" t="s">
        <v>93</v>
      </c>
      <c r="D66" s="36"/>
      <c r="E66" s="36" t="s">
        <v>82</v>
      </c>
      <c r="F66" s="36"/>
      <c r="G66" s="36" t="s">
        <v>91</v>
      </c>
      <c r="H66" s="36" t="s">
        <v>81</v>
      </c>
      <c r="I66" s="36"/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IF(ISBLANK(C66),"",VLOOKUP(C66,$B$108:$L$144,11,0))</f>
        <v>06H00-14H30</v>
      </c>
      <c r="D67" s="37" t="str">
        <f t="shared" si="32"/>
        <v/>
      </c>
      <c r="E67" s="37" t="str">
        <f t="shared" si="32"/>
        <v>06H00-14H30</v>
      </c>
      <c r="F67" s="37" t="str">
        <f t="shared" si="32"/>
        <v/>
      </c>
      <c r="G67" s="37" t="str">
        <f t="shared" si="32"/>
        <v>06H00-14H30</v>
      </c>
      <c r="H67" s="37" t="str">
        <f t="shared" si="32"/>
        <v>14H30-23H00</v>
      </c>
      <c r="I67" s="37" t="str">
        <f t="shared" si="32"/>
        <v/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7-(COUNTIF(C68:I68,"")+COUNTIF(C68:I68,$B$142))</f>
        <v>5</v>
      </c>
      <c r="B68" s="186" t="s">
        <v>146</v>
      </c>
      <c r="C68" s="36" t="s">
        <v>149</v>
      </c>
      <c r="D68" s="36" t="s">
        <v>93</v>
      </c>
      <c r="E68" s="36"/>
      <c r="F68" s="36" t="s">
        <v>81</v>
      </c>
      <c r="G68" s="38" t="s">
        <v>84</v>
      </c>
      <c r="H68" s="36"/>
      <c r="I68" s="36" t="s">
        <v>90</v>
      </c>
      <c r="J68" s="180" t="s">
        <v>65</v>
      </c>
      <c r="K68" s="139">
        <v>5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IF(ISBLANK(C68),"",VLOOKUP(C68,$B$108:$L$144,11,0))</f>
        <v>09H00-17H30</v>
      </c>
      <c r="D69" s="37" t="str">
        <f t="shared" si="33"/>
        <v>06H00-14H30</v>
      </c>
      <c r="E69" s="37" t="str">
        <f t="shared" si="33"/>
        <v/>
      </c>
      <c r="F69" s="37" t="str">
        <f t="shared" si="33"/>
        <v>14H30-23H00</v>
      </c>
      <c r="G69" s="37" t="str">
        <f t="shared" si="33"/>
        <v>13H30-22H00</v>
      </c>
      <c r="H69" s="37" t="str">
        <f t="shared" si="33"/>
        <v/>
      </c>
      <c r="I69" s="37" t="str">
        <f t="shared" si="33"/>
        <v>06H00-14H30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7-(COUNTIF(C70:I70,"")+COUNTIF(C70:I70,$B$142))</f>
        <v>5</v>
      </c>
      <c r="B70" s="178" t="s">
        <v>104</v>
      </c>
      <c r="C70" s="36" t="s">
        <v>40</v>
      </c>
      <c r="D70" s="36" t="s">
        <v>40</v>
      </c>
      <c r="E70" s="36"/>
      <c r="F70" s="36" t="s">
        <v>123</v>
      </c>
      <c r="G70" s="36"/>
      <c r="H70" s="36" t="s">
        <v>82</v>
      </c>
      <c r="I70" s="36" t="s">
        <v>93</v>
      </c>
      <c r="J70" s="180" t="s">
        <v>66</v>
      </c>
      <c r="K70" s="139">
        <v>3</v>
      </c>
      <c r="L70" s="40"/>
    </row>
    <row r="71" spans="1:12" s="39" customFormat="1" ht="13" customHeight="1" thickBot="1" x14ac:dyDescent="0.25">
      <c r="B71" s="179"/>
      <c r="C71" s="37">
        <f t="shared" ref="C71:I71" si="34">IF(ISBLANK(C70),"",VLOOKUP(C70,$B$108:$L$144,11,0))</f>
        <v>0</v>
      </c>
      <c r="D71" s="37">
        <f t="shared" si="34"/>
        <v>0</v>
      </c>
      <c r="E71" s="37" t="str">
        <f t="shared" si="34"/>
        <v/>
      </c>
      <c r="F71" s="37" t="str">
        <f t="shared" si="34"/>
        <v>14H30-23H00</v>
      </c>
      <c r="G71" s="37" t="str">
        <f t="shared" si="34"/>
        <v/>
      </c>
      <c r="H71" s="37" t="str">
        <f t="shared" si="34"/>
        <v>06H00-14H30</v>
      </c>
      <c r="I71" s="37" t="str">
        <f t="shared" si="34"/>
        <v>06H00-14H30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7-(COUNTIF(C72:I72,"")+COUNTIF(C72:I72,$B$142))</f>
        <v>5</v>
      </c>
      <c r="B72" s="178" t="s">
        <v>22</v>
      </c>
      <c r="C72" s="36" t="s">
        <v>99</v>
      </c>
      <c r="D72" s="36" t="s">
        <v>99</v>
      </c>
      <c r="E72" s="36" t="s">
        <v>99</v>
      </c>
      <c r="F72" s="36" t="s">
        <v>99</v>
      </c>
      <c r="G72" s="36" t="s">
        <v>99</v>
      </c>
      <c r="H72" s="36" t="s">
        <v>95</v>
      </c>
      <c r="I72" s="36" t="s">
        <v>95</v>
      </c>
      <c r="J72" s="180" t="s">
        <v>67</v>
      </c>
      <c r="K72" s="139">
        <v>5</v>
      </c>
      <c r="L72" s="40"/>
    </row>
    <row r="73" spans="1:12" s="39" customFormat="1" ht="13" customHeight="1" thickBot="1" x14ac:dyDescent="0.25">
      <c r="B73" s="179"/>
      <c r="C73" s="37">
        <f t="shared" ref="C73:I73" si="35">IF(ISBLANK(C72),"",VLOOKUP(C72,$B$108:$L$144,11,0))</f>
        <v>0</v>
      </c>
      <c r="D73" s="37">
        <f t="shared" si="35"/>
        <v>0</v>
      </c>
      <c r="E73" s="37">
        <f t="shared" si="35"/>
        <v>0</v>
      </c>
      <c r="F73" s="37">
        <f t="shared" si="35"/>
        <v>0</v>
      </c>
      <c r="G73" s="37">
        <f t="shared" si="35"/>
        <v>0</v>
      </c>
      <c r="H73" s="37">
        <f t="shared" si="35"/>
        <v>0</v>
      </c>
      <c r="I73" s="37">
        <f t="shared" si="35"/>
        <v>0</v>
      </c>
      <c r="J73" s="181" t="s">
        <v>68</v>
      </c>
      <c r="K73" s="139"/>
      <c r="L73" s="40"/>
    </row>
    <row r="74" spans="1:12" s="39" customFormat="1" ht="13" customHeight="1" thickTop="1" x14ac:dyDescent="0.2">
      <c r="A74" s="21">
        <f>7-(COUNTIF(C74:I74,"")+COUNTIF(C74:I74,$B$142))</f>
        <v>5</v>
      </c>
      <c r="B74" s="201" t="s">
        <v>23</v>
      </c>
      <c r="C74" s="36" t="s">
        <v>81</v>
      </c>
      <c r="D74" s="36"/>
      <c r="E74" s="38" t="s">
        <v>84</v>
      </c>
      <c r="F74" s="38" t="s">
        <v>92</v>
      </c>
      <c r="G74" s="38"/>
      <c r="H74" s="38" t="s">
        <v>93</v>
      </c>
      <c r="I74" s="38" t="s">
        <v>149</v>
      </c>
      <c r="J74" s="180" t="s">
        <v>68</v>
      </c>
      <c r="K74" s="139">
        <v>4</v>
      </c>
      <c r="L74" s="40"/>
    </row>
    <row r="75" spans="1:12" s="39" customFormat="1" ht="13" customHeight="1" thickBot="1" x14ac:dyDescent="0.25">
      <c r="B75" s="196"/>
      <c r="C75" s="37" t="str">
        <f t="shared" ref="C75:I75" si="36">IF(ISBLANK(C74),"",VLOOKUP(C74,$B$108:$L$144,11,0))</f>
        <v>14H30-23H00</v>
      </c>
      <c r="D75" s="37" t="str">
        <f t="shared" si="36"/>
        <v/>
      </c>
      <c r="E75" s="37" t="str">
        <f t="shared" si="36"/>
        <v>13H30-22H00</v>
      </c>
      <c r="F75" s="37" t="str">
        <f t="shared" si="36"/>
        <v>10H00-18H30</v>
      </c>
      <c r="G75" s="37" t="str">
        <f t="shared" si="36"/>
        <v/>
      </c>
      <c r="H75" s="37" t="str">
        <f t="shared" si="36"/>
        <v>06H00-14H30</v>
      </c>
      <c r="I75" s="37" t="str">
        <f t="shared" si="36"/>
        <v>09H00-17H30</v>
      </c>
      <c r="J75" s="181" t="s">
        <v>69</v>
      </c>
      <c r="K75" s="139"/>
      <c r="L75" s="40"/>
    </row>
    <row r="76" spans="1:12" s="39" customFormat="1" ht="13" customHeight="1" thickTop="1" x14ac:dyDescent="0.2">
      <c r="A76" s="21">
        <f>7-(COUNTIF(C76:I76,"")+COUNTIF(C76:I76,$B$142))</f>
        <v>4</v>
      </c>
      <c r="B76" s="193" t="s">
        <v>120</v>
      </c>
      <c r="C76" s="36"/>
      <c r="D76" s="36" t="s">
        <v>91</v>
      </c>
      <c r="E76" s="36"/>
      <c r="F76" s="36"/>
      <c r="G76" s="36" t="s">
        <v>150</v>
      </c>
      <c r="H76" s="36" t="s">
        <v>123</v>
      </c>
      <c r="I76" s="36" t="s">
        <v>83</v>
      </c>
      <c r="J76" s="180" t="s">
        <v>121</v>
      </c>
      <c r="K76" s="139">
        <v>5</v>
      </c>
      <c r="L76" s="40"/>
    </row>
    <row r="77" spans="1:12" s="39" customFormat="1" ht="13" customHeight="1" thickBot="1" x14ac:dyDescent="0.25">
      <c r="B77" s="194"/>
      <c r="C77" s="37" t="str">
        <f t="shared" ref="C77:I77" si="37">IF(ISBLANK(C76),"",VLOOKUP(C76,$B$108:$L$144,11,0))</f>
        <v/>
      </c>
      <c r="D77" s="37" t="str">
        <f t="shared" si="37"/>
        <v>06H00-14H30</v>
      </c>
      <c r="E77" s="37" t="str">
        <f t="shared" si="37"/>
        <v/>
      </c>
      <c r="F77" s="37" t="str">
        <f t="shared" si="37"/>
        <v/>
      </c>
      <c r="G77" s="37" t="str">
        <f t="shared" si="37"/>
        <v>09H00-17H30</v>
      </c>
      <c r="H77" s="37" t="str">
        <f t="shared" si="37"/>
        <v>14H30-23H00</v>
      </c>
      <c r="I77" s="37" t="str">
        <f t="shared" si="37"/>
        <v>09H00-17H30</v>
      </c>
      <c r="J77" s="181" t="s">
        <v>63</v>
      </c>
      <c r="K77" s="139"/>
      <c r="L77" s="40"/>
    </row>
    <row r="78" spans="1:12" s="39" customFormat="1" ht="13" customHeight="1" thickTop="1" x14ac:dyDescent="0.2">
      <c r="A78" s="21">
        <f>7-(COUNTIF(C78:I78,"")+COUNTIF(C78:I78,$B$142))</f>
        <v>5</v>
      </c>
      <c r="B78" s="178" t="s">
        <v>113</v>
      </c>
      <c r="C78" s="36" t="s">
        <v>82</v>
      </c>
      <c r="D78" s="36" t="s">
        <v>139</v>
      </c>
      <c r="E78" s="36" t="s">
        <v>150</v>
      </c>
      <c r="F78" s="36" t="s">
        <v>90</v>
      </c>
      <c r="G78" s="36" t="s">
        <v>84</v>
      </c>
      <c r="H78" s="36" t="s">
        <v>95</v>
      </c>
      <c r="I78" s="36" t="s">
        <v>95</v>
      </c>
      <c r="J78" s="180" t="s">
        <v>45</v>
      </c>
      <c r="K78" s="139">
        <v>3</v>
      </c>
      <c r="L78" s="40"/>
    </row>
    <row r="79" spans="1:12" s="39" customFormat="1" ht="13" customHeight="1" thickBot="1" x14ac:dyDescent="0.25">
      <c r="B79" s="202"/>
      <c r="C79" s="37" t="str">
        <f t="shared" ref="C79:I79" si="38">IF(ISBLANK(C78),"",VLOOKUP(C78,$B$108:$L$144,11,0))</f>
        <v>06H00-14H30</v>
      </c>
      <c r="D79" s="37" t="str">
        <f t="shared" si="38"/>
        <v>14H00-22H30</v>
      </c>
      <c r="E79" s="37" t="str">
        <f t="shared" si="38"/>
        <v>09H00-17H30</v>
      </c>
      <c r="F79" s="37" t="str">
        <f t="shared" si="38"/>
        <v>06H00-14H30</v>
      </c>
      <c r="G79" s="37" t="str">
        <f t="shared" si="38"/>
        <v>13H30-22H00</v>
      </c>
      <c r="H79" s="37">
        <f t="shared" si="38"/>
        <v>0</v>
      </c>
      <c r="I79" s="37">
        <f t="shared" si="38"/>
        <v>0</v>
      </c>
      <c r="J79" s="181" t="s">
        <v>44</v>
      </c>
      <c r="K79" s="139"/>
      <c r="L79" s="40"/>
    </row>
    <row r="80" spans="1:12" s="39" customFormat="1" ht="13" customHeight="1" thickTop="1" x14ac:dyDescent="0.2">
      <c r="A80" s="21">
        <f>7-(COUNTIF(C80:I80,"")+COUNTIF(C80:I80,$B$142))</f>
        <v>5</v>
      </c>
      <c r="B80" s="207" t="s">
        <v>25</v>
      </c>
      <c r="C80" s="36" t="s">
        <v>31</v>
      </c>
      <c r="D80" s="36" t="s">
        <v>152</v>
      </c>
      <c r="E80" s="36"/>
      <c r="F80" s="36" t="s">
        <v>137</v>
      </c>
      <c r="G80" s="36" t="s">
        <v>84</v>
      </c>
      <c r="H80" s="36"/>
      <c r="I80" s="36" t="s">
        <v>81</v>
      </c>
      <c r="J80" s="180" t="s">
        <v>70</v>
      </c>
      <c r="K80" s="139">
        <v>5</v>
      </c>
      <c r="L80" s="40"/>
    </row>
    <row r="81" spans="1:12" s="39" customFormat="1" ht="13" customHeight="1" thickBot="1" x14ac:dyDescent="0.25">
      <c r="B81" s="208"/>
      <c r="C81" s="38" t="str">
        <f t="shared" ref="C81:I81" si="39">IF(ISBLANK(C80),"",VLOOKUP(C80,$B$108:$L$144,11,0))</f>
        <v>06H00-14H30</v>
      </c>
      <c r="D81" s="38" t="str">
        <f t="shared" si="39"/>
        <v>08H30-17H00</v>
      </c>
      <c r="E81" s="38" t="str">
        <f t="shared" si="39"/>
        <v/>
      </c>
      <c r="F81" s="38" t="str">
        <f t="shared" si="39"/>
        <v>06H00-14H30</v>
      </c>
      <c r="G81" s="38" t="str">
        <f t="shared" si="39"/>
        <v>13H30-22H00</v>
      </c>
      <c r="H81" s="38" t="str">
        <f t="shared" si="39"/>
        <v/>
      </c>
      <c r="I81" s="38" t="str">
        <f t="shared" si="39"/>
        <v>14H30-23H00</v>
      </c>
      <c r="J81" s="188" t="s">
        <v>71</v>
      </c>
      <c r="K81" s="139"/>
      <c r="L81" s="40"/>
    </row>
    <row r="82" spans="1:12" s="39" customFormat="1" ht="13" customHeight="1" thickTop="1" x14ac:dyDescent="0.2">
      <c r="A82" s="21">
        <f>7-(COUNTIF(C82:I82,"")+COUNTIF(C82:I82,$B$142))</f>
        <v>5</v>
      </c>
      <c r="B82" s="178" t="s">
        <v>105</v>
      </c>
      <c r="C82" s="36"/>
      <c r="D82" s="36" t="s">
        <v>79</v>
      </c>
      <c r="E82" s="36" t="s">
        <v>149</v>
      </c>
      <c r="F82" s="36" t="s">
        <v>83</v>
      </c>
      <c r="G82" s="36"/>
      <c r="H82" s="36" t="s">
        <v>154</v>
      </c>
      <c r="I82" s="36" t="s">
        <v>151</v>
      </c>
      <c r="J82" s="180" t="s">
        <v>71</v>
      </c>
      <c r="K82" s="139">
        <v>4</v>
      </c>
      <c r="L82" s="40"/>
    </row>
    <row r="83" spans="1:12" s="39" customFormat="1" ht="13" customHeight="1" thickBot="1" x14ac:dyDescent="0.25">
      <c r="B83" s="179"/>
      <c r="C83" s="37" t="str">
        <f t="shared" ref="C83:I83" si="40">IF(ISBLANK(C82),"",VLOOKUP(C82,$B$108:$L$144,11,0))</f>
        <v/>
      </c>
      <c r="D83" s="37" t="str">
        <f t="shared" si="40"/>
        <v>09H00-17H30</v>
      </c>
      <c r="E83" s="37" t="str">
        <f t="shared" si="40"/>
        <v>09H00-17H30</v>
      </c>
      <c r="F83" s="37" t="str">
        <f t="shared" si="40"/>
        <v>09H00-17H30</v>
      </c>
      <c r="G83" s="37" t="str">
        <f t="shared" si="40"/>
        <v/>
      </c>
      <c r="H83" s="37" t="str">
        <f t="shared" si="40"/>
        <v>13H00-21H30</v>
      </c>
      <c r="I83" s="37" t="str">
        <f t="shared" si="40"/>
        <v>08H30-17H00</v>
      </c>
      <c r="J83" s="181" t="s">
        <v>72</v>
      </c>
      <c r="K83" s="139"/>
      <c r="L83" s="40"/>
    </row>
    <row r="84" spans="1:12" s="39" customFormat="1" ht="13" customHeight="1" thickTop="1" x14ac:dyDescent="0.2">
      <c r="A84" s="21">
        <f>7-(COUNTIF(C84:I84,"")+COUNTIF(C84:I84,$B$142))</f>
        <v>5</v>
      </c>
      <c r="B84" s="178" t="s">
        <v>143</v>
      </c>
      <c r="C84" s="36" t="s">
        <v>85</v>
      </c>
      <c r="D84" s="36" t="s">
        <v>150</v>
      </c>
      <c r="E84" s="36"/>
      <c r="F84" s="36"/>
      <c r="G84" s="36" t="s">
        <v>93</v>
      </c>
      <c r="H84" s="36" t="s">
        <v>122</v>
      </c>
      <c r="I84" s="36" t="s">
        <v>84</v>
      </c>
      <c r="J84" s="180" t="s">
        <v>142</v>
      </c>
      <c r="K84" s="139">
        <v>5</v>
      </c>
      <c r="L84" s="40"/>
    </row>
    <row r="85" spans="1:12" ht="13" customHeight="1" thickBot="1" x14ac:dyDescent="0.25">
      <c r="A85" s="41"/>
      <c r="B85" s="179"/>
      <c r="C85" s="37" t="str">
        <f t="shared" ref="C85:I85" si="41">IF(ISBLANK(C84),"",VLOOKUP(C84,$B$108:$L$144,11,0))</f>
        <v>14H30-23H00</v>
      </c>
      <c r="D85" s="37" t="str">
        <f t="shared" si="41"/>
        <v>09H00-17H30</v>
      </c>
      <c r="E85" s="37" t="str">
        <f t="shared" si="41"/>
        <v/>
      </c>
      <c r="F85" s="37" t="str">
        <f t="shared" si="41"/>
        <v/>
      </c>
      <c r="G85" s="37" t="str">
        <f t="shared" si="41"/>
        <v>06H00-14H30</v>
      </c>
      <c r="H85" s="37" t="str">
        <f t="shared" si="41"/>
        <v>06H00-14H30</v>
      </c>
      <c r="I85" s="37" t="str">
        <f t="shared" si="41"/>
        <v>13H30-22H00</v>
      </c>
      <c r="J85" s="181" t="s">
        <v>57</v>
      </c>
      <c r="K85" s="139"/>
    </row>
    <row r="86" spans="1:12" s="39" customFormat="1" ht="13" customHeight="1" thickTop="1" x14ac:dyDescent="0.2">
      <c r="A86" s="21">
        <f>7-(COUNTIF(C86:I86,"")+COUNTIF(C86:I86,$B$142))</f>
        <v>5</v>
      </c>
      <c r="B86" s="201" t="s">
        <v>26</v>
      </c>
      <c r="C86" s="38" t="s">
        <v>80</v>
      </c>
      <c r="D86" s="36"/>
      <c r="E86" s="36" t="s">
        <v>100</v>
      </c>
      <c r="F86" s="36" t="s">
        <v>152</v>
      </c>
      <c r="G86" s="36" t="s">
        <v>137</v>
      </c>
      <c r="H86" s="36" t="s">
        <v>91</v>
      </c>
      <c r="I86" s="36" t="s">
        <v>95</v>
      </c>
      <c r="J86" s="180" t="s">
        <v>72</v>
      </c>
      <c r="K86" s="139">
        <v>5</v>
      </c>
      <c r="L86" s="40"/>
    </row>
    <row r="87" spans="1:12" s="39" customFormat="1" ht="13" customHeight="1" thickBot="1" x14ac:dyDescent="0.25">
      <c r="B87" s="196"/>
      <c r="C87" s="37" t="str">
        <f t="shared" ref="C87:I87" si="42">IF(ISBLANK(C86),"",VLOOKUP(C86,$B$108:$L$144,11,0))</f>
        <v>06H00-14H30</v>
      </c>
      <c r="D87" s="37" t="str">
        <f t="shared" si="42"/>
        <v/>
      </c>
      <c r="E87" s="37" t="str">
        <f t="shared" si="42"/>
        <v>c.f. GDI</v>
      </c>
      <c r="F87" s="37" t="str">
        <f t="shared" si="42"/>
        <v>08H30-17H00</v>
      </c>
      <c r="G87" s="37" t="str">
        <f t="shared" si="42"/>
        <v>06H00-14H30</v>
      </c>
      <c r="H87" s="37" t="str">
        <f t="shared" si="42"/>
        <v>06H00-14H30</v>
      </c>
      <c r="I87" s="37">
        <f t="shared" si="42"/>
        <v>0</v>
      </c>
      <c r="J87" s="181" t="s">
        <v>73</v>
      </c>
      <c r="K87" s="139"/>
      <c r="L87" s="40"/>
    </row>
    <row r="88" spans="1:12" s="39" customFormat="1" ht="13" customHeight="1" thickTop="1" x14ac:dyDescent="0.2">
      <c r="A88" s="21">
        <f>7-(COUNTIF(C88:I88,"")+COUNTIF(C88:I88,$B$142))</f>
        <v>5</v>
      </c>
      <c r="B88" s="201" t="s">
        <v>27</v>
      </c>
      <c r="C88" s="36" t="s">
        <v>40</v>
      </c>
      <c r="D88" s="36" t="s">
        <v>40</v>
      </c>
      <c r="E88" s="36" t="s">
        <v>82</v>
      </c>
      <c r="F88" s="36" t="s">
        <v>150</v>
      </c>
      <c r="G88" s="36" t="s">
        <v>139</v>
      </c>
      <c r="H88" s="35" t="s">
        <v>95</v>
      </c>
      <c r="I88" s="36" t="s">
        <v>95</v>
      </c>
      <c r="J88" s="180" t="s">
        <v>74</v>
      </c>
      <c r="K88" s="139">
        <v>5</v>
      </c>
      <c r="L88" s="40"/>
    </row>
    <row r="89" spans="1:12" s="39" customFormat="1" ht="13" customHeight="1" thickBot="1" x14ac:dyDescent="0.25">
      <c r="B89" s="196"/>
      <c r="C89" s="37">
        <f t="shared" ref="C89:I89" si="43">IF(ISBLANK(C88),"",VLOOKUP(C88,$B$108:$L$144,11,0))</f>
        <v>0</v>
      </c>
      <c r="D89" s="37">
        <f t="shared" si="43"/>
        <v>0</v>
      </c>
      <c r="E89" s="37" t="str">
        <f t="shared" si="43"/>
        <v>06H00-14H30</v>
      </c>
      <c r="F89" s="37" t="str">
        <f t="shared" si="43"/>
        <v>09H00-17H30</v>
      </c>
      <c r="G89" s="37" t="str">
        <f t="shared" si="43"/>
        <v>14H00-22H30</v>
      </c>
      <c r="H89" s="37">
        <f t="shared" si="43"/>
        <v>0</v>
      </c>
      <c r="I89" s="37">
        <f t="shared" si="43"/>
        <v>0</v>
      </c>
      <c r="J89" s="181" t="s">
        <v>75</v>
      </c>
      <c r="K89" s="139"/>
      <c r="L89" s="40"/>
    </row>
    <row r="90" spans="1:12" s="39" customFormat="1" ht="13" customHeight="1" thickTop="1" x14ac:dyDescent="0.2">
      <c r="A90" s="21">
        <f>7-(COUNTIF(C90:I90,"")+COUNTIF(C90:I90,$B$142))</f>
        <v>5</v>
      </c>
      <c r="B90" s="193" t="s">
        <v>115</v>
      </c>
      <c r="C90" s="38" t="s">
        <v>90</v>
      </c>
      <c r="D90" s="36" t="s">
        <v>81</v>
      </c>
      <c r="E90" s="36"/>
      <c r="F90" s="36" t="s">
        <v>84</v>
      </c>
      <c r="G90" s="38"/>
      <c r="H90" s="36" t="s">
        <v>150</v>
      </c>
      <c r="I90" s="38" t="s">
        <v>82</v>
      </c>
      <c r="J90" s="188" t="s">
        <v>63</v>
      </c>
      <c r="K90" s="139">
        <v>4</v>
      </c>
      <c r="L90" s="40"/>
    </row>
    <row r="91" spans="1:12" s="39" customFormat="1" ht="13" customHeight="1" thickBot="1" x14ac:dyDescent="0.25">
      <c r="B91" s="206"/>
      <c r="C91" s="43" t="str">
        <f t="shared" ref="C91:I91" si="44">IF(ISBLANK(C90),"",VLOOKUP(C90,$B$108:$L$144,11,0))</f>
        <v>06H00-14H30</v>
      </c>
      <c r="D91" s="43" t="str">
        <f t="shared" si="44"/>
        <v>14H30-23H00</v>
      </c>
      <c r="E91" s="43" t="str">
        <f t="shared" si="44"/>
        <v/>
      </c>
      <c r="F91" s="43" t="str">
        <f t="shared" si="44"/>
        <v>13H30-22H00</v>
      </c>
      <c r="G91" s="43" t="str">
        <f t="shared" si="44"/>
        <v/>
      </c>
      <c r="H91" s="43" t="str">
        <f t="shared" si="44"/>
        <v>09H00-17H30</v>
      </c>
      <c r="I91" s="43" t="str">
        <f t="shared" si="44"/>
        <v>06H00-14H30</v>
      </c>
      <c r="J91" s="203"/>
      <c r="K91" s="139"/>
      <c r="L91" s="40"/>
    </row>
    <row r="92" spans="1:12" s="39" customFormat="1" ht="13" customHeight="1" thickTop="1" x14ac:dyDescent="0.2">
      <c r="A92" s="21">
        <f>7-(COUNTIF(C92:I92,"")+COUNTIF(C92:I92,$B$142))</f>
        <v>4</v>
      </c>
      <c r="B92" s="178" t="s">
        <v>148</v>
      </c>
      <c r="C92" s="36" t="s">
        <v>84</v>
      </c>
      <c r="D92" s="36"/>
      <c r="E92" s="36" t="s">
        <v>84</v>
      </c>
      <c r="F92" s="36"/>
      <c r="G92" s="36"/>
      <c r="H92" s="36" t="s">
        <v>139</v>
      </c>
      <c r="I92" s="36" t="s">
        <v>150</v>
      </c>
      <c r="J92" s="180" t="s">
        <v>144</v>
      </c>
      <c r="K92" s="139">
        <v>4</v>
      </c>
      <c r="L92" s="40"/>
    </row>
    <row r="93" spans="1:12" ht="13" customHeight="1" thickBot="1" x14ac:dyDescent="0.25">
      <c r="A93" s="41"/>
      <c r="B93" s="179"/>
      <c r="C93" s="37" t="str">
        <f t="shared" ref="C93:I93" si="45">IF(ISBLANK(C92),"",VLOOKUP(C92,$B$108:$L$144,11,0))</f>
        <v>13H30-22H00</v>
      </c>
      <c r="D93" s="37" t="str">
        <f t="shared" si="45"/>
        <v/>
      </c>
      <c r="E93" s="37" t="str">
        <f t="shared" si="45"/>
        <v>13H30-22H00</v>
      </c>
      <c r="F93" s="37" t="str">
        <f t="shared" si="45"/>
        <v/>
      </c>
      <c r="G93" s="37" t="str">
        <f t="shared" si="45"/>
        <v/>
      </c>
      <c r="H93" s="37" t="str">
        <f t="shared" si="45"/>
        <v>14H00-22H30</v>
      </c>
      <c r="I93" s="37" t="str">
        <f t="shared" si="45"/>
        <v>09H00-17H30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7-(COUNTIF(C94:I94,"")+COUNTIF(C94:I94,$B$142))</f>
        <v>5</v>
      </c>
      <c r="B94" s="178" t="s">
        <v>147</v>
      </c>
      <c r="C94" s="36" t="s">
        <v>150</v>
      </c>
      <c r="D94" s="36" t="s">
        <v>84</v>
      </c>
      <c r="E94" s="36"/>
      <c r="F94" s="36" t="s">
        <v>80</v>
      </c>
      <c r="G94" s="36"/>
      <c r="H94" s="36" t="s">
        <v>82</v>
      </c>
      <c r="I94" s="36" t="s">
        <v>123</v>
      </c>
      <c r="J94" s="180" t="s">
        <v>145</v>
      </c>
      <c r="K94" s="139">
        <v>5</v>
      </c>
      <c r="L94" s="40"/>
    </row>
    <row r="95" spans="1:12" ht="13" customHeight="1" thickBot="1" x14ac:dyDescent="0.25">
      <c r="A95" s="41"/>
      <c r="B95" s="179"/>
      <c r="C95" s="37" t="str">
        <f t="shared" ref="C95:I95" si="46">IF(ISBLANK(C94),"",VLOOKUP(C94,$B$108:$L$144,11,0))</f>
        <v>09H00-17H30</v>
      </c>
      <c r="D95" s="37" t="str">
        <f t="shared" si="46"/>
        <v>13H30-22H00</v>
      </c>
      <c r="E95" s="37" t="str">
        <f t="shared" si="46"/>
        <v/>
      </c>
      <c r="F95" s="37" t="str">
        <f t="shared" si="46"/>
        <v>06H00-14H30</v>
      </c>
      <c r="G95" s="37" t="str">
        <f t="shared" si="46"/>
        <v/>
      </c>
      <c r="H95" s="37" t="str">
        <f t="shared" si="46"/>
        <v>06H00-14H30</v>
      </c>
      <c r="I95" s="37" t="str">
        <f t="shared" si="46"/>
        <v>14H30-23H00</v>
      </c>
      <c r="J95" s="181" t="s">
        <v>57</v>
      </c>
      <c r="K95" s="139"/>
    </row>
    <row r="96" spans="1:12" s="39" customFormat="1" ht="13" customHeight="1" thickTop="1" x14ac:dyDescent="0.2">
      <c r="A96" s="21">
        <f>7-(COUNTIF(C96:I96,"")+COUNTIF(C96:I96,$B$142))</f>
        <v>5</v>
      </c>
      <c r="B96" s="201" t="s">
        <v>106</v>
      </c>
      <c r="C96" s="36" t="s">
        <v>154</v>
      </c>
      <c r="D96" s="36"/>
      <c r="E96" s="36" t="s">
        <v>137</v>
      </c>
      <c r="F96" s="36" t="s">
        <v>79</v>
      </c>
      <c r="G96" s="36" t="s">
        <v>82</v>
      </c>
      <c r="H96" s="36" t="s">
        <v>151</v>
      </c>
      <c r="I96" s="36" t="s">
        <v>95</v>
      </c>
      <c r="J96" s="180" t="s">
        <v>75</v>
      </c>
      <c r="K96" s="139">
        <v>5</v>
      </c>
      <c r="L96" s="40"/>
    </row>
    <row r="97" spans="1:12" s="39" customFormat="1" ht="13" customHeight="1" thickBot="1" x14ac:dyDescent="0.25">
      <c r="B97" s="196"/>
      <c r="C97" s="37" t="str">
        <f t="shared" ref="C97:I97" si="47">IF(ISBLANK(C96),"",VLOOKUP(C96,$B$108:$L$144,11,0))</f>
        <v>13H00-21H30</v>
      </c>
      <c r="D97" s="37" t="str">
        <f t="shared" si="47"/>
        <v/>
      </c>
      <c r="E97" s="37" t="str">
        <f t="shared" si="47"/>
        <v>06H00-14H30</v>
      </c>
      <c r="F97" s="37" t="str">
        <f t="shared" si="47"/>
        <v>09H00-17H30</v>
      </c>
      <c r="G97" s="37" t="str">
        <f t="shared" si="47"/>
        <v>06H00-14H30</v>
      </c>
      <c r="H97" s="37" t="str">
        <f t="shared" si="47"/>
        <v>08H30-17H00</v>
      </c>
      <c r="I97" s="37">
        <f t="shared" si="47"/>
        <v>0</v>
      </c>
      <c r="J97" s="181" t="s">
        <v>76</v>
      </c>
      <c r="K97" s="139"/>
      <c r="L97" s="40"/>
    </row>
    <row r="98" spans="1:12" s="39" customFormat="1" ht="13" customHeight="1" thickTop="1" x14ac:dyDescent="0.2">
      <c r="A98" s="21">
        <f>7-(COUNTIF(C98:I98,"")+COUNTIF(C98:I98,$B$142))</f>
        <v>5</v>
      </c>
      <c r="B98" s="178" t="s">
        <v>28</v>
      </c>
      <c r="C98" s="38" t="s">
        <v>122</v>
      </c>
      <c r="D98" s="38" t="s">
        <v>85</v>
      </c>
      <c r="E98" s="38"/>
      <c r="F98" s="38" t="s">
        <v>82</v>
      </c>
      <c r="G98" s="38" t="s">
        <v>90</v>
      </c>
      <c r="H98" s="38" t="s">
        <v>90</v>
      </c>
      <c r="I98" s="38" t="s">
        <v>95</v>
      </c>
      <c r="J98" s="180" t="s">
        <v>76</v>
      </c>
      <c r="K98" s="139">
        <v>2</v>
      </c>
      <c r="L98" s="40"/>
    </row>
    <row r="99" spans="1:12" s="39" customFormat="1" ht="13" customHeight="1" thickBot="1" x14ac:dyDescent="0.25">
      <c r="B99" s="179"/>
      <c r="C99" s="37" t="str">
        <f t="shared" ref="C99:I99" si="48">IF(ISBLANK(C98),"",VLOOKUP(C98,$B$108:$L$144,11,0))</f>
        <v>06H00-14H30</v>
      </c>
      <c r="D99" s="37" t="str">
        <f t="shared" si="48"/>
        <v>14H30-23H00</v>
      </c>
      <c r="E99" s="37" t="str">
        <f t="shared" si="48"/>
        <v/>
      </c>
      <c r="F99" s="37" t="str">
        <f t="shared" si="48"/>
        <v>06H00-14H30</v>
      </c>
      <c r="G99" s="37" t="str">
        <f t="shared" si="48"/>
        <v>06H00-14H30</v>
      </c>
      <c r="H99" s="37" t="str">
        <f t="shared" si="48"/>
        <v>06H00-14H30</v>
      </c>
      <c r="I99" s="37">
        <f t="shared" si="48"/>
        <v>0</v>
      </c>
      <c r="J99" s="181" t="s">
        <v>77</v>
      </c>
      <c r="K99" s="139"/>
      <c r="L99" s="40"/>
    </row>
    <row r="100" spans="1:12" s="39" customFormat="1" ht="13" customHeight="1" thickTop="1" x14ac:dyDescent="0.2">
      <c r="A100" s="21"/>
      <c r="B100" s="178" t="s">
        <v>136</v>
      </c>
      <c r="C100" s="36"/>
      <c r="D100" s="35" t="s">
        <v>95</v>
      </c>
      <c r="E100" s="36"/>
      <c r="F100" s="35" t="s">
        <v>95</v>
      </c>
      <c r="G100" s="35" t="s">
        <v>95</v>
      </c>
      <c r="H100" s="35" t="s">
        <v>95</v>
      </c>
      <c r="I100" s="35" t="s">
        <v>95</v>
      </c>
      <c r="J100" s="180"/>
      <c r="K100" s="139">
        <v>4</v>
      </c>
      <c r="L100" s="40"/>
    </row>
    <row r="101" spans="1:12" ht="13" customHeight="1" thickBot="1" x14ac:dyDescent="0.25">
      <c r="A101" s="41"/>
      <c r="B101" s="179"/>
      <c r="C101" s="37" t="str">
        <f t="shared" ref="C101:I101" si="49">IF(ISBLANK(C100),"",VLOOKUP(C100,$B$108:$L$144,11,0))</f>
        <v/>
      </c>
      <c r="D101" s="37">
        <f t="shared" si="49"/>
        <v>0</v>
      </c>
      <c r="E101" s="37" t="str">
        <f t="shared" si="49"/>
        <v/>
      </c>
      <c r="F101" s="37">
        <f t="shared" si="49"/>
        <v>0</v>
      </c>
      <c r="G101" s="37">
        <f t="shared" si="49"/>
        <v>0</v>
      </c>
      <c r="H101" s="37">
        <f t="shared" si="49"/>
        <v>0</v>
      </c>
      <c r="I101" s="37">
        <f t="shared" si="49"/>
        <v>0</v>
      </c>
      <c r="J101" s="181" t="s">
        <v>57</v>
      </c>
      <c r="K101" s="139"/>
    </row>
    <row r="102" spans="1:12" s="39" customFormat="1" ht="13" customHeight="1" thickTop="1" x14ac:dyDescent="0.2">
      <c r="A102" s="21"/>
      <c r="B102" s="178" t="s">
        <v>135</v>
      </c>
      <c r="C102" s="36"/>
      <c r="D102" s="35"/>
      <c r="E102" s="36" t="s">
        <v>95</v>
      </c>
      <c r="F102" s="35"/>
      <c r="G102" s="36"/>
      <c r="H102" s="35" t="s">
        <v>95</v>
      </c>
      <c r="I102" s="35" t="s">
        <v>95</v>
      </c>
      <c r="J102" s="180"/>
      <c r="K102" s="139">
        <v>5</v>
      </c>
      <c r="L102" s="40"/>
    </row>
    <row r="103" spans="1:12" ht="13" customHeight="1" thickBot="1" x14ac:dyDescent="0.25">
      <c r="A103" s="41"/>
      <c r="B103" s="179"/>
      <c r="C103" s="37" t="str">
        <f t="shared" ref="C103:I103" si="50">IF(ISBLANK(C102),"",VLOOKUP(C102,$B$108:$L$144,11,0))</f>
        <v/>
      </c>
      <c r="D103" s="37" t="str">
        <f t="shared" si="50"/>
        <v/>
      </c>
      <c r="E103" s="37">
        <f t="shared" si="50"/>
        <v>0</v>
      </c>
      <c r="F103" s="37" t="str">
        <f t="shared" si="50"/>
        <v/>
      </c>
      <c r="G103" s="37" t="str">
        <f t="shared" si="50"/>
        <v/>
      </c>
      <c r="H103" s="37">
        <f t="shared" si="50"/>
        <v>0</v>
      </c>
      <c r="I103" s="37">
        <f t="shared" si="50"/>
        <v>0</v>
      </c>
      <c r="J103" s="181" t="s">
        <v>57</v>
      </c>
      <c r="K103" s="139"/>
    </row>
    <row r="104" spans="1:12" s="39" customFormat="1" ht="13" customHeight="1" thickTop="1" x14ac:dyDescent="0.2">
      <c r="A104" s="21">
        <f>7-(COUNTIF(C104:I104,"")+COUNTIF(C104:I104,$B$142))</f>
        <v>5</v>
      </c>
      <c r="B104" s="178" t="s">
        <v>29</v>
      </c>
      <c r="C104" s="35" t="s">
        <v>87</v>
      </c>
      <c r="D104" s="35" t="s">
        <v>87</v>
      </c>
      <c r="E104" s="35" t="s">
        <v>87</v>
      </c>
      <c r="F104" s="35" t="s">
        <v>87</v>
      </c>
      <c r="G104" s="35" t="s">
        <v>87</v>
      </c>
      <c r="H104" s="35" t="s">
        <v>95</v>
      </c>
      <c r="I104" s="35" t="s">
        <v>95</v>
      </c>
      <c r="J104" s="180"/>
      <c r="L104" s="40"/>
    </row>
    <row r="105" spans="1:12" s="39" customFormat="1" ht="13" customHeight="1" thickBot="1" x14ac:dyDescent="0.25">
      <c r="B105" s="202"/>
      <c r="C105" s="43" t="str">
        <f t="shared" ref="C105:I105" si="51">IF(ISBLANK(C104),"",VLOOKUP(C104,$B$108:$L$144,11,0))</f>
        <v>08H00-16H30</v>
      </c>
      <c r="D105" s="43" t="str">
        <f t="shared" si="51"/>
        <v>08H00-16H30</v>
      </c>
      <c r="E105" s="43" t="str">
        <f t="shared" si="51"/>
        <v>08H00-16H30</v>
      </c>
      <c r="F105" s="43" t="str">
        <f t="shared" si="51"/>
        <v>08H00-16H30</v>
      </c>
      <c r="G105" s="43" t="str">
        <f t="shared" si="51"/>
        <v>08H00-16H30</v>
      </c>
      <c r="H105" s="43">
        <f t="shared" si="51"/>
        <v>0</v>
      </c>
      <c r="I105" s="43">
        <f t="shared" si="51"/>
        <v>0</v>
      </c>
      <c r="J105" s="203"/>
      <c r="L105" s="40"/>
    </row>
    <row r="106" spans="1:12" s="39" customFormat="1" ht="13" customHeight="1" thickTop="1" x14ac:dyDescent="0.2">
      <c r="C106" s="45">
        <f>C5</f>
        <v>43136</v>
      </c>
      <c r="D106" s="45">
        <f t="shared" ref="D106:I106" si="52">C106+1</f>
        <v>43137</v>
      </c>
      <c r="E106" s="45">
        <f t="shared" si="52"/>
        <v>43138</v>
      </c>
      <c r="F106" s="45">
        <f t="shared" si="52"/>
        <v>43139</v>
      </c>
      <c r="G106" s="45">
        <f t="shared" si="52"/>
        <v>43140</v>
      </c>
      <c r="H106" s="45">
        <f t="shared" si="52"/>
        <v>43141</v>
      </c>
      <c r="I106" s="45">
        <f t="shared" si="52"/>
        <v>43142</v>
      </c>
      <c r="L106" s="40"/>
    </row>
    <row r="107" spans="1:12" ht="13" customHeight="1" x14ac:dyDescent="0.2">
      <c r="A107" s="41"/>
      <c r="B107" s="46" t="s">
        <v>39</v>
      </c>
      <c r="C107" s="47"/>
      <c r="D107" s="47"/>
      <c r="E107" s="47"/>
      <c r="F107" s="47"/>
      <c r="G107" s="39"/>
      <c r="H107" s="39"/>
      <c r="I107" s="39"/>
      <c r="J107" s="48" t="s">
        <v>98</v>
      </c>
      <c r="K107" s="49" t="s">
        <v>107</v>
      </c>
      <c r="L107" s="50" t="s">
        <v>97</v>
      </c>
    </row>
    <row r="108" spans="1:12" ht="13" customHeight="1" x14ac:dyDescent="0.2">
      <c r="A108" s="41"/>
      <c r="B108" s="51" t="s">
        <v>117</v>
      </c>
      <c r="C108" s="52">
        <f t="shared" ref="C108:I117" si="53">COUNTIF(C$6:C$105,$B108)</f>
        <v>0</v>
      </c>
      <c r="D108" s="52">
        <f t="shared" si="53"/>
        <v>0</v>
      </c>
      <c r="E108" s="52">
        <f t="shared" si="53"/>
        <v>0</v>
      </c>
      <c r="F108" s="52">
        <f t="shared" si="53"/>
        <v>0</v>
      </c>
      <c r="G108" s="52">
        <f t="shared" si="53"/>
        <v>0</v>
      </c>
      <c r="H108" s="52">
        <f t="shared" si="53"/>
        <v>0</v>
      </c>
      <c r="I108" s="52">
        <f t="shared" si="53"/>
        <v>0</v>
      </c>
      <c r="J108" s="53">
        <f t="shared" ref="J108:J144" si="54">SUM(C108:I108)</f>
        <v>0</v>
      </c>
      <c r="K108" s="49">
        <v>5</v>
      </c>
      <c r="L108" s="1" t="s">
        <v>118</v>
      </c>
    </row>
    <row r="109" spans="1:12" ht="13" customHeight="1" x14ac:dyDescent="0.2">
      <c r="A109" s="41"/>
      <c r="B109" s="54" t="s">
        <v>160</v>
      </c>
      <c r="C109" s="52">
        <f t="shared" si="53"/>
        <v>0</v>
      </c>
      <c r="D109" s="52">
        <f t="shared" si="53"/>
        <v>0</v>
      </c>
      <c r="E109" s="52">
        <f t="shared" si="53"/>
        <v>0</v>
      </c>
      <c r="F109" s="52">
        <f t="shared" si="53"/>
        <v>0</v>
      </c>
      <c r="G109" s="52">
        <f t="shared" si="53"/>
        <v>0</v>
      </c>
      <c r="H109" s="52">
        <f t="shared" si="53"/>
        <v>0</v>
      </c>
      <c r="I109" s="52">
        <f t="shared" si="53"/>
        <v>0</v>
      </c>
      <c r="J109" s="53">
        <f t="shared" si="54"/>
        <v>0</v>
      </c>
      <c r="K109" s="49">
        <v>0</v>
      </c>
      <c r="L109" s="1" t="s">
        <v>116</v>
      </c>
    </row>
    <row r="110" spans="1:12" ht="13" customHeight="1" x14ac:dyDescent="0.2">
      <c r="A110" s="41"/>
      <c r="B110" s="55" t="s">
        <v>79</v>
      </c>
      <c r="C110" s="52">
        <f t="shared" si="53"/>
        <v>1</v>
      </c>
      <c r="D110" s="52">
        <f t="shared" si="53"/>
        <v>1</v>
      </c>
      <c r="E110" s="52">
        <f t="shared" si="53"/>
        <v>1</v>
      </c>
      <c r="F110" s="52">
        <f t="shared" si="53"/>
        <v>1</v>
      </c>
      <c r="G110" s="52">
        <f t="shared" si="53"/>
        <v>1</v>
      </c>
      <c r="H110" s="52">
        <f t="shared" si="53"/>
        <v>1</v>
      </c>
      <c r="I110" s="52">
        <f t="shared" si="53"/>
        <v>1</v>
      </c>
      <c r="J110" s="53">
        <f t="shared" si="54"/>
        <v>7</v>
      </c>
      <c r="K110" s="49">
        <v>7</v>
      </c>
      <c r="L110" s="1" t="s">
        <v>34</v>
      </c>
    </row>
    <row r="111" spans="1:12" ht="13" customHeight="1" x14ac:dyDescent="0.2">
      <c r="A111" s="41"/>
      <c r="B111" s="20" t="s">
        <v>150</v>
      </c>
      <c r="C111" s="52">
        <f t="shared" si="53"/>
        <v>1</v>
      </c>
      <c r="D111" s="52">
        <f t="shared" si="53"/>
        <v>1</v>
      </c>
      <c r="E111" s="52">
        <f t="shared" si="53"/>
        <v>1</v>
      </c>
      <c r="F111" s="52">
        <f t="shared" si="53"/>
        <v>1</v>
      </c>
      <c r="G111" s="52">
        <f t="shared" si="53"/>
        <v>1</v>
      </c>
      <c r="H111" s="52">
        <f t="shared" si="53"/>
        <v>1</v>
      </c>
      <c r="I111" s="52">
        <f t="shared" si="53"/>
        <v>1</v>
      </c>
      <c r="J111" s="53">
        <f t="shared" si="54"/>
        <v>7</v>
      </c>
      <c r="K111" s="49">
        <v>7</v>
      </c>
      <c r="L111" s="1" t="s">
        <v>34</v>
      </c>
    </row>
    <row r="112" spans="1:12" ht="13" customHeight="1" x14ac:dyDescent="0.2">
      <c r="A112" s="41"/>
      <c r="B112" s="3" t="s">
        <v>80</v>
      </c>
      <c r="C112" s="52">
        <f t="shared" si="53"/>
        <v>1</v>
      </c>
      <c r="D112" s="52">
        <f t="shared" si="53"/>
        <v>1</v>
      </c>
      <c r="E112" s="52">
        <f t="shared" si="53"/>
        <v>1</v>
      </c>
      <c r="F112" s="52">
        <f t="shared" si="53"/>
        <v>1</v>
      </c>
      <c r="G112" s="52">
        <f t="shared" si="53"/>
        <v>1</v>
      </c>
      <c r="H112" s="52">
        <f t="shared" si="53"/>
        <v>1</v>
      </c>
      <c r="I112" s="52">
        <f t="shared" si="53"/>
        <v>1</v>
      </c>
      <c r="J112" s="53">
        <f t="shared" si="54"/>
        <v>7</v>
      </c>
      <c r="K112" s="49">
        <v>7</v>
      </c>
      <c r="L112" s="1" t="s">
        <v>32</v>
      </c>
    </row>
    <row r="113" spans="1:12" ht="13" customHeight="1" x14ac:dyDescent="0.2">
      <c r="A113" s="41"/>
      <c r="B113" s="4" t="s">
        <v>81</v>
      </c>
      <c r="C113" s="52">
        <f t="shared" si="53"/>
        <v>1</v>
      </c>
      <c r="D113" s="52">
        <f t="shared" si="53"/>
        <v>1</v>
      </c>
      <c r="E113" s="52">
        <f t="shared" si="53"/>
        <v>1</v>
      </c>
      <c r="F113" s="52">
        <f t="shared" si="53"/>
        <v>1</v>
      </c>
      <c r="G113" s="52">
        <f t="shared" si="53"/>
        <v>1</v>
      </c>
      <c r="H113" s="52">
        <f t="shared" si="53"/>
        <v>1</v>
      </c>
      <c r="I113" s="52">
        <f t="shared" si="53"/>
        <v>1</v>
      </c>
      <c r="J113" s="53">
        <f t="shared" si="54"/>
        <v>7</v>
      </c>
      <c r="K113" s="49">
        <v>7</v>
      </c>
      <c r="L113" s="1" t="s">
        <v>36</v>
      </c>
    </row>
    <row r="114" spans="1:12" ht="13" customHeight="1" x14ac:dyDescent="0.2">
      <c r="B114" s="73" t="s">
        <v>154</v>
      </c>
      <c r="C114" s="52">
        <f t="shared" si="53"/>
        <v>1</v>
      </c>
      <c r="D114" s="52">
        <f t="shared" si="53"/>
        <v>0</v>
      </c>
      <c r="E114" s="52">
        <f t="shared" si="53"/>
        <v>0</v>
      </c>
      <c r="F114" s="52">
        <f t="shared" si="53"/>
        <v>1</v>
      </c>
      <c r="G114" s="52">
        <f t="shared" si="53"/>
        <v>0</v>
      </c>
      <c r="H114" s="52">
        <f t="shared" si="53"/>
        <v>1</v>
      </c>
      <c r="I114" s="52">
        <f t="shared" si="53"/>
        <v>0</v>
      </c>
      <c r="J114" s="53">
        <f t="shared" si="54"/>
        <v>3</v>
      </c>
      <c r="K114" s="49">
        <v>7</v>
      </c>
      <c r="L114" s="1" t="s">
        <v>125</v>
      </c>
    </row>
    <row r="115" spans="1:12" ht="13" customHeight="1" x14ac:dyDescent="0.2">
      <c r="A115" s="41"/>
      <c r="B115" s="5" t="s">
        <v>103</v>
      </c>
      <c r="C115" s="52">
        <f t="shared" si="53"/>
        <v>0</v>
      </c>
      <c r="D115" s="52">
        <f t="shared" si="53"/>
        <v>0</v>
      </c>
      <c r="E115" s="52">
        <f t="shared" si="53"/>
        <v>0</v>
      </c>
      <c r="F115" s="52">
        <f t="shared" si="53"/>
        <v>0</v>
      </c>
      <c r="G115" s="52">
        <f t="shared" si="53"/>
        <v>0</v>
      </c>
      <c r="H115" s="52">
        <f t="shared" si="53"/>
        <v>0</v>
      </c>
      <c r="I115" s="52">
        <f t="shared" si="53"/>
        <v>0</v>
      </c>
      <c r="J115" s="53">
        <f t="shared" si="54"/>
        <v>0</v>
      </c>
      <c r="K115" s="49">
        <v>7</v>
      </c>
      <c r="L115" s="1" t="s">
        <v>38</v>
      </c>
    </row>
    <row r="116" spans="1:12" ht="13" customHeight="1" x14ac:dyDescent="0.2">
      <c r="A116" s="41"/>
      <c r="B116" s="14" t="s">
        <v>149</v>
      </c>
      <c r="C116" s="52">
        <f t="shared" si="53"/>
        <v>1</v>
      </c>
      <c r="D116" s="52">
        <f t="shared" si="53"/>
        <v>1</v>
      </c>
      <c r="E116" s="52">
        <f t="shared" si="53"/>
        <v>1</v>
      </c>
      <c r="F116" s="52">
        <f t="shared" si="53"/>
        <v>1</v>
      </c>
      <c r="G116" s="52">
        <f t="shared" si="53"/>
        <v>1</v>
      </c>
      <c r="H116" s="52">
        <f t="shared" si="53"/>
        <v>1</v>
      </c>
      <c r="I116" s="52">
        <f t="shared" si="53"/>
        <v>1</v>
      </c>
      <c r="J116" s="53">
        <f t="shared" si="54"/>
        <v>7</v>
      </c>
      <c r="K116" s="49">
        <v>7</v>
      </c>
      <c r="L116" s="1" t="s">
        <v>34</v>
      </c>
    </row>
    <row r="117" spans="1:12" ht="13" customHeight="1" x14ac:dyDescent="0.2">
      <c r="A117" s="41"/>
      <c r="B117" s="16" t="s">
        <v>122</v>
      </c>
      <c r="C117" s="52">
        <f t="shared" si="53"/>
        <v>1</v>
      </c>
      <c r="D117" s="52">
        <f t="shared" si="53"/>
        <v>1</v>
      </c>
      <c r="E117" s="52">
        <f t="shared" si="53"/>
        <v>1</v>
      </c>
      <c r="F117" s="52">
        <f t="shared" si="53"/>
        <v>1</v>
      </c>
      <c r="G117" s="52">
        <f t="shared" si="53"/>
        <v>1</v>
      </c>
      <c r="H117" s="52">
        <f t="shared" si="53"/>
        <v>1</v>
      </c>
      <c r="I117" s="52">
        <f t="shared" si="53"/>
        <v>1</v>
      </c>
      <c r="J117" s="53">
        <f>SUM(C117:I117)</f>
        <v>7</v>
      </c>
      <c r="K117" s="49">
        <v>7</v>
      </c>
      <c r="L117" s="1" t="s">
        <v>32</v>
      </c>
    </row>
    <row r="118" spans="1:12" ht="13" customHeight="1" x14ac:dyDescent="0.2">
      <c r="A118" s="41"/>
      <c r="B118" s="6" t="s">
        <v>82</v>
      </c>
      <c r="C118" s="52">
        <f t="shared" ref="C118:I127" si="55">COUNTIF(C$6:C$105,$B118)</f>
        <v>2</v>
      </c>
      <c r="D118" s="52">
        <f t="shared" si="55"/>
        <v>2</v>
      </c>
      <c r="E118" s="52">
        <f t="shared" si="55"/>
        <v>2</v>
      </c>
      <c r="F118" s="52">
        <f t="shared" si="55"/>
        <v>2</v>
      </c>
      <c r="G118" s="52">
        <f t="shared" si="55"/>
        <v>2</v>
      </c>
      <c r="H118" s="52">
        <f t="shared" si="55"/>
        <v>2</v>
      </c>
      <c r="I118" s="52">
        <f t="shared" si="55"/>
        <v>2</v>
      </c>
      <c r="J118" s="53">
        <f t="shared" si="54"/>
        <v>14</v>
      </c>
      <c r="K118" s="49">
        <v>14</v>
      </c>
      <c r="L118" s="1" t="s">
        <v>32</v>
      </c>
    </row>
    <row r="119" spans="1:12" ht="13" customHeight="1" x14ac:dyDescent="0.2">
      <c r="A119" s="41"/>
      <c r="B119" s="6" t="s">
        <v>83</v>
      </c>
      <c r="C119" s="52">
        <f t="shared" si="55"/>
        <v>1</v>
      </c>
      <c r="D119" s="52">
        <f t="shared" si="55"/>
        <v>1</v>
      </c>
      <c r="E119" s="52">
        <f t="shared" si="55"/>
        <v>1</v>
      </c>
      <c r="F119" s="52">
        <f t="shared" si="55"/>
        <v>1</v>
      </c>
      <c r="G119" s="52">
        <f t="shared" si="55"/>
        <v>1</v>
      </c>
      <c r="H119" s="52">
        <f t="shared" si="55"/>
        <v>1</v>
      </c>
      <c r="I119" s="52">
        <f t="shared" si="55"/>
        <v>1</v>
      </c>
      <c r="J119" s="53">
        <f t="shared" si="54"/>
        <v>7</v>
      </c>
      <c r="K119" s="49">
        <v>7</v>
      </c>
      <c r="L119" s="1" t="s">
        <v>34</v>
      </c>
    </row>
    <row r="120" spans="1:12" ht="13" customHeight="1" x14ac:dyDescent="0.2">
      <c r="A120" s="41"/>
      <c r="B120" s="6" t="s">
        <v>109</v>
      </c>
      <c r="C120" s="52">
        <f t="shared" si="55"/>
        <v>0</v>
      </c>
      <c r="D120" s="52">
        <f t="shared" si="55"/>
        <v>0</v>
      </c>
      <c r="E120" s="52">
        <f t="shared" si="55"/>
        <v>0</v>
      </c>
      <c r="F120" s="52">
        <f t="shared" si="55"/>
        <v>0</v>
      </c>
      <c r="G120" s="52">
        <f t="shared" si="55"/>
        <v>0</v>
      </c>
      <c r="H120" s="52">
        <f t="shared" si="55"/>
        <v>0</v>
      </c>
      <c r="I120" s="52">
        <f t="shared" si="55"/>
        <v>0</v>
      </c>
      <c r="J120" s="53">
        <f t="shared" si="54"/>
        <v>0</v>
      </c>
      <c r="K120" s="49">
        <v>0</v>
      </c>
      <c r="L120" s="1" t="s">
        <v>126</v>
      </c>
    </row>
    <row r="121" spans="1:12" ht="13" customHeight="1" x14ac:dyDescent="0.2">
      <c r="A121" s="41"/>
      <c r="B121" s="7" t="s">
        <v>84</v>
      </c>
      <c r="C121" s="52">
        <f t="shared" si="55"/>
        <v>3</v>
      </c>
      <c r="D121" s="52">
        <f t="shared" si="55"/>
        <v>3</v>
      </c>
      <c r="E121" s="52">
        <f t="shared" si="55"/>
        <v>3</v>
      </c>
      <c r="F121" s="52">
        <f t="shared" si="55"/>
        <v>3</v>
      </c>
      <c r="G121" s="52">
        <f t="shared" si="55"/>
        <v>3</v>
      </c>
      <c r="H121" s="52">
        <f t="shared" si="55"/>
        <v>3</v>
      </c>
      <c r="I121" s="52">
        <f t="shared" si="55"/>
        <v>3</v>
      </c>
      <c r="J121" s="53">
        <f t="shared" si="54"/>
        <v>21</v>
      </c>
      <c r="K121" s="49">
        <v>21</v>
      </c>
      <c r="L121" s="1" t="s">
        <v>35</v>
      </c>
    </row>
    <row r="122" spans="1:12" ht="13" customHeight="1" x14ac:dyDescent="0.2">
      <c r="A122" s="41"/>
      <c r="B122" s="17" t="s">
        <v>123</v>
      </c>
      <c r="C122" s="52">
        <f t="shared" si="55"/>
        <v>1</v>
      </c>
      <c r="D122" s="52">
        <f t="shared" si="55"/>
        <v>1</v>
      </c>
      <c r="E122" s="52">
        <f t="shared" si="55"/>
        <v>1</v>
      </c>
      <c r="F122" s="52">
        <f t="shared" si="55"/>
        <v>1</v>
      </c>
      <c r="G122" s="52">
        <f t="shared" si="55"/>
        <v>1</v>
      </c>
      <c r="H122" s="52">
        <f t="shared" si="55"/>
        <v>1</v>
      </c>
      <c r="I122" s="52">
        <f t="shared" si="55"/>
        <v>1</v>
      </c>
      <c r="J122" s="53">
        <f>SUM(C122:I122)</f>
        <v>7</v>
      </c>
      <c r="K122" s="49">
        <v>7</v>
      </c>
      <c r="L122" s="1" t="s">
        <v>36</v>
      </c>
    </row>
    <row r="123" spans="1:12" ht="13" customHeight="1" x14ac:dyDescent="0.2">
      <c r="A123" s="41"/>
      <c r="B123" s="7" t="s">
        <v>85</v>
      </c>
      <c r="C123" s="52">
        <f t="shared" si="55"/>
        <v>1</v>
      </c>
      <c r="D123" s="52">
        <f t="shared" si="55"/>
        <v>1</v>
      </c>
      <c r="E123" s="52">
        <f t="shared" si="55"/>
        <v>0</v>
      </c>
      <c r="F123" s="52">
        <f t="shared" si="55"/>
        <v>1</v>
      </c>
      <c r="G123" s="52">
        <f t="shared" si="55"/>
        <v>1</v>
      </c>
      <c r="H123" s="52">
        <f t="shared" si="55"/>
        <v>1</v>
      </c>
      <c r="I123" s="52">
        <f t="shared" si="55"/>
        <v>1</v>
      </c>
      <c r="J123" s="53">
        <f t="shared" si="54"/>
        <v>6</v>
      </c>
      <c r="K123" s="49">
        <v>7</v>
      </c>
      <c r="L123" s="1" t="s">
        <v>36</v>
      </c>
    </row>
    <row r="124" spans="1:12" ht="13" customHeight="1" x14ac:dyDescent="0.2">
      <c r="A124" s="41"/>
      <c r="B124" s="8" t="s">
        <v>110</v>
      </c>
      <c r="C124" s="52">
        <f t="shared" si="55"/>
        <v>1</v>
      </c>
      <c r="D124" s="52">
        <f t="shared" si="55"/>
        <v>1</v>
      </c>
      <c r="E124" s="52">
        <f t="shared" si="55"/>
        <v>1</v>
      </c>
      <c r="F124" s="52">
        <f t="shared" si="55"/>
        <v>1</v>
      </c>
      <c r="G124" s="52">
        <f t="shared" si="55"/>
        <v>1</v>
      </c>
      <c r="H124" s="52">
        <f t="shared" si="55"/>
        <v>1</v>
      </c>
      <c r="I124" s="52">
        <f t="shared" si="55"/>
        <v>1</v>
      </c>
      <c r="J124" s="53">
        <f t="shared" si="54"/>
        <v>7</v>
      </c>
      <c r="K124" s="49">
        <v>7</v>
      </c>
      <c r="L124" s="1" t="s">
        <v>38</v>
      </c>
    </row>
    <row r="125" spans="1:12" ht="13" customHeight="1" x14ac:dyDescent="0.2">
      <c r="A125" s="41"/>
      <c r="B125" s="56" t="s">
        <v>86</v>
      </c>
      <c r="C125" s="52">
        <f t="shared" si="55"/>
        <v>0</v>
      </c>
      <c r="D125" s="52">
        <f t="shared" si="55"/>
        <v>0</v>
      </c>
      <c r="E125" s="52">
        <f t="shared" si="55"/>
        <v>0</v>
      </c>
      <c r="F125" s="52">
        <f t="shared" si="55"/>
        <v>0</v>
      </c>
      <c r="G125" s="52">
        <f t="shared" si="55"/>
        <v>0</v>
      </c>
      <c r="H125" s="52">
        <f t="shared" si="55"/>
        <v>0</v>
      </c>
      <c r="I125" s="52">
        <f t="shared" si="55"/>
        <v>0</v>
      </c>
      <c r="J125" s="53">
        <f t="shared" si="54"/>
        <v>0</v>
      </c>
      <c r="K125" s="49">
        <v>19</v>
      </c>
      <c r="L125" s="1" t="s">
        <v>32</v>
      </c>
    </row>
    <row r="126" spans="1:12" ht="13" customHeight="1" x14ac:dyDescent="0.2">
      <c r="A126" s="41"/>
      <c r="B126" s="56" t="s">
        <v>87</v>
      </c>
      <c r="C126" s="52">
        <f t="shared" si="55"/>
        <v>7</v>
      </c>
      <c r="D126" s="52">
        <f t="shared" si="55"/>
        <v>7</v>
      </c>
      <c r="E126" s="52">
        <f t="shared" si="55"/>
        <v>7</v>
      </c>
      <c r="F126" s="52">
        <f t="shared" si="55"/>
        <v>7</v>
      </c>
      <c r="G126" s="52">
        <f t="shared" si="55"/>
        <v>7</v>
      </c>
      <c r="H126" s="52">
        <f t="shared" si="55"/>
        <v>0</v>
      </c>
      <c r="I126" s="52">
        <f t="shared" si="55"/>
        <v>0</v>
      </c>
      <c r="J126" s="53">
        <f t="shared" si="54"/>
        <v>35</v>
      </c>
      <c r="K126" s="49">
        <v>20</v>
      </c>
      <c r="L126" s="1" t="s">
        <v>116</v>
      </c>
    </row>
    <row r="127" spans="1:12" ht="13" customHeight="1" x14ac:dyDescent="0.2">
      <c r="A127" s="41"/>
      <c r="B127" s="57" t="s">
        <v>88</v>
      </c>
      <c r="C127" s="52">
        <f t="shared" si="55"/>
        <v>0</v>
      </c>
      <c r="D127" s="52">
        <f t="shared" si="55"/>
        <v>0</v>
      </c>
      <c r="E127" s="52">
        <f t="shared" si="55"/>
        <v>0</v>
      </c>
      <c r="F127" s="52">
        <f t="shared" si="55"/>
        <v>0</v>
      </c>
      <c r="G127" s="52">
        <f t="shared" si="55"/>
        <v>0</v>
      </c>
      <c r="H127" s="52">
        <f t="shared" si="55"/>
        <v>0</v>
      </c>
      <c r="I127" s="52">
        <f t="shared" si="55"/>
        <v>0</v>
      </c>
      <c r="J127" s="53">
        <f t="shared" si="54"/>
        <v>0</v>
      </c>
      <c r="K127" s="49">
        <v>6</v>
      </c>
      <c r="L127" s="1" t="s">
        <v>36</v>
      </c>
    </row>
    <row r="128" spans="1:12" ht="13" customHeight="1" x14ac:dyDescent="0.2">
      <c r="A128" s="41"/>
      <c r="B128" s="58" t="s">
        <v>89</v>
      </c>
      <c r="C128" s="52">
        <f t="shared" ref="C128:I133" si="56">COUNTIF(C$6:C$105,$B128)</f>
        <v>1</v>
      </c>
      <c r="D128" s="52">
        <f t="shared" si="56"/>
        <v>1</v>
      </c>
      <c r="E128" s="52">
        <f t="shared" si="56"/>
        <v>0</v>
      </c>
      <c r="F128" s="52">
        <f t="shared" si="56"/>
        <v>1</v>
      </c>
      <c r="G128" s="52">
        <f t="shared" si="56"/>
        <v>1</v>
      </c>
      <c r="H128" s="52">
        <f t="shared" si="56"/>
        <v>0</v>
      </c>
      <c r="I128" s="52">
        <f t="shared" si="56"/>
        <v>0</v>
      </c>
      <c r="J128" s="53">
        <f t="shared" si="54"/>
        <v>4</v>
      </c>
      <c r="K128" s="49">
        <v>5</v>
      </c>
      <c r="L128" s="1" t="s">
        <v>37</v>
      </c>
    </row>
    <row r="129" spans="1:12" ht="13" customHeight="1" x14ac:dyDescent="0.2">
      <c r="A129" s="41"/>
      <c r="B129" s="9" t="s">
        <v>90</v>
      </c>
      <c r="C129" s="52">
        <f t="shared" si="56"/>
        <v>1</v>
      </c>
      <c r="D129" s="52">
        <f t="shared" si="56"/>
        <v>1</v>
      </c>
      <c r="E129" s="52">
        <f t="shared" si="56"/>
        <v>1</v>
      </c>
      <c r="F129" s="52">
        <f t="shared" si="56"/>
        <v>1</v>
      </c>
      <c r="G129" s="52">
        <f t="shared" si="56"/>
        <v>1</v>
      </c>
      <c r="H129" s="52">
        <f t="shared" si="56"/>
        <v>1</v>
      </c>
      <c r="I129" s="52">
        <f t="shared" si="56"/>
        <v>1</v>
      </c>
      <c r="J129" s="53">
        <f t="shared" si="54"/>
        <v>7</v>
      </c>
      <c r="K129" s="49">
        <v>7</v>
      </c>
      <c r="L129" s="1" t="s">
        <v>32</v>
      </c>
    </row>
    <row r="130" spans="1:12" ht="13" customHeight="1" x14ac:dyDescent="0.2">
      <c r="A130" s="41"/>
      <c r="B130" s="9" t="s">
        <v>91</v>
      </c>
      <c r="C130" s="52">
        <f t="shared" si="56"/>
        <v>1</v>
      </c>
      <c r="D130" s="52">
        <f t="shared" si="56"/>
        <v>1</v>
      </c>
      <c r="E130" s="52">
        <f t="shared" si="56"/>
        <v>1</v>
      </c>
      <c r="F130" s="52">
        <f t="shared" si="56"/>
        <v>1</v>
      </c>
      <c r="G130" s="52">
        <f t="shared" si="56"/>
        <v>1</v>
      </c>
      <c r="H130" s="52">
        <f t="shared" si="56"/>
        <v>1</v>
      </c>
      <c r="I130" s="52">
        <f t="shared" si="56"/>
        <v>1</v>
      </c>
      <c r="J130" s="53">
        <f t="shared" si="54"/>
        <v>7</v>
      </c>
      <c r="K130" s="49">
        <v>7</v>
      </c>
      <c r="L130" s="1" t="s">
        <v>32</v>
      </c>
    </row>
    <row r="131" spans="1:12" ht="13" customHeight="1" x14ac:dyDescent="0.2">
      <c r="A131" s="41"/>
      <c r="B131" s="9" t="s">
        <v>92</v>
      </c>
      <c r="C131" s="52">
        <f t="shared" si="56"/>
        <v>1</v>
      </c>
      <c r="D131" s="52">
        <f t="shared" si="56"/>
        <v>1</v>
      </c>
      <c r="E131" s="52">
        <f t="shared" si="56"/>
        <v>1</v>
      </c>
      <c r="F131" s="52">
        <f t="shared" si="56"/>
        <v>1</v>
      </c>
      <c r="G131" s="52">
        <f t="shared" si="56"/>
        <v>1</v>
      </c>
      <c r="H131" s="52">
        <f t="shared" si="56"/>
        <v>1</v>
      </c>
      <c r="I131" s="52">
        <f t="shared" si="56"/>
        <v>1</v>
      </c>
      <c r="J131" s="53">
        <f t="shared" si="54"/>
        <v>7</v>
      </c>
      <c r="K131" s="49">
        <v>7</v>
      </c>
      <c r="L131" s="1" t="s">
        <v>96</v>
      </c>
    </row>
    <row r="132" spans="1:12" ht="13" customHeight="1" x14ac:dyDescent="0.2">
      <c r="A132" s="41"/>
      <c r="B132" s="10" t="s">
        <v>31</v>
      </c>
      <c r="C132" s="52">
        <f t="shared" si="56"/>
        <v>1</v>
      </c>
      <c r="D132" s="52">
        <f t="shared" si="56"/>
        <v>1</v>
      </c>
      <c r="E132" s="52">
        <f t="shared" si="56"/>
        <v>1</v>
      </c>
      <c r="F132" s="52">
        <f t="shared" si="56"/>
        <v>1</v>
      </c>
      <c r="G132" s="52">
        <f t="shared" si="56"/>
        <v>1</v>
      </c>
      <c r="H132" s="52">
        <f t="shared" si="56"/>
        <v>1</v>
      </c>
      <c r="I132" s="52">
        <f t="shared" si="56"/>
        <v>1</v>
      </c>
      <c r="J132" s="53">
        <f t="shared" si="54"/>
        <v>7</v>
      </c>
      <c r="K132" s="49">
        <v>7</v>
      </c>
      <c r="L132" s="1" t="s">
        <v>32</v>
      </c>
    </row>
    <row r="133" spans="1:12" ht="13" customHeight="1" x14ac:dyDescent="0.2">
      <c r="A133" s="41"/>
      <c r="B133" s="11" t="s">
        <v>93</v>
      </c>
      <c r="C133" s="52">
        <f t="shared" si="56"/>
        <v>1</v>
      </c>
      <c r="D133" s="52">
        <f t="shared" si="56"/>
        <v>1</v>
      </c>
      <c r="E133" s="52">
        <f t="shared" si="56"/>
        <v>1</v>
      </c>
      <c r="F133" s="52">
        <f t="shared" si="56"/>
        <v>1</v>
      </c>
      <c r="G133" s="52">
        <f t="shared" si="56"/>
        <v>1</v>
      </c>
      <c r="H133" s="52">
        <f t="shared" si="56"/>
        <v>1</v>
      </c>
      <c r="I133" s="52">
        <f t="shared" si="56"/>
        <v>1</v>
      </c>
      <c r="J133" s="53">
        <f t="shared" si="54"/>
        <v>7</v>
      </c>
      <c r="K133" s="49">
        <v>7</v>
      </c>
      <c r="L133" s="1" t="s">
        <v>32</v>
      </c>
    </row>
    <row r="134" spans="1:12" ht="13" customHeight="1" x14ac:dyDescent="0.2">
      <c r="B134" s="19" t="s">
        <v>137</v>
      </c>
      <c r="C134" s="52">
        <f t="shared" ref="C134:I136" si="57">COUNTIF(C$6:C$113,Actions)</f>
        <v>1</v>
      </c>
      <c r="D134" s="52">
        <f t="shared" si="57"/>
        <v>1</v>
      </c>
      <c r="E134" s="52">
        <f t="shared" si="57"/>
        <v>1</v>
      </c>
      <c r="F134" s="52">
        <f t="shared" si="57"/>
        <v>1</v>
      </c>
      <c r="G134" s="52">
        <f t="shared" si="57"/>
        <v>1</v>
      </c>
      <c r="H134" s="52">
        <f t="shared" si="57"/>
        <v>1</v>
      </c>
      <c r="I134" s="52">
        <f t="shared" si="57"/>
        <v>1</v>
      </c>
      <c r="J134" s="53">
        <f t="shared" si="54"/>
        <v>7</v>
      </c>
      <c r="K134" s="59">
        <v>7</v>
      </c>
      <c r="L134" s="2" t="s">
        <v>32</v>
      </c>
    </row>
    <row r="135" spans="1:12" ht="13" customHeight="1" x14ac:dyDescent="0.2">
      <c r="B135" s="18" t="s">
        <v>139</v>
      </c>
      <c r="C135" s="52">
        <f t="shared" si="57"/>
        <v>1</v>
      </c>
      <c r="D135" s="52">
        <f t="shared" si="57"/>
        <v>1</v>
      </c>
      <c r="E135" s="52">
        <f t="shared" si="57"/>
        <v>1</v>
      </c>
      <c r="F135" s="52">
        <f t="shared" si="57"/>
        <v>1</v>
      </c>
      <c r="G135" s="52">
        <f t="shared" si="57"/>
        <v>1</v>
      </c>
      <c r="H135" s="52">
        <f t="shared" si="57"/>
        <v>1</v>
      </c>
      <c r="I135" s="52">
        <f t="shared" si="57"/>
        <v>1</v>
      </c>
      <c r="J135" s="53">
        <f t="shared" si="54"/>
        <v>7</v>
      </c>
      <c r="K135" s="60">
        <v>7</v>
      </c>
      <c r="L135" s="2" t="s">
        <v>140</v>
      </c>
    </row>
    <row r="136" spans="1:12" ht="13" customHeight="1" x14ac:dyDescent="0.2">
      <c r="B136" s="61" t="s">
        <v>138</v>
      </c>
      <c r="C136" s="52">
        <f t="shared" si="57"/>
        <v>1</v>
      </c>
      <c r="D136" s="52">
        <f t="shared" si="57"/>
        <v>1</v>
      </c>
      <c r="E136" s="52">
        <f t="shared" si="57"/>
        <v>1</v>
      </c>
      <c r="F136" s="52">
        <f t="shared" si="57"/>
        <v>1</v>
      </c>
      <c r="G136" s="52">
        <f t="shared" si="57"/>
        <v>1</v>
      </c>
      <c r="H136" s="52">
        <f t="shared" si="57"/>
        <v>1</v>
      </c>
      <c r="I136" s="52">
        <f t="shared" si="57"/>
        <v>1</v>
      </c>
      <c r="J136" s="53">
        <f t="shared" si="54"/>
        <v>7</v>
      </c>
      <c r="K136" s="62">
        <v>7</v>
      </c>
      <c r="L136" s="2" t="s">
        <v>141</v>
      </c>
    </row>
    <row r="137" spans="1:12" ht="13" customHeight="1" x14ac:dyDescent="0.2">
      <c r="A137" s="41"/>
      <c r="B137" s="12" t="s">
        <v>151</v>
      </c>
      <c r="C137" s="52">
        <f t="shared" ref="C137:I144" si="58">COUNTIF(C$6:C$105,$B137)</f>
        <v>0</v>
      </c>
      <c r="D137" s="52">
        <f t="shared" si="58"/>
        <v>0</v>
      </c>
      <c r="E137" s="52">
        <f t="shared" si="58"/>
        <v>0</v>
      </c>
      <c r="F137" s="52">
        <f t="shared" si="58"/>
        <v>0</v>
      </c>
      <c r="G137" s="52">
        <f t="shared" si="58"/>
        <v>0</v>
      </c>
      <c r="H137" s="52">
        <f t="shared" si="58"/>
        <v>1</v>
      </c>
      <c r="I137" s="52">
        <f t="shared" si="58"/>
        <v>1</v>
      </c>
      <c r="J137" s="53">
        <f t="shared" si="54"/>
        <v>2</v>
      </c>
      <c r="K137" s="59">
        <v>2</v>
      </c>
      <c r="L137" s="2" t="s">
        <v>33</v>
      </c>
    </row>
    <row r="138" spans="1:12" ht="13" customHeight="1" x14ac:dyDescent="0.2">
      <c r="A138" s="41"/>
      <c r="B138" s="12" t="s">
        <v>94</v>
      </c>
      <c r="C138" s="52">
        <f t="shared" si="58"/>
        <v>0</v>
      </c>
      <c r="D138" s="52">
        <f t="shared" si="58"/>
        <v>0</v>
      </c>
      <c r="E138" s="52">
        <f t="shared" si="58"/>
        <v>0</v>
      </c>
      <c r="F138" s="52">
        <f t="shared" si="58"/>
        <v>0</v>
      </c>
      <c r="G138" s="52">
        <f t="shared" si="58"/>
        <v>0</v>
      </c>
      <c r="H138" s="52">
        <f t="shared" si="58"/>
        <v>0</v>
      </c>
      <c r="I138" s="52">
        <f t="shared" si="58"/>
        <v>0</v>
      </c>
      <c r="J138" s="53">
        <f t="shared" si="54"/>
        <v>0</v>
      </c>
      <c r="K138" s="60">
        <v>1</v>
      </c>
      <c r="L138" s="2" t="s">
        <v>33</v>
      </c>
    </row>
    <row r="139" spans="1:12" ht="13" customHeight="1" x14ac:dyDescent="0.2">
      <c r="A139" s="41"/>
      <c r="B139" s="63" t="s">
        <v>152</v>
      </c>
      <c r="C139" s="52">
        <f t="shared" si="58"/>
        <v>1</v>
      </c>
      <c r="D139" s="52">
        <f t="shared" si="58"/>
        <v>1</v>
      </c>
      <c r="E139" s="52">
        <f t="shared" si="58"/>
        <v>1</v>
      </c>
      <c r="F139" s="52">
        <f t="shared" si="58"/>
        <v>1</v>
      </c>
      <c r="G139" s="52">
        <f t="shared" si="58"/>
        <v>1</v>
      </c>
      <c r="H139" s="52">
        <f t="shared" si="58"/>
        <v>0</v>
      </c>
      <c r="I139" s="52">
        <f t="shared" si="58"/>
        <v>0</v>
      </c>
      <c r="J139" s="53">
        <f t="shared" si="54"/>
        <v>5</v>
      </c>
      <c r="K139" s="62">
        <v>5</v>
      </c>
      <c r="L139" s="2" t="s">
        <v>33</v>
      </c>
    </row>
    <row r="140" spans="1:12" ht="13" customHeight="1" x14ac:dyDescent="0.2">
      <c r="A140" s="41"/>
      <c r="B140" s="64" t="s">
        <v>40</v>
      </c>
      <c r="C140" s="52">
        <f t="shared" si="58"/>
        <v>3</v>
      </c>
      <c r="D140" s="52">
        <f t="shared" si="58"/>
        <v>3</v>
      </c>
      <c r="E140" s="52">
        <f t="shared" si="58"/>
        <v>1</v>
      </c>
      <c r="F140" s="52">
        <f t="shared" si="58"/>
        <v>2</v>
      </c>
      <c r="G140" s="52">
        <f t="shared" si="58"/>
        <v>2</v>
      </c>
      <c r="H140" s="52">
        <f t="shared" si="58"/>
        <v>1</v>
      </c>
      <c r="I140" s="52">
        <f t="shared" si="58"/>
        <v>0</v>
      </c>
      <c r="J140" s="53">
        <f t="shared" si="54"/>
        <v>12</v>
      </c>
      <c r="K140" s="65">
        <v>7</v>
      </c>
      <c r="L140" s="13"/>
    </row>
    <row r="141" spans="1:12" ht="13" customHeight="1" x14ac:dyDescent="0.2">
      <c r="A141" s="41"/>
      <c r="B141" s="64" t="s">
        <v>41</v>
      </c>
      <c r="C141" s="52">
        <f t="shared" si="58"/>
        <v>0</v>
      </c>
      <c r="D141" s="52">
        <f t="shared" si="58"/>
        <v>0</v>
      </c>
      <c r="E141" s="52">
        <f t="shared" si="58"/>
        <v>0</v>
      </c>
      <c r="F141" s="52">
        <f t="shared" si="58"/>
        <v>0</v>
      </c>
      <c r="G141" s="52">
        <f t="shared" si="58"/>
        <v>0</v>
      </c>
      <c r="H141" s="52">
        <f t="shared" si="58"/>
        <v>0</v>
      </c>
      <c r="I141" s="52">
        <f t="shared" si="58"/>
        <v>0</v>
      </c>
      <c r="J141" s="53">
        <f t="shared" si="54"/>
        <v>0</v>
      </c>
      <c r="K141" s="65">
        <v>0</v>
      </c>
      <c r="L141" s="13"/>
    </row>
    <row r="142" spans="1:12" ht="13" customHeight="1" x14ac:dyDescent="0.2">
      <c r="A142" s="41"/>
      <c r="B142" s="66" t="s">
        <v>95</v>
      </c>
      <c r="C142" s="52">
        <f t="shared" si="58"/>
        <v>2</v>
      </c>
      <c r="D142" s="52">
        <f t="shared" si="58"/>
        <v>2</v>
      </c>
      <c r="E142" s="52">
        <f t="shared" si="58"/>
        <v>2</v>
      </c>
      <c r="F142" s="52">
        <f t="shared" si="58"/>
        <v>1</v>
      </c>
      <c r="G142" s="52">
        <f t="shared" si="58"/>
        <v>2</v>
      </c>
      <c r="H142" s="52">
        <f t="shared" si="58"/>
        <v>16</v>
      </c>
      <c r="I142" s="52">
        <f t="shared" si="58"/>
        <v>21</v>
      </c>
      <c r="J142" s="53">
        <f t="shared" si="54"/>
        <v>46</v>
      </c>
      <c r="K142" s="65">
        <v>25</v>
      </c>
      <c r="L142" s="13"/>
    </row>
    <row r="143" spans="1:12" ht="13" customHeight="1" x14ac:dyDescent="0.2">
      <c r="A143" s="41"/>
      <c r="B143" s="67" t="s">
        <v>99</v>
      </c>
      <c r="C143" s="52">
        <f t="shared" si="58"/>
        <v>1</v>
      </c>
      <c r="D143" s="52">
        <f t="shared" si="58"/>
        <v>1</v>
      </c>
      <c r="E143" s="52">
        <f t="shared" si="58"/>
        <v>2</v>
      </c>
      <c r="F143" s="52">
        <f t="shared" si="58"/>
        <v>1</v>
      </c>
      <c r="G143" s="52">
        <f t="shared" si="58"/>
        <v>1</v>
      </c>
      <c r="H143" s="52">
        <f t="shared" si="58"/>
        <v>0</v>
      </c>
      <c r="I143" s="52">
        <f t="shared" si="58"/>
        <v>0</v>
      </c>
      <c r="J143" s="53">
        <f t="shared" si="54"/>
        <v>6</v>
      </c>
      <c r="K143" s="65">
        <v>0</v>
      </c>
      <c r="L143" s="13"/>
    </row>
    <row r="144" spans="1:12" ht="13" customHeight="1" x14ac:dyDescent="0.2">
      <c r="A144" s="41"/>
      <c r="B144" s="67" t="s">
        <v>100</v>
      </c>
      <c r="C144" s="52">
        <f t="shared" si="58"/>
        <v>0</v>
      </c>
      <c r="D144" s="52">
        <f t="shared" si="58"/>
        <v>0</v>
      </c>
      <c r="E144" s="52">
        <f t="shared" si="58"/>
        <v>1</v>
      </c>
      <c r="F144" s="52">
        <f t="shared" si="58"/>
        <v>0</v>
      </c>
      <c r="G144" s="52">
        <f t="shared" si="58"/>
        <v>0</v>
      </c>
      <c r="H144" s="52">
        <f t="shared" si="58"/>
        <v>0</v>
      </c>
      <c r="I144" s="52">
        <f t="shared" si="58"/>
        <v>0</v>
      </c>
      <c r="J144" s="53">
        <f t="shared" si="54"/>
        <v>1</v>
      </c>
      <c r="K144" s="65">
        <v>0</v>
      </c>
      <c r="L144" s="13" t="s">
        <v>101</v>
      </c>
    </row>
    <row r="145" spans="1:10" ht="13" customHeight="1" x14ac:dyDescent="0.2">
      <c r="A145" s="41"/>
      <c r="B145" s="68"/>
      <c r="C145" s="69">
        <f t="shared" ref="C145:I145" si="59">SUM(C108:C139)-SUM(C125:C128)-C108</f>
        <v>25</v>
      </c>
      <c r="D145" s="69">
        <f t="shared" si="59"/>
        <v>24</v>
      </c>
      <c r="E145" s="69">
        <f t="shared" si="59"/>
        <v>23</v>
      </c>
      <c r="F145" s="69">
        <f t="shared" si="59"/>
        <v>25</v>
      </c>
      <c r="G145" s="69">
        <f t="shared" si="59"/>
        <v>24</v>
      </c>
      <c r="H145" s="69">
        <f t="shared" si="59"/>
        <v>25</v>
      </c>
      <c r="I145" s="69">
        <f t="shared" si="59"/>
        <v>24</v>
      </c>
      <c r="J145" s="69">
        <f>SUM(J108:J139)</f>
        <v>209</v>
      </c>
    </row>
  </sheetData>
  <mergeCells count="102">
    <mergeCell ref="B104:B105"/>
    <mergeCell ref="J104:J105"/>
    <mergeCell ref="B98:B99"/>
    <mergeCell ref="J98:J99"/>
    <mergeCell ref="B100:B101"/>
    <mergeCell ref="J100:J101"/>
    <mergeCell ref="B102:B103"/>
    <mergeCell ref="J102:J103"/>
    <mergeCell ref="B92:B93"/>
    <mergeCell ref="J92:J93"/>
    <mergeCell ref="B94:B95"/>
    <mergeCell ref="J94:J95"/>
    <mergeCell ref="B96:B97"/>
    <mergeCell ref="J96:J97"/>
    <mergeCell ref="B86:B87"/>
    <mergeCell ref="J86:J87"/>
    <mergeCell ref="B88:B89"/>
    <mergeCell ref="J88:J89"/>
    <mergeCell ref="B90:B91"/>
    <mergeCell ref="J90:J91"/>
    <mergeCell ref="B82:B83"/>
    <mergeCell ref="J82:J83"/>
    <mergeCell ref="B84:B85"/>
    <mergeCell ref="J84:J85"/>
    <mergeCell ref="B78:B79"/>
    <mergeCell ref="J78:J79"/>
    <mergeCell ref="B80:B81"/>
    <mergeCell ref="J80:J81"/>
    <mergeCell ref="B72:B73"/>
    <mergeCell ref="J72:J73"/>
    <mergeCell ref="B74:B75"/>
    <mergeCell ref="J74:J75"/>
    <mergeCell ref="B76:B77"/>
    <mergeCell ref="J76:J77"/>
    <mergeCell ref="B68:B69"/>
    <mergeCell ref="J68:J69"/>
    <mergeCell ref="B70:B71"/>
    <mergeCell ref="J70:J71"/>
    <mergeCell ref="B64:B65"/>
    <mergeCell ref="J64:J65"/>
    <mergeCell ref="B66:B67"/>
    <mergeCell ref="J66:J67"/>
    <mergeCell ref="B58:B59"/>
    <mergeCell ref="J58:J59"/>
    <mergeCell ref="B60:B61"/>
    <mergeCell ref="J60:J61"/>
    <mergeCell ref="B62:B63"/>
    <mergeCell ref="J62:J63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32:B33"/>
    <mergeCell ref="J32:J33"/>
    <mergeCell ref="B22:B23"/>
    <mergeCell ref="J22:J23"/>
    <mergeCell ref="B24:B25"/>
    <mergeCell ref="J24:J25"/>
    <mergeCell ref="B26:B27"/>
    <mergeCell ref="J26:J27"/>
    <mergeCell ref="B40:B41"/>
    <mergeCell ref="J40:J41"/>
    <mergeCell ref="B30:B31"/>
    <mergeCell ref="J30:J31"/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</mergeCells>
  <conditionalFormatting sqref="C145:I145">
    <cfRule type="cellIs" dxfId="4083" priority="1544" operator="lessThan">
      <formula>22</formula>
    </cfRule>
  </conditionalFormatting>
  <conditionalFormatting sqref="J115:J116 J118:J121 J123:J133 J108:J113">
    <cfRule type="cellIs" dxfId="4082" priority="1543" operator="notEqual">
      <formula>$K108</formula>
    </cfRule>
  </conditionalFormatting>
  <conditionalFormatting sqref="J137">
    <cfRule type="expression" dxfId="4081" priority="1542">
      <formula>$J$137+$J$138&lt;$K$137</formula>
    </cfRule>
  </conditionalFormatting>
  <conditionalFormatting sqref="J138">
    <cfRule type="expression" dxfId="4080" priority="1541">
      <formula>$J$137+$J$138&lt;$K$137</formula>
    </cfRule>
  </conditionalFormatting>
  <conditionalFormatting sqref="J140:J144">
    <cfRule type="cellIs" dxfId="4079" priority="1540" operator="notEqual">
      <formula>$K140</formula>
    </cfRule>
  </conditionalFormatting>
  <conditionalFormatting sqref="C91:I91">
    <cfRule type="expression" dxfId="4078" priority="1539">
      <formula>C91=$B$114</formula>
    </cfRule>
  </conditionalFormatting>
  <conditionalFormatting sqref="J114">
    <cfRule type="cellIs" dxfId="4077" priority="1538" operator="notEqual">
      <formula>$K114</formula>
    </cfRule>
  </conditionalFormatting>
  <conditionalFormatting sqref="C77:I77">
    <cfRule type="expression" dxfId="4076" priority="1536">
      <formula>C77=$B$114</formula>
    </cfRule>
  </conditionalFormatting>
  <conditionalFormatting sqref="C77:I77">
    <cfRule type="expression" dxfId="4075" priority="1537">
      <formula>C77=$B$109</formula>
    </cfRule>
  </conditionalFormatting>
  <conditionalFormatting sqref="J117">
    <cfRule type="cellIs" dxfId="4074" priority="1535" operator="notEqual">
      <formula>$K117</formula>
    </cfRule>
  </conditionalFormatting>
  <conditionalFormatting sqref="J122">
    <cfRule type="cellIs" dxfId="4073" priority="1534" operator="notEqual">
      <formula>$K122</formula>
    </cfRule>
  </conditionalFormatting>
  <conditionalFormatting sqref="H50">
    <cfRule type="expression" dxfId="4072" priority="1532">
      <formula>H50=$B$114</formula>
    </cfRule>
  </conditionalFormatting>
  <conditionalFormatting sqref="H50">
    <cfRule type="expression" dxfId="4071" priority="1533">
      <formula>H50=$B$109</formula>
    </cfRule>
  </conditionalFormatting>
  <conditionalFormatting sqref="C36">
    <cfRule type="expression" dxfId="4070" priority="1530">
      <formula>C36=$B$114</formula>
    </cfRule>
  </conditionalFormatting>
  <conditionalFormatting sqref="C36">
    <cfRule type="expression" dxfId="4069" priority="1531">
      <formula>C36=$B$109</formula>
    </cfRule>
  </conditionalFormatting>
  <conditionalFormatting sqref="C104:I105 C76 C88:G88 E38:I38 C92:F92 C38 C64:F64 C86:I87 C96:I99 C59:I63 E76:I76 C89:I91 C77:I83 C6:I37 C66:I75 C39:I48 C50:I57">
    <cfRule type="expression" dxfId="4068" priority="1546">
      <formula>C6=$B$128</formula>
    </cfRule>
    <cfRule type="expression" dxfId="4067" priority="1547">
      <formula>C6=$B$126</formula>
    </cfRule>
    <cfRule type="expression" dxfId="4066" priority="1548">
      <formula>C6=$B$122</formula>
    </cfRule>
    <cfRule type="expression" dxfId="4065" priority="1549">
      <formula>C6=$B$117</formula>
    </cfRule>
    <cfRule type="expression" dxfId="4064" priority="1550">
      <formula>C6=$B$114</formula>
    </cfRule>
    <cfRule type="expression" dxfId="4063" priority="1551">
      <formula>C6=$B$111</formula>
    </cfRule>
    <cfRule type="expression" dxfId="4062" priority="1552">
      <formula>C6=$B$114</formula>
    </cfRule>
    <cfRule type="expression" dxfId="4061" priority="1553">
      <formula>C6=$B$144</formula>
    </cfRule>
    <cfRule type="expression" dxfId="4060" priority="1554">
      <formula>C6=$B$116</formula>
    </cfRule>
    <cfRule type="expression" dxfId="4059" priority="1555">
      <formula>C6=$B$144</formula>
    </cfRule>
    <cfRule type="expression" dxfId="4058" priority="1556">
      <formula>C6=$B$143</formula>
    </cfRule>
    <cfRule type="expression" dxfId="4057" priority="1557">
      <formula>C6=$B$142</formula>
    </cfRule>
    <cfRule type="expression" dxfId="4056" priority="1558">
      <formula>C6=$B$141</formula>
    </cfRule>
    <cfRule type="expression" dxfId="4055" priority="1559">
      <formula>C6=$B$140</formula>
    </cfRule>
    <cfRule type="expression" dxfId="4054" priority="1560">
      <formula>C6=$B$139</formula>
    </cfRule>
    <cfRule type="expression" dxfId="4053" priority="1561">
      <formula>C6=$B$138</formula>
    </cfRule>
    <cfRule type="expression" dxfId="4052" priority="1562">
      <formula>C6=$B$137</formula>
    </cfRule>
    <cfRule type="expression" dxfId="4051" priority="1563">
      <formula>C6=$B$133</formula>
    </cfRule>
    <cfRule type="expression" dxfId="4050" priority="1564">
      <formula>C6=$B$132</formula>
    </cfRule>
    <cfRule type="expression" dxfId="4049" priority="1565">
      <formula>C6=$B$131</formula>
    </cfRule>
    <cfRule type="expression" dxfId="4048" priority="1566">
      <formula>C6=$B$130</formula>
    </cfRule>
    <cfRule type="expression" dxfId="4047" priority="1567">
      <formula>C6=$B$129</formula>
    </cfRule>
    <cfRule type="expression" dxfId="4046" priority="1568" stopIfTrue="1">
      <formula>C6=$B$128</formula>
    </cfRule>
    <cfRule type="expression" dxfId="4045" priority="1569">
      <formula>C6=$B$127</formula>
    </cfRule>
    <cfRule type="expression" dxfId="4044" priority="1570" stopIfTrue="1">
      <formula>C6=$B$126</formula>
    </cfRule>
    <cfRule type="expression" dxfId="4043" priority="1571">
      <formula>C6=$B$125</formula>
    </cfRule>
    <cfRule type="expression" dxfId="4042" priority="1572">
      <formula>C6=$B$124</formula>
    </cfRule>
    <cfRule type="expression" dxfId="4041" priority="1573">
      <formula>C6=$B$123</formula>
    </cfRule>
    <cfRule type="expression" dxfId="4040" priority="1574" stopIfTrue="1">
      <formula>C6=$B$121</formula>
    </cfRule>
    <cfRule type="expression" dxfId="4039" priority="1575" stopIfTrue="1">
      <formula>C6=$B$120</formula>
    </cfRule>
    <cfRule type="expression" dxfId="4038" priority="1576" stopIfTrue="1">
      <formula>C6=$B$119</formula>
    </cfRule>
    <cfRule type="expression" dxfId="4037" priority="1577">
      <formula>C6=$B$118</formula>
    </cfRule>
    <cfRule type="expression" dxfId="4036" priority="1578">
      <formula>C6=$B$115</formula>
    </cfRule>
    <cfRule type="expression" dxfId="4035" priority="1579" stopIfTrue="1">
      <formula>C6=$B$113</formula>
    </cfRule>
    <cfRule type="expression" dxfId="4034" priority="1580">
      <formula>C6=$B$112</formula>
    </cfRule>
    <cfRule type="expression" dxfId="4033" priority="1581">
      <formula>C6=$B$111</formula>
    </cfRule>
    <cfRule type="expression" dxfId="4032" priority="1582">
      <formula>C6=$B$110</formula>
    </cfRule>
    <cfRule type="expression" dxfId="4031" priority="1583">
      <formula>C6=$B$108</formula>
    </cfRule>
    <cfRule type="expression" dxfId="4030" priority="1584" stopIfTrue="1">
      <formula>C6=$B$109</formula>
    </cfRule>
    <cfRule type="expression" dxfId="4029" priority="1585" stopIfTrue="1">
      <formula>C$5=TODAY()</formula>
    </cfRule>
  </conditionalFormatting>
  <conditionalFormatting sqref="J139">
    <cfRule type="cellIs" dxfId="4028" priority="1529" operator="notEqual">
      <formula>$K139</formula>
    </cfRule>
  </conditionalFormatting>
  <conditionalFormatting sqref="C100:I103 G92:I92 H22:I22 C65:I65 C93:I95 H30:I30 H42:I42 C38:D38 C46 C58:G58 G64:I64 H66:I66 I60 C54:H54 C74:I74 C48:I50 I78 H62:I62 H76 C84:I85 H88:I88 E76 H70 F78:G78 F52:I52">
    <cfRule type="expression" dxfId="4027" priority="1488">
      <formula>C22=$B$143</formula>
    </cfRule>
    <cfRule type="expression" dxfId="4026" priority="1489">
      <formula>C22=$B$128</formula>
    </cfRule>
    <cfRule type="expression" dxfId="4025" priority="1490">
      <formula>C22=$B$126</formula>
    </cfRule>
    <cfRule type="expression" dxfId="4024" priority="1491">
      <formula>C22=$B$122</formula>
    </cfRule>
    <cfRule type="expression" dxfId="4023" priority="1492">
      <formula>C22=$B$117</formula>
    </cfRule>
    <cfRule type="expression" dxfId="4022" priority="1493">
      <formula>C22=$B$114</formula>
    </cfRule>
    <cfRule type="expression" dxfId="4021" priority="1494">
      <formula>C22=$B$111</formula>
    </cfRule>
    <cfRule type="expression" dxfId="4020" priority="1495">
      <formula>C22=$B$114</formula>
    </cfRule>
    <cfRule type="expression" dxfId="4019" priority="1496">
      <formula>C22=$B$144</formula>
    </cfRule>
    <cfRule type="expression" dxfId="4018" priority="1497">
      <formula>C22=$B$116</formula>
    </cfRule>
    <cfRule type="expression" dxfId="4017" priority="1498">
      <formula>C22=$B$144</formula>
    </cfRule>
    <cfRule type="expression" dxfId="4016" priority="1499">
      <formula>C22=$B$143</formula>
    </cfRule>
    <cfRule type="expression" dxfId="4015" priority="1500">
      <formula>C22=$B$142</formula>
    </cfRule>
    <cfRule type="expression" dxfId="4014" priority="1501">
      <formula>C22=$B$141</formula>
    </cfRule>
    <cfRule type="expression" dxfId="4013" priority="1502">
      <formula>C22=$B$140</formula>
    </cfRule>
    <cfRule type="expression" dxfId="4012" priority="1503">
      <formula>C22=$B$139</formula>
    </cfRule>
    <cfRule type="expression" dxfId="4011" priority="1504">
      <formula>C22=$B$138</formula>
    </cfRule>
    <cfRule type="expression" dxfId="4010" priority="1505">
      <formula>C22=$B$137</formula>
    </cfRule>
    <cfRule type="expression" dxfId="4009" priority="1506">
      <formula>C22=$B$133</formula>
    </cfRule>
    <cfRule type="expression" dxfId="4008" priority="1507">
      <formula>C22=$B$132</formula>
    </cfRule>
    <cfRule type="expression" dxfId="4007" priority="1508">
      <formula>C22=$B$131</formula>
    </cfRule>
    <cfRule type="expression" dxfId="4006" priority="1509">
      <formula>C22=$B$130</formula>
    </cfRule>
    <cfRule type="expression" dxfId="4005" priority="1510">
      <formula>C22=$B$129</formula>
    </cfRule>
    <cfRule type="expression" dxfId="4004" priority="1511" stopIfTrue="1">
      <formula>C22=$B$128</formula>
    </cfRule>
    <cfRule type="expression" dxfId="4003" priority="1512">
      <formula>C22=$B$127</formula>
    </cfRule>
    <cfRule type="expression" dxfId="4002" priority="1513" stopIfTrue="1">
      <formula>C22=$B$126</formula>
    </cfRule>
    <cfRule type="expression" dxfId="4001" priority="1514">
      <formula>C22=$B$125</formula>
    </cfRule>
    <cfRule type="expression" dxfId="4000" priority="1515">
      <formula>C22=$B$124</formula>
    </cfRule>
    <cfRule type="expression" dxfId="3999" priority="1516">
      <formula>C22=$B$123</formula>
    </cfRule>
    <cfRule type="expression" dxfId="3998" priority="1517" stopIfTrue="1">
      <formula>C22=$B$121</formula>
    </cfRule>
    <cfRule type="expression" dxfId="3997" priority="1518" stopIfTrue="1">
      <formula>C22=$B$120</formula>
    </cfRule>
    <cfRule type="expression" dxfId="3996" priority="1519" stopIfTrue="1">
      <formula>C22=$B$119</formula>
    </cfRule>
    <cfRule type="expression" dxfId="3995" priority="1520">
      <formula>C22=$B$118</formula>
    </cfRule>
    <cfRule type="expression" dxfId="3994" priority="1521">
      <formula>C22=$B$115</formula>
    </cfRule>
    <cfRule type="expression" dxfId="3993" priority="1522" stopIfTrue="1">
      <formula>C22=$B$113</formula>
    </cfRule>
    <cfRule type="expression" dxfId="3992" priority="1523">
      <formula>C22=$B$112</formula>
    </cfRule>
    <cfRule type="expression" dxfId="3991" priority="1524">
      <formula>C22=$B$111</formula>
    </cfRule>
    <cfRule type="expression" dxfId="3990" priority="1525">
      <formula>C22=$B$110</formula>
    </cfRule>
    <cfRule type="expression" dxfId="3989" priority="1526">
      <formula>C22=$B$108</formula>
    </cfRule>
    <cfRule type="expression" dxfId="3988" priority="1527" stopIfTrue="1">
      <formula>C22=$B$109</formula>
    </cfRule>
    <cfRule type="expression" dxfId="3987" priority="1528" stopIfTrue="1">
      <formula>C$5=TODAY()</formula>
    </cfRule>
  </conditionalFormatting>
  <conditionalFormatting sqref="H48">
    <cfRule type="expression" dxfId="3986" priority="1486">
      <formula>H48=$B$114</formula>
    </cfRule>
  </conditionalFormatting>
  <conditionalFormatting sqref="H48">
    <cfRule type="expression" dxfId="3985" priority="1487">
      <formula>H48=$B$109</formula>
    </cfRule>
  </conditionalFormatting>
  <conditionalFormatting sqref="H84">
    <cfRule type="expression" dxfId="3984" priority="1484">
      <formula>H84=$B$114</formula>
    </cfRule>
  </conditionalFormatting>
  <conditionalFormatting sqref="H84">
    <cfRule type="expression" dxfId="3983" priority="1485">
      <formula>H84=$B$109</formula>
    </cfRule>
  </conditionalFormatting>
  <conditionalFormatting sqref="H94">
    <cfRule type="expression" dxfId="3982" priority="1482">
      <formula>H94=$B$114</formula>
    </cfRule>
  </conditionalFormatting>
  <conditionalFormatting sqref="H94">
    <cfRule type="expression" dxfId="3981" priority="1483">
      <formula>H94=$B$109</formula>
    </cfRule>
  </conditionalFormatting>
  <conditionalFormatting sqref="C76 C104:I105 C88:G88 C77:I77 I76 C38 C86:I87 C66:I69 C96:I99 C59:I63 E76:G76 C89:I91 C78:H78 C79:I83 C6:I37 C71:I75 C50:I57">
    <cfRule type="expression" dxfId="3980" priority="1545">
      <formula>C6=$B$143</formula>
    </cfRule>
  </conditionalFormatting>
  <conditionalFormatting sqref="G92:I92 C77:I77 I76 C65:I69 C59:I63 C79:I91 C71:I75 C94:I103 C78:H78 C76:G76 C6:I57">
    <cfRule type="expression" dxfId="3979" priority="1479">
      <formula>C6=$B$135</formula>
    </cfRule>
    <cfRule type="expression" dxfId="3978" priority="1480">
      <formula>C6=$B$136</formula>
    </cfRule>
    <cfRule type="expression" dxfId="3977" priority="1481">
      <formula>C6=$B$134</formula>
    </cfRule>
  </conditionalFormatting>
  <conditionalFormatting sqref="H92">
    <cfRule type="expression" dxfId="3976" priority="1477">
      <formula>H92=$B$114</formula>
    </cfRule>
  </conditionalFormatting>
  <conditionalFormatting sqref="H92">
    <cfRule type="expression" dxfId="3975" priority="1478">
      <formula>H92=$B$109</formula>
    </cfRule>
  </conditionalFormatting>
  <conditionalFormatting sqref="C93:I93">
    <cfRule type="expression" dxfId="3974" priority="1474">
      <formula>C93=$B$135</formula>
    </cfRule>
    <cfRule type="expression" dxfId="3973" priority="1475">
      <formula>C93=$B$136</formula>
    </cfRule>
    <cfRule type="expression" dxfId="3972" priority="1476">
      <formula>C93=$B$134</formula>
    </cfRule>
  </conditionalFormatting>
  <conditionalFormatting sqref="C92:F92">
    <cfRule type="expression" dxfId="3971" priority="1473">
      <formula>C92=$B$143</formula>
    </cfRule>
  </conditionalFormatting>
  <conditionalFormatting sqref="C92:F92">
    <cfRule type="expression" dxfId="3970" priority="1470">
      <formula>C92=$B$135</formula>
    </cfRule>
    <cfRule type="expression" dxfId="3969" priority="1471">
      <formula>C92=$B$136</formula>
    </cfRule>
    <cfRule type="expression" dxfId="3968" priority="1472">
      <formula>C92=$B$134</formula>
    </cfRule>
  </conditionalFormatting>
  <conditionalFormatting sqref="J136">
    <cfRule type="cellIs" dxfId="3967" priority="1469" operator="notEqual">
      <formula>$K136</formula>
    </cfRule>
  </conditionalFormatting>
  <conditionalFormatting sqref="J134">
    <cfRule type="cellIs" dxfId="3966" priority="1459" operator="notEqual">
      <formula>$K134</formula>
    </cfRule>
  </conditionalFormatting>
  <conditionalFormatting sqref="A6:A104">
    <cfRule type="cellIs" dxfId="3965" priority="1457" operator="lessThan">
      <formula>5</formula>
    </cfRule>
    <cfRule type="cellIs" dxfId="3964" priority="1458" operator="greaterThanOrEqual">
      <formula>5</formula>
    </cfRule>
  </conditionalFormatting>
  <conditionalFormatting sqref="J135">
    <cfRule type="cellIs" dxfId="3963" priority="1456" operator="notEqual">
      <formula>$K135</formula>
    </cfRule>
  </conditionalFormatting>
  <conditionalFormatting sqref="H42:I42">
    <cfRule type="expression" dxfId="3962" priority="1415">
      <formula>H42=$B$143</formula>
    </cfRule>
  </conditionalFormatting>
  <conditionalFormatting sqref="I46">
    <cfRule type="expression" dxfId="3961" priority="1414">
      <formula>I46=$B$143</formula>
    </cfRule>
  </conditionalFormatting>
  <conditionalFormatting sqref="C46">
    <cfRule type="expression" dxfId="3960" priority="1373">
      <formula>C46=$B$143</formula>
    </cfRule>
  </conditionalFormatting>
  <conditionalFormatting sqref="I74">
    <cfRule type="expression" dxfId="3959" priority="1372">
      <formula>I74=$B$143</formula>
    </cfRule>
  </conditionalFormatting>
  <conditionalFormatting sqref="C58:G58">
    <cfRule type="expression" dxfId="3958" priority="1234">
      <formula>C58=$B$135</formula>
    </cfRule>
    <cfRule type="expression" dxfId="3957" priority="1235">
      <formula>C58=$B$136</formula>
    </cfRule>
    <cfRule type="expression" dxfId="3956" priority="1236">
      <formula>C58=$B$134</formula>
    </cfRule>
  </conditionalFormatting>
  <conditionalFormatting sqref="G64:I64">
    <cfRule type="expression" dxfId="3955" priority="1150">
      <formula>G64=$B$135</formula>
    </cfRule>
    <cfRule type="expression" dxfId="3954" priority="1151">
      <formula>G64=$B$136</formula>
    </cfRule>
    <cfRule type="expression" dxfId="3953" priority="1152">
      <formula>G64=$B$134</formula>
    </cfRule>
  </conditionalFormatting>
  <conditionalFormatting sqref="H64">
    <cfRule type="expression" dxfId="3952" priority="1148">
      <formula>H64=$B$114</formula>
    </cfRule>
  </conditionalFormatting>
  <conditionalFormatting sqref="H64">
    <cfRule type="expression" dxfId="3951" priority="1149">
      <formula>H64=$B$109</formula>
    </cfRule>
  </conditionalFormatting>
  <conditionalFormatting sqref="C64:F64">
    <cfRule type="expression" dxfId="3950" priority="1147">
      <formula>C64=$B$143</formula>
    </cfRule>
  </conditionalFormatting>
  <conditionalFormatting sqref="C64:F64">
    <cfRule type="expression" dxfId="3949" priority="1144">
      <formula>C64=$B$135</formula>
    </cfRule>
    <cfRule type="expression" dxfId="3948" priority="1145">
      <formula>C64=$B$136</formula>
    </cfRule>
    <cfRule type="expression" dxfId="3947" priority="1146">
      <formula>C64=$B$134</formula>
    </cfRule>
  </conditionalFormatting>
  <conditionalFormatting sqref="C70:I70">
    <cfRule type="expression" dxfId="3946" priority="1103">
      <formula>C70=$B$143</formula>
    </cfRule>
  </conditionalFormatting>
  <conditionalFormatting sqref="C70:I70">
    <cfRule type="expression" dxfId="3945" priority="1100">
      <formula>C70=$B$135</formula>
    </cfRule>
    <cfRule type="expression" dxfId="3944" priority="1101">
      <formula>C70=$B$136</formula>
    </cfRule>
    <cfRule type="expression" dxfId="3943" priority="1102">
      <formula>C70=$B$134</formula>
    </cfRule>
  </conditionalFormatting>
  <conditionalFormatting sqref="C48:I48">
    <cfRule type="expression" dxfId="3942" priority="890">
      <formula>C48=$B$143</formula>
    </cfRule>
  </conditionalFormatting>
  <conditionalFormatting sqref="H76">
    <cfRule type="expression" dxfId="3941" priority="767">
      <formula>H76=$B$143</formula>
    </cfRule>
  </conditionalFormatting>
  <conditionalFormatting sqref="H76">
    <cfRule type="expression" dxfId="3940" priority="764">
      <formula>H76=$B$135</formula>
    </cfRule>
    <cfRule type="expression" dxfId="3939" priority="765">
      <formula>H76=$B$136</formula>
    </cfRule>
    <cfRule type="expression" dxfId="3938" priority="766">
      <formula>H76=$B$134</formula>
    </cfRule>
  </conditionalFormatting>
  <conditionalFormatting sqref="I78">
    <cfRule type="expression" dxfId="3937" priority="682">
      <formula>I78=$B$143</formula>
    </cfRule>
  </conditionalFormatting>
  <conditionalFormatting sqref="I78">
    <cfRule type="expression" dxfId="3936" priority="679">
      <formula>I78=$B$135</formula>
    </cfRule>
    <cfRule type="expression" dxfId="3935" priority="680">
      <formula>I78=$B$136</formula>
    </cfRule>
    <cfRule type="expression" dxfId="3934" priority="681">
      <formula>I78=$B$134</formula>
    </cfRule>
  </conditionalFormatting>
  <conditionalFormatting sqref="D84">
    <cfRule type="expression" dxfId="3933" priority="552">
      <formula>D84=$B$128</formula>
    </cfRule>
    <cfRule type="expression" dxfId="3932" priority="553">
      <formula>D84=$B$126</formula>
    </cfRule>
    <cfRule type="expression" dxfId="3931" priority="554">
      <formula>D84=$B$122</formula>
    </cfRule>
    <cfRule type="expression" dxfId="3930" priority="555">
      <formula>D84=$B$117</formula>
    </cfRule>
    <cfRule type="expression" dxfId="3929" priority="556">
      <formula>D84=$B$114</formula>
    </cfRule>
    <cfRule type="expression" dxfId="3928" priority="557">
      <formula>D84=$B$111</formula>
    </cfRule>
    <cfRule type="expression" dxfId="3927" priority="558">
      <formula>D84=$B$114</formula>
    </cfRule>
    <cfRule type="expression" dxfId="3926" priority="559">
      <formula>D84=$B$144</formula>
    </cfRule>
    <cfRule type="expression" dxfId="3925" priority="560">
      <formula>D84=$B$116</formula>
    </cfRule>
    <cfRule type="expression" dxfId="3924" priority="561">
      <formula>D84=$B$144</formula>
    </cfRule>
    <cfRule type="expression" dxfId="3923" priority="562">
      <formula>D84=$B$143</formula>
    </cfRule>
    <cfRule type="expression" dxfId="3922" priority="563">
      <formula>D84=$B$142</formula>
    </cfRule>
    <cfRule type="expression" dxfId="3921" priority="564">
      <formula>D84=$B$141</formula>
    </cfRule>
    <cfRule type="expression" dxfId="3920" priority="565">
      <formula>D84=$B$140</formula>
    </cfRule>
    <cfRule type="expression" dxfId="3919" priority="566">
      <formula>D84=$B$139</formula>
    </cfRule>
    <cfRule type="expression" dxfId="3918" priority="567">
      <formula>D84=$B$138</formula>
    </cfRule>
    <cfRule type="expression" dxfId="3917" priority="568">
      <formula>D84=$B$137</formula>
    </cfRule>
    <cfRule type="expression" dxfId="3916" priority="569">
      <formula>D84=$B$133</formula>
    </cfRule>
    <cfRule type="expression" dxfId="3915" priority="570">
      <formula>D84=$B$132</formula>
    </cfRule>
    <cfRule type="expression" dxfId="3914" priority="571">
      <formula>D84=$B$131</formula>
    </cfRule>
    <cfRule type="expression" dxfId="3913" priority="572">
      <formula>D84=$B$130</formula>
    </cfRule>
    <cfRule type="expression" dxfId="3912" priority="573">
      <formula>D84=$B$129</formula>
    </cfRule>
    <cfRule type="expression" dxfId="3911" priority="574" stopIfTrue="1">
      <formula>D84=$B$128</formula>
    </cfRule>
    <cfRule type="expression" dxfId="3910" priority="575">
      <formula>D84=$B$127</formula>
    </cfRule>
    <cfRule type="expression" dxfId="3909" priority="576" stopIfTrue="1">
      <formula>D84=$B$126</formula>
    </cfRule>
    <cfRule type="expression" dxfId="3908" priority="577">
      <formula>D84=$B$125</formula>
    </cfRule>
    <cfRule type="expression" dxfId="3907" priority="578">
      <formula>D84=$B$124</formula>
    </cfRule>
    <cfRule type="expression" dxfId="3906" priority="579">
      <formula>D84=$B$123</formula>
    </cfRule>
    <cfRule type="expression" dxfId="3905" priority="580" stopIfTrue="1">
      <formula>D84=$B$121</formula>
    </cfRule>
    <cfRule type="expression" dxfId="3904" priority="581" stopIfTrue="1">
      <formula>D84=$B$120</formula>
    </cfRule>
    <cfRule type="expression" dxfId="3903" priority="582" stopIfTrue="1">
      <formula>D84=$B$119</formula>
    </cfRule>
    <cfRule type="expression" dxfId="3902" priority="583">
      <formula>D84=$B$118</formula>
    </cfRule>
    <cfRule type="expression" dxfId="3901" priority="584">
      <formula>D84=$B$115</formula>
    </cfRule>
    <cfRule type="expression" dxfId="3900" priority="585" stopIfTrue="1">
      <formula>D84=$B$113</formula>
    </cfRule>
    <cfRule type="expression" dxfId="3899" priority="586">
      <formula>D84=$B$112</formula>
    </cfRule>
    <cfRule type="expression" dxfId="3898" priority="587">
      <formula>D84=$B$111</formula>
    </cfRule>
    <cfRule type="expression" dxfId="3897" priority="588">
      <formula>D84=$B$110</formula>
    </cfRule>
    <cfRule type="expression" dxfId="3896" priority="589">
      <formula>D84=$B$108</formula>
    </cfRule>
    <cfRule type="expression" dxfId="3895" priority="590" stopIfTrue="1">
      <formula>D84=$B$109</formula>
    </cfRule>
    <cfRule type="expression" dxfId="3894" priority="591" stopIfTrue="1">
      <formula>D$5=TODAY()</formula>
    </cfRule>
  </conditionalFormatting>
  <conditionalFormatting sqref="D84">
    <cfRule type="expression" dxfId="3893" priority="551">
      <formula>D84=$B$143</formula>
    </cfRule>
  </conditionalFormatting>
  <conditionalFormatting sqref="F90">
    <cfRule type="expression" dxfId="3892" priority="469">
      <formula>F90=$B$143</formula>
    </cfRule>
    <cfRule type="expression" dxfId="3891" priority="470">
      <formula>F90=$B$128</formula>
    </cfRule>
    <cfRule type="expression" dxfId="3890" priority="471">
      <formula>F90=$B$126</formula>
    </cfRule>
    <cfRule type="expression" dxfId="3889" priority="472">
      <formula>F90=$B$122</formula>
    </cfRule>
    <cfRule type="expression" dxfId="3888" priority="473">
      <formula>F90=$B$117</formula>
    </cfRule>
    <cfRule type="expression" dxfId="3887" priority="474">
      <formula>F90=$B$114</formula>
    </cfRule>
    <cfRule type="expression" dxfId="3886" priority="475">
      <formula>F90=$B$111</formula>
    </cfRule>
    <cfRule type="expression" dxfId="3885" priority="476">
      <formula>F90=$B$114</formula>
    </cfRule>
    <cfRule type="expression" dxfId="3884" priority="477">
      <formula>F90=$B$144</formula>
    </cfRule>
    <cfRule type="expression" dxfId="3883" priority="478">
      <formula>F90=$B$116</formula>
    </cfRule>
    <cfRule type="expression" dxfId="3882" priority="479">
      <formula>F90=$B$144</formula>
    </cfRule>
    <cfRule type="expression" dxfId="3881" priority="480">
      <formula>F90=$B$143</formula>
    </cfRule>
    <cfRule type="expression" dxfId="3880" priority="481">
      <formula>F90=$B$142</formula>
    </cfRule>
    <cfRule type="expression" dxfId="3879" priority="482">
      <formula>F90=$B$141</formula>
    </cfRule>
    <cfRule type="expression" dxfId="3878" priority="483">
      <formula>F90=$B$140</formula>
    </cfRule>
    <cfRule type="expression" dxfId="3877" priority="484">
      <formula>F90=$B$139</formula>
    </cfRule>
    <cfRule type="expression" dxfId="3876" priority="485">
      <formula>F90=$B$138</formula>
    </cfRule>
    <cfRule type="expression" dxfId="3875" priority="486">
      <formula>F90=$B$137</formula>
    </cfRule>
    <cfRule type="expression" dxfId="3874" priority="487">
      <formula>F90=$B$133</formula>
    </cfRule>
    <cfRule type="expression" dxfId="3873" priority="488">
      <formula>F90=$B$132</formula>
    </cfRule>
    <cfRule type="expression" dxfId="3872" priority="489">
      <formula>F90=$B$131</formula>
    </cfRule>
    <cfRule type="expression" dxfId="3871" priority="490">
      <formula>F90=$B$130</formula>
    </cfRule>
    <cfRule type="expression" dxfId="3870" priority="491">
      <formula>F90=$B$129</formula>
    </cfRule>
    <cfRule type="expression" dxfId="3869" priority="492" stopIfTrue="1">
      <formula>F90=$B$128</formula>
    </cfRule>
    <cfRule type="expression" dxfId="3868" priority="493">
      <formula>F90=$B$127</formula>
    </cfRule>
    <cfRule type="expression" dxfId="3867" priority="494" stopIfTrue="1">
      <formula>F90=$B$126</formula>
    </cfRule>
    <cfRule type="expression" dxfId="3866" priority="495">
      <formula>F90=$B$125</formula>
    </cfRule>
    <cfRule type="expression" dxfId="3865" priority="496">
      <formula>F90=$B$124</formula>
    </cfRule>
    <cfRule type="expression" dxfId="3864" priority="497">
      <formula>F90=$B$123</formula>
    </cfRule>
    <cfRule type="expression" dxfId="3863" priority="498" stopIfTrue="1">
      <formula>F90=$B$121</formula>
    </cfRule>
    <cfRule type="expression" dxfId="3862" priority="499" stopIfTrue="1">
      <formula>F90=$B$120</formula>
    </cfRule>
    <cfRule type="expression" dxfId="3861" priority="500" stopIfTrue="1">
      <formula>F90=$B$119</formula>
    </cfRule>
    <cfRule type="expression" dxfId="3860" priority="501">
      <formula>F90=$B$118</formula>
    </cfRule>
    <cfRule type="expression" dxfId="3859" priority="502">
      <formula>F90=$B$115</formula>
    </cfRule>
    <cfRule type="expression" dxfId="3858" priority="503" stopIfTrue="1">
      <formula>F90=$B$113</formula>
    </cfRule>
    <cfRule type="expression" dxfId="3857" priority="504">
      <formula>F90=$B$112</formula>
    </cfRule>
    <cfRule type="expression" dxfId="3856" priority="505">
      <formula>F90=$B$111</formula>
    </cfRule>
    <cfRule type="expression" dxfId="3855" priority="506">
      <formula>F90=$B$110</formula>
    </cfRule>
    <cfRule type="expression" dxfId="3854" priority="507">
      <formula>F90=$B$108</formula>
    </cfRule>
    <cfRule type="expression" dxfId="3853" priority="508" stopIfTrue="1">
      <formula>F90=$B$109</formula>
    </cfRule>
    <cfRule type="expression" dxfId="3852" priority="509" stopIfTrue="1">
      <formula>F$5=TODAY()</formula>
    </cfRule>
  </conditionalFormatting>
  <conditionalFormatting sqref="I88">
    <cfRule type="expression" dxfId="3851" priority="388">
      <formula>I88=$B$128</formula>
    </cfRule>
    <cfRule type="expression" dxfId="3850" priority="389">
      <formula>I88=$B$126</formula>
    </cfRule>
    <cfRule type="expression" dxfId="3849" priority="390">
      <formula>I88=$B$122</formula>
    </cfRule>
    <cfRule type="expression" dxfId="3848" priority="391">
      <formula>I88=$B$117</formula>
    </cfRule>
    <cfRule type="expression" dxfId="3847" priority="392">
      <formula>I88=$B$114</formula>
    </cfRule>
    <cfRule type="expression" dxfId="3846" priority="393">
      <formula>I88=$B$111</formula>
    </cfRule>
    <cfRule type="expression" dxfId="3845" priority="394">
      <formula>I88=$B$114</formula>
    </cfRule>
    <cfRule type="expression" dxfId="3844" priority="395">
      <formula>I88=$B$144</formula>
    </cfRule>
    <cfRule type="expression" dxfId="3843" priority="396">
      <formula>I88=$B$116</formula>
    </cfRule>
    <cfRule type="expression" dxfId="3842" priority="397">
      <formula>I88=$B$144</formula>
    </cfRule>
    <cfRule type="expression" dxfId="3841" priority="398">
      <formula>I88=$B$143</formula>
    </cfRule>
    <cfRule type="expression" dxfId="3840" priority="399">
      <formula>I88=$B$142</formula>
    </cfRule>
    <cfRule type="expression" dxfId="3839" priority="400">
      <formula>I88=$B$141</formula>
    </cfRule>
    <cfRule type="expression" dxfId="3838" priority="401">
      <formula>I88=$B$140</formula>
    </cfRule>
    <cfRule type="expression" dxfId="3837" priority="402">
      <formula>I88=$B$139</formula>
    </cfRule>
    <cfRule type="expression" dxfId="3836" priority="403">
      <formula>I88=$B$138</formula>
    </cfRule>
    <cfRule type="expression" dxfId="3835" priority="404">
      <formula>I88=$B$137</formula>
    </cfRule>
    <cfRule type="expression" dxfId="3834" priority="405">
      <formula>I88=$B$133</formula>
    </cfRule>
    <cfRule type="expression" dxfId="3833" priority="406">
      <formula>I88=$B$132</formula>
    </cfRule>
    <cfRule type="expression" dxfId="3832" priority="407">
      <formula>I88=$B$131</formula>
    </cfRule>
    <cfRule type="expression" dxfId="3831" priority="408">
      <formula>I88=$B$130</formula>
    </cfRule>
    <cfRule type="expression" dxfId="3830" priority="409">
      <formula>I88=$B$129</formula>
    </cfRule>
    <cfRule type="expression" dxfId="3829" priority="410" stopIfTrue="1">
      <formula>I88=$B$128</formula>
    </cfRule>
    <cfRule type="expression" dxfId="3828" priority="411">
      <formula>I88=$B$127</formula>
    </cfRule>
    <cfRule type="expression" dxfId="3827" priority="412" stopIfTrue="1">
      <formula>I88=$B$126</formula>
    </cfRule>
    <cfRule type="expression" dxfId="3826" priority="413">
      <formula>I88=$B$125</formula>
    </cfRule>
    <cfRule type="expression" dxfId="3825" priority="414">
      <formula>I88=$B$124</formula>
    </cfRule>
    <cfRule type="expression" dxfId="3824" priority="415">
      <formula>I88=$B$123</formula>
    </cfRule>
    <cfRule type="expression" dxfId="3823" priority="416" stopIfTrue="1">
      <formula>I88=$B$121</formula>
    </cfRule>
    <cfRule type="expression" dxfId="3822" priority="417" stopIfTrue="1">
      <formula>I88=$B$120</formula>
    </cfRule>
    <cfRule type="expression" dxfId="3821" priority="418" stopIfTrue="1">
      <formula>I88=$B$119</formula>
    </cfRule>
    <cfRule type="expression" dxfId="3820" priority="419">
      <formula>I88=$B$118</formula>
    </cfRule>
    <cfRule type="expression" dxfId="3819" priority="420">
      <formula>I88=$B$115</formula>
    </cfRule>
    <cfRule type="expression" dxfId="3818" priority="421" stopIfTrue="1">
      <formula>I88=$B$113</formula>
    </cfRule>
    <cfRule type="expression" dxfId="3817" priority="422">
      <formula>I88=$B$112</formula>
    </cfRule>
    <cfRule type="expression" dxfId="3816" priority="423">
      <formula>I88=$B$111</formula>
    </cfRule>
    <cfRule type="expression" dxfId="3815" priority="424">
      <formula>I88=$B$110</formula>
    </cfRule>
    <cfRule type="expression" dxfId="3814" priority="425">
      <formula>I88=$B$108</formula>
    </cfRule>
    <cfRule type="expression" dxfId="3813" priority="426" stopIfTrue="1">
      <formula>I88=$B$109</formula>
    </cfRule>
    <cfRule type="expression" dxfId="3812" priority="427" stopIfTrue="1">
      <formula>I$5=TODAY()</formula>
    </cfRule>
  </conditionalFormatting>
  <conditionalFormatting sqref="I88">
    <cfRule type="expression" dxfId="3811" priority="387">
      <formula>I88=$B$143</formula>
    </cfRule>
  </conditionalFormatting>
  <conditionalFormatting sqref="H70">
    <cfRule type="expression" dxfId="3810" priority="386">
      <formula>H70=$B$143</formula>
    </cfRule>
  </conditionalFormatting>
  <conditionalFormatting sqref="H70">
    <cfRule type="expression" dxfId="3809" priority="342">
      <formula>H70=$B$135</formula>
    </cfRule>
    <cfRule type="expression" dxfId="3808" priority="343">
      <formula>H70=$B$136</formula>
    </cfRule>
    <cfRule type="expression" dxfId="3807" priority="344">
      <formula>H70=$B$134</formula>
    </cfRule>
  </conditionalFormatting>
  <conditionalFormatting sqref="H44:I44">
    <cfRule type="expression" dxfId="3806" priority="341">
      <formula>H44=$B$143</formula>
    </cfRule>
  </conditionalFormatting>
  <conditionalFormatting sqref="H48:I48">
    <cfRule type="expression" dxfId="3805" priority="340">
      <formula>H48=$B$143</formula>
    </cfRule>
  </conditionalFormatting>
  <conditionalFormatting sqref="G96:H96">
    <cfRule type="expression" dxfId="3804" priority="299">
      <formula>G96=$B$143</formula>
    </cfRule>
    <cfRule type="expression" dxfId="3803" priority="300">
      <formula>G96=$B$128</formula>
    </cfRule>
    <cfRule type="expression" dxfId="3802" priority="301">
      <formula>G96=$B$126</formula>
    </cfRule>
    <cfRule type="expression" dxfId="3801" priority="302">
      <formula>G96=$B$122</formula>
    </cfRule>
    <cfRule type="expression" dxfId="3800" priority="303">
      <formula>G96=$B$117</formula>
    </cfRule>
    <cfRule type="expression" dxfId="3799" priority="304">
      <formula>G96=$B$114</formula>
    </cfRule>
    <cfRule type="expression" dxfId="3798" priority="305">
      <formula>G96=$B$111</formula>
    </cfRule>
    <cfRule type="expression" dxfId="3797" priority="306">
      <formula>G96=$B$114</formula>
    </cfRule>
    <cfRule type="expression" dxfId="3796" priority="307">
      <formula>G96=$B$144</formula>
    </cfRule>
    <cfRule type="expression" dxfId="3795" priority="308">
      <formula>G96=$B$116</formula>
    </cfRule>
    <cfRule type="expression" dxfId="3794" priority="309">
      <formula>G96=$B$144</formula>
    </cfRule>
    <cfRule type="expression" dxfId="3793" priority="310">
      <formula>G96=$B$143</formula>
    </cfRule>
    <cfRule type="expression" dxfId="3792" priority="311">
      <formula>G96=$B$142</formula>
    </cfRule>
    <cfRule type="expression" dxfId="3791" priority="312">
      <formula>G96=$B$141</formula>
    </cfRule>
    <cfRule type="expression" dxfId="3790" priority="313">
      <formula>G96=$B$140</formula>
    </cfRule>
    <cfRule type="expression" dxfId="3789" priority="314">
      <formula>G96=$B$139</formula>
    </cfRule>
    <cfRule type="expression" dxfId="3788" priority="315">
      <formula>G96=$B$138</formula>
    </cfRule>
    <cfRule type="expression" dxfId="3787" priority="316">
      <formula>G96=$B$137</formula>
    </cfRule>
    <cfRule type="expression" dxfId="3786" priority="317">
      <formula>G96=$B$133</formula>
    </cfRule>
    <cfRule type="expression" dxfId="3785" priority="318">
      <formula>G96=$B$132</formula>
    </cfRule>
    <cfRule type="expression" dxfId="3784" priority="319">
      <formula>G96=$B$131</formula>
    </cfRule>
    <cfRule type="expression" dxfId="3783" priority="320">
      <formula>G96=$B$130</formula>
    </cfRule>
    <cfRule type="expression" dxfId="3782" priority="321">
      <formula>G96=$B$129</formula>
    </cfRule>
    <cfRule type="expression" dxfId="3781" priority="322" stopIfTrue="1">
      <formula>G96=$B$128</formula>
    </cfRule>
    <cfRule type="expression" dxfId="3780" priority="323">
      <formula>G96=$B$127</formula>
    </cfRule>
    <cfRule type="expression" dxfId="3779" priority="324" stopIfTrue="1">
      <formula>G96=$B$126</formula>
    </cfRule>
    <cfRule type="expression" dxfId="3778" priority="325">
      <formula>G96=$B$125</formula>
    </cfRule>
    <cfRule type="expression" dxfId="3777" priority="326">
      <formula>G96=$B$124</formula>
    </cfRule>
    <cfRule type="expression" dxfId="3776" priority="327">
      <formula>G96=$B$123</formula>
    </cfRule>
    <cfRule type="expression" dxfId="3775" priority="328" stopIfTrue="1">
      <formula>G96=$B$121</formula>
    </cfRule>
    <cfRule type="expression" dxfId="3774" priority="329" stopIfTrue="1">
      <formula>G96=$B$120</formula>
    </cfRule>
    <cfRule type="expression" dxfId="3773" priority="330" stopIfTrue="1">
      <formula>G96=$B$119</formula>
    </cfRule>
    <cfRule type="expression" dxfId="3772" priority="331">
      <formula>G96=$B$118</formula>
    </cfRule>
    <cfRule type="expression" dxfId="3771" priority="332">
      <formula>G96=$B$115</formula>
    </cfRule>
    <cfRule type="expression" dxfId="3770" priority="333" stopIfTrue="1">
      <formula>G96=$B$113</formula>
    </cfRule>
    <cfRule type="expression" dxfId="3769" priority="334">
      <formula>G96=$B$112</formula>
    </cfRule>
    <cfRule type="expression" dxfId="3768" priority="335">
      <formula>G96=$B$111</formula>
    </cfRule>
    <cfRule type="expression" dxfId="3767" priority="336">
      <formula>G96=$B$110</formula>
    </cfRule>
    <cfRule type="expression" dxfId="3766" priority="337">
      <formula>G96=$B$108</formula>
    </cfRule>
    <cfRule type="expression" dxfId="3765" priority="338" stopIfTrue="1">
      <formula>G96=$B$109</formula>
    </cfRule>
    <cfRule type="expression" dxfId="3764" priority="339" stopIfTrue="1">
      <formula>G$5=TODAY()</formula>
    </cfRule>
  </conditionalFormatting>
  <conditionalFormatting sqref="C56:D56">
    <cfRule type="expression" dxfId="3763" priority="216">
      <formula>C56=$B$143</formula>
    </cfRule>
  </conditionalFormatting>
  <conditionalFormatting sqref="C56:D56">
    <cfRule type="expression" dxfId="3762" priority="213">
      <formula>C56=$B$135</formula>
    </cfRule>
    <cfRule type="expression" dxfId="3761" priority="214">
      <formula>C56=$B$136</formula>
    </cfRule>
    <cfRule type="expression" dxfId="3760" priority="215">
      <formula>C56=$B$134</formula>
    </cfRule>
  </conditionalFormatting>
  <conditionalFormatting sqref="E56:F56">
    <cfRule type="expression" dxfId="3759" priority="212">
      <formula>E56=$B$143</formula>
    </cfRule>
  </conditionalFormatting>
  <conditionalFormatting sqref="E56:F56">
    <cfRule type="expression" dxfId="3758" priority="209">
      <formula>E56=$B$135</formula>
    </cfRule>
    <cfRule type="expression" dxfId="3757" priority="210">
      <formula>E56=$B$136</formula>
    </cfRule>
    <cfRule type="expression" dxfId="3756" priority="211">
      <formula>E56=$B$134</formula>
    </cfRule>
  </conditionalFormatting>
  <conditionalFormatting sqref="D76">
    <cfRule type="expression" dxfId="3755" priority="169">
      <formula>D76=$B$128</formula>
    </cfRule>
    <cfRule type="expression" dxfId="3754" priority="170">
      <formula>D76=$B$126</formula>
    </cfRule>
    <cfRule type="expression" dxfId="3753" priority="171">
      <formula>D76=$B$122</formula>
    </cfRule>
    <cfRule type="expression" dxfId="3752" priority="172">
      <formula>D76=$B$117</formula>
    </cfRule>
    <cfRule type="expression" dxfId="3751" priority="173">
      <formula>D76=$B$114</formula>
    </cfRule>
    <cfRule type="expression" dxfId="3750" priority="174">
      <formula>D76=$B$111</formula>
    </cfRule>
    <cfRule type="expression" dxfId="3749" priority="175">
      <formula>D76=$B$114</formula>
    </cfRule>
    <cfRule type="expression" dxfId="3748" priority="176">
      <formula>D76=$B$144</formula>
    </cfRule>
    <cfRule type="expression" dxfId="3747" priority="177">
      <formula>D76=$B$116</formula>
    </cfRule>
    <cfRule type="expression" dxfId="3746" priority="178">
      <formula>D76=$B$144</formula>
    </cfRule>
    <cfRule type="expression" dxfId="3745" priority="179">
      <formula>D76=$B$143</formula>
    </cfRule>
    <cfRule type="expression" dxfId="3744" priority="180">
      <formula>D76=$B$142</formula>
    </cfRule>
    <cfRule type="expression" dxfId="3743" priority="181">
      <formula>D76=$B$141</formula>
    </cfRule>
    <cfRule type="expression" dxfId="3742" priority="182">
      <formula>D76=$B$140</formula>
    </cfRule>
    <cfRule type="expression" dxfId="3741" priority="183">
      <formula>D76=$B$139</formula>
    </cfRule>
    <cfRule type="expression" dxfId="3740" priority="184">
      <formula>D76=$B$138</formula>
    </cfRule>
    <cfRule type="expression" dxfId="3739" priority="185">
      <formula>D76=$B$137</formula>
    </cfRule>
    <cfRule type="expression" dxfId="3738" priority="186">
      <formula>D76=$B$133</formula>
    </cfRule>
    <cfRule type="expression" dxfId="3737" priority="187">
      <formula>D76=$B$132</formula>
    </cfRule>
    <cfRule type="expression" dxfId="3736" priority="188">
      <formula>D76=$B$131</formula>
    </cfRule>
    <cfRule type="expression" dxfId="3735" priority="189">
      <formula>D76=$B$130</formula>
    </cfRule>
    <cfRule type="expression" dxfId="3734" priority="190">
      <formula>D76=$B$129</formula>
    </cfRule>
    <cfRule type="expression" dxfId="3733" priority="191" stopIfTrue="1">
      <formula>D76=$B$128</formula>
    </cfRule>
    <cfRule type="expression" dxfId="3732" priority="192">
      <formula>D76=$B$127</formula>
    </cfRule>
    <cfRule type="expression" dxfId="3731" priority="193" stopIfTrue="1">
      <formula>D76=$B$126</formula>
    </cfRule>
    <cfRule type="expression" dxfId="3730" priority="194">
      <formula>D76=$B$125</formula>
    </cfRule>
    <cfRule type="expression" dxfId="3729" priority="195">
      <formula>D76=$B$124</formula>
    </cfRule>
    <cfRule type="expression" dxfId="3728" priority="196">
      <formula>D76=$B$123</formula>
    </cfRule>
    <cfRule type="expression" dxfId="3727" priority="197" stopIfTrue="1">
      <formula>D76=$B$121</formula>
    </cfRule>
    <cfRule type="expression" dxfId="3726" priority="198" stopIfTrue="1">
      <formula>D76=$B$120</formula>
    </cfRule>
    <cfRule type="expression" dxfId="3725" priority="199" stopIfTrue="1">
      <formula>D76=$B$119</formula>
    </cfRule>
    <cfRule type="expression" dxfId="3724" priority="200">
      <formula>D76=$B$118</formula>
    </cfRule>
    <cfRule type="expression" dxfId="3723" priority="201">
      <formula>D76=$B$115</formula>
    </cfRule>
    <cfRule type="expression" dxfId="3722" priority="202" stopIfTrue="1">
      <formula>D76=$B$113</formula>
    </cfRule>
    <cfRule type="expression" dxfId="3721" priority="203">
      <formula>D76=$B$112</formula>
    </cfRule>
    <cfRule type="expression" dxfId="3720" priority="204">
      <formula>D76=$B$111</formula>
    </cfRule>
    <cfRule type="expression" dxfId="3719" priority="205">
      <formula>D76=$B$110</formula>
    </cfRule>
    <cfRule type="expression" dxfId="3718" priority="206">
      <formula>D76=$B$108</formula>
    </cfRule>
    <cfRule type="expression" dxfId="3717" priority="207" stopIfTrue="1">
      <formula>D76=$B$109</formula>
    </cfRule>
    <cfRule type="expression" dxfId="3716" priority="208" stopIfTrue="1">
      <formula>D$5=TODAY()</formula>
    </cfRule>
  </conditionalFormatting>
  <conditionalFormatting sqref="D76">
    <cfRule type="expression" dxfId="3715" priority="127">
      <formula>D76=$B$143</formula>
    </cfRule>
    <cfRule type="expression" dxfId="3714" priority="128">
      <formula>D76=$B$128</formula>
    </cfRule>
    <cfRule type="expression" dxfId="3713" priority="129">
      <formula>D76=$B$126</formula>
    </cfRule>
    <cfRule type="expression" dxfId="3712" priority="130">
      <formula>D76=$B$122</formula>
    </cfRule>
    <cfRule type="expression" dxfId="3711" priority="131">
      <formula>D76=$B$117</formula>
    </cfRule>
    <cfRule type="expression" dxfId="3710" priority="132">
      <formula>D76=$B$114</formula>
    </cfRule>
    <cfRule type="expression" dxfId="3709" priority="133">
      <formula>D76=$B$111</formula>
    </cfRule>
    <cfRule type="expression" dxfId="3708" priority="134">
      <formula>D76=$B$114</formula>
    </cfRule>
    <cfRule type="expression" dxfId="3707" priority="135">
      <formula>D76=$B$144</formula>
    </cfRule>
    <cfRule type="expression" dxfId="3706" priority="136">
      <formula>D76=$B$116</formula>
    </cfRule>
    <cfRule type="expression" dxfId="3705" priority="137">
      <formula>D76=$B$144</formula>
    </cfRule>
    <cfRule type="expression" dxfId="3704" priority="138">
      <formula>D76=$B$143</formula>
    </cfRule>
    <cfRule type="expression" dxfId="3703" priority="139">
      <formula>D76=$B$142</formula>
    </cfRule>
    <cfRule type="expression" dxfId="3702" priority="140">
      <formula>D76=$B$141</formula>
    </cfRule>
    <cfRule type="expression" dxfId="3701" priority="141">
      <formula>D76=$B$140</formula>
    </cfRule>
    <cfRule type="expression" dxfId="3700" priority="142">
      <formula>D76=$B$139</formula>
    </cfRule>
    <cfRule type="expression" dxfId="3699" priority="143">
      <formula>D76=$B$138</formula>
    </cfRule>
    <cfRule type="expression" dxfId="3698" priority="144">
      <formula>D76=$B$137</formula>
    </cfRule>
    <cfRule type="expression" dxfId="3697" priority="145">
      <formula>D76=$B$133</formula>
    </cfRule>
    <cfRule type="expression" dxfId="3696" priority="146">
      <formula>D76=$B$132</formula>
    </cfRule>
    <cfRule type="expression" dxfId="3695" priority="147">
      <formula>D76=$B$131</formula>
    </cfRule>
    <cfRule type="expression" dxfId="3694" priority="148">
      <formula>D76=$B$130</formula>
    </cfRule>
    <cfRule type="expression" dxfId="3693" priority="149">
      <formula>D76=$B$129</formula>
    </cfRule>
    <cfRule type="expression" dxfId="3692" priority="150" stopIfTrue="1">
      <formula>D76=$B$128</formula>
    </cfRule>
    <cfRule type="expression" dxfId="3691" priority="151">
      <formula>D76=$B$127</formula>
    </cfRule>
    <cfRule type="expression" dxfId="3690" priority="152" stopIfTrue="1">
      <formula>D76=$B$126</formula>
    </cfRule>
    <cfRule type="expression" dxfId="3689" priority="153">
      <formula>D76=$B$125</formula>
    </cfRule>
    <cfRule type="expression" dxfId="3688" priority="154">
      <formula>D76=$B$124</formula>
    </cfRule>
    <cfRule type="expression" dxfId="3687" priority="155">
      <formula>D76=$B$123</formula>
    </cfRule>
    <cfRule type="expression" dxfId="3686" priority="156" stopIfTrue="1">
      <formula>D76=$B$121</formula>
    </cfRule>
    <cfRule type="expression" dxfId="3685" priority="157" stopIfTrue="1">
      <formula>D76=$B$120</formula>
    </cfRule>
    <cfRule type="expression" dxfId="3684" priority="158" stopIfTrue="1">
      <formula>D76=$B$119</formula>
    </cfRule>
    <cfRule type="expression" dxfId="3683" priority="159">
      <formula>D76=$B$118</formula>
    </cfRule>
    <cfRule type="expression" dxfId="3682" priority="160">
      <formula>D76=$B$115</formula>
    </cfRule>
    <cfRule type="expression" dxfId="3681" priority="161" stopIfTrue="1">
      <formula>D76=$B$113</formula>
    </cfRule>
    <cfRule type="expression" dxfId="3680" priority="162">
      <formula>D76=$B$112</formula>
    </cfRule>
    <cfRule type="expression" dxfId="3679" priority="163">
      <formula>D76=$B$111</formula>
    </cfRule>
    <cfRule type="expression" dxfId="3678" priority="164">
      <formula>D76=$B$110</formula>
    </cfRule>
    <cfRule type="expression" dxfId="3677" priority="165">
      <formula>D76=$B$108</formula>
    </cfRule>
    <cfRule type="expression" dxfId="3676" priority="166" stopIfTrue="1">
      <formula>D76=$B$109</formula>
    </cfRule>
    <cfRule type="expression" dxfId="3675" priority="167" stopIfTrue="1">
      <formula>D$5=TODAY()</formula>
    </cfRule>
  </conditionalFormatting>
  <conditionalFormatting sqref="D76">
    <cfRule type="expression" dxfId="3674" priority="168">
      <formula>D76=$B$143</formula>
    </cfRule>
  </conditionalFormatting>
  <conditionalFormatting sqref="H58:I58">
    <cfRule type="expression" dxfId="3673" priority="87">
      <formula>H58=$B$128</formula>
    </cfRule>
    <cfRule type="expression" dxfId="3672" priority="88">
      <formula>H58=$B$126</formula>
    </cfRule>
    <cfRule type="expression" dxfId="3671" priority="89">
      <formula>H58=$B$122</formula>
    </cfRule>
    <cfRule type="expression" dxfId="3670" priority="90">
      <formula>H58=$B$117</formula>
    </cfRule>
    <cfRule type="expression" dxfId="3669" priority="91">
      <formula>H58=$B$114</formula>
    </cfRule>
    <cfRule type="expression" dxfId="3668" priority="92">
      <formula>H58=$B$111</formula>
    </cfRule>
    <cfRule type="expression" dxfId="3667" priority="93">
      <formula>H58=$B$114</formula>
    </cfRule>
    <cfRule type="expression" dxfId="3666" priority="94">
      <formula>H58=$B$144</formula>
    </cfRule>
    <cfRule type="expression" dxfId="3665" priority="95">
      <formula>H58=$B$116</formula>
    </cfRule>
    <cfRule type="expression" dxfId="3664" priority="96">
      <formula>H58=$B$144</formula>
    </cfRule>
    <cfRule type="expression" dxfId="3663" priority="97">
      <formula>H58=$B$143</formula>
    </cfRule>
    <cfRule type="expression" dxfId="3662" priority="98">
      <formula>H58=$B$142</formula>
    </cfRule>
    <cfRule type="expression" dxfId="3661" priority="99">
      <formula>H58=$B$141</formula>
    </cfRule>
    <cfRule type="expression" dxfId="3660" priority="100">
      <formula>H58=$B$140</formula>
    </cfRule>
    <cfRule type="expression" dxfId="3659" priority="101">
      <formula>H58=$B$139</formula>
    </cfRule>
    <cfRule type="expression" dxfId="3658" priority="102">
      <formula>H58=$B$138</formula>
    </cfRule>
    <cfRule type="expression" dxfId="3657" priority="103">
      <formula>H58=$B$137</formula>
    </cfRule>
    <cfRule type="expression" dxfId="3656" priority="104">
      <formula>H58=$B$133</formula>
    </cfRule>
    <cfRule type="expression" dxfId="3655" priority="105">
      <formula>H58=$B$132</formula>
    </cfRule>
    <cfRule type="expression" dxfId="3654" priority="106">
      <formula>H58=$B$131</formula>
    </cfRule>
    <cfRule type="expression" dxfId="3653" priority="107">
      <formula>H58=$B$130</formula>
    </cfRule>
    <cfRule type="expression" dxfId="3652" priority="108">
      <formula>H58=$B$129</formula>
    </cfRule>
    <cfRule type="expression" dxfId="3651" priority="109" stopIfTrue="1">
      <formula>H58=$B$128</formula>
    </cfRule>
    <cfRule type="expression" dxfId="3650" priority="110">
      <formula>H58=$B$127</formula>
    </cfRule>
    <cfRule type="expression" dxfId="3649" priority="111" stopIfTrue="1">
      <formula>H58=$B$126</formula>
    </cfRule>
    <cfRule type="expression" dxfId="3648" priority="112">
      <formula>H58=$B$125</formula>
    </cfRule>
    <cfRule type="expression" dxfId="3647" priority="113">
      <formula>H58=$B$124</formula>
    </cfRule>
    <cfRule type="expression" dxfId="3646" priority="114">
      <formula>H58=$B$123</formula>
    </cfRule>
    <cfRule type="expression" dxfId="3645" priority="115" stopIfTrue="1">
      <formula>H58=$B$121</formula>
    </cfRule>
    <cfRule type="expression" dxfId="3644" priority="116" stopIfTrue="1">
      <formula>H58=$B$120</formula>
    </cfRule>
    <cfRule type="expression" dxfId="3643" priority="117" stopIfTrue="1">
      <formula>H58=$B$119</formula>
    </cfRule>
    <cfRule type="expression" dxfId="3642" priority="118">
      <formula>H58=$B$118</formula>
    </cfRule>
    <cfRule type="expression" dxfId="3641" priority="119">
      <formula>H58=$B$115</formula>
    </cfRule>
    <cfRule type="expression" dxfId="3640" priority="120" stopIfTrue="1">
      <formula>H58=$B$113</formula>
    </cfRule>
    <cfRule type="expression" dxfId="3639" priority="121">
      <formula>H58=$B$112</formula>
    </cfRule>
    <cfRule type="expression" dxfId="3638" priority="122">
      <formula>H58=$B$111</formula>
    </cfRule>
    <cfRule type="expression" dxfId="3637" priority="123">
      <formula>H58=$B$110</formula>
    </cfRule>
    <cfRule type="expression" dxfId="3636" priority="124">
      <formula>H58=$B$108</formula>
    </cfRule>
    <cfRule type="expression" dxfId="3635" priority="125" stopIfTrue="1">
      <formula>H58=$B$109</formula>
    </cfRule>
    <cfRule type="expression" dxfId="3634" priority="126" stopIfTrue="1">
      <formula>H$5=TODAY()</formula>
    </cfRule>
  </conditionalFormatting>
  <conditionalFormatting sqref="H58">
    <cfRule type="expression" dxfId="3633" priority="45">
      <formula>H58=$B$143</formula>
    </cfRule>
    <cfRule type="expression" dxfId="3632" priority="46">
      <formula>H58=$B$128</formula>
    </cfRule>
    <cfRule type="expression" dxfId="3631" priority="47">
      <formula>H58=$B$126</formula>
    </cfRule>
    <cfRule type="expression" dxfId="3630" priority="48">
      <formula>H58=$B$122</formula>
    </cfRule>
    <cfRule type="expression" dxfId="3629" priority="49">
      <formula>H58=$B$117</formula>
    </cfRule>
    <cfRule type="expression" dxfId="3628" priority="50">
      <formula>H58=$B$114</formula>
    </cfRule>
    <cfRule type="expression" dxfId="3627" priority="51">
      <formula>H58=$B$111</formula>
    </cfRule>
    <cfRule type="expression" dxfId="3626" priority="52">
      <formula>H58=$B$114</formula>
    </cfRule>
    <cfRule type="expression" dxfId="3625" priority="53">
      <formula>H58=$B$144</formula>
    </cfRule>
    <cfRule type="expression" dxfId="3624" priority="54">
      <formula>H58=$B$116</formula>
    </cfRule>
    <cfRule type="expression" dxfId="3623" priority="55">
      <formula>H58=$B$144</formula>
    </cfRule>
    <cfRule type="expression" dxfId="3622" priority="56">
      <formula>H58=$B$143</formula>
    </cfRule>
    <cfRule type="expression" dxfId="3621" priority="57">
      <formula>H58=$B$142</formula>
    </cfRule>
    <cfRule type="expression" dxfId="3620" priority="58">
      <formula>H58=$B$141</formula>
    </cfRule>
    <cfRule type="expression" dxfId="3619" priority="59">
      <formula>H58=$B$140</formula>
    </cfRule>
    <cfRule type="expression" dxfId="3618" priority="60">
      <formula>H58=$B$139</formula>
    </cfRule>
    <cfRule type="expression" dxfId="3617" priority="61">
      <formula>H58=$B$138</formula>
    </cfRule>
    <cfRule type="expression" dxfId="3616" priority="62">
      <formula>H58=$B$137</formula>
    </cfRule>
    <cfRule type="expression" dxfId="3615" priority="63">
      <formula>H58=$B$133</formula>
    </cfRule>
    <cfRule type="expression" dxfId="3614" priority="64">
      <formula>H58=$B$132</formula>
    </cfRule>
    <cfRule type="expression" dxfId="3613" priority="65">
      <formula>H58=$B$131</formula>
    </cfRule>
    <cfRule type="expression" dxfId="3612" priority="66">
      <formula>H58=$B$130</formula>
    </cfRule>
    <cfRule type="expression" dxfId="3611" priority="67">
      <formula>H58=$B$129</formula>
    </cfRule>
    <cfRule type="expression" dxfId="3610" priority="68" stopIfTrue="1">
      <formula>H58=$B$128</formula>
    </cfRule>
    <cfRule type="expression" dxfId="3609" priority="69">
      <formula>H58=$B$127</formula>
    </cfRule>
    <cfRule type="expression" dxfId="3608" priority="70" stopIfTrue="1">
      <formula>H58=$B$126</formula>
    </cfRule>
    <cfRule type="expression" dxfId="3607" priority="71">
      <formula>H58=$B$125</formula>
    </cfRule>
    <cfRule type="expression" dxfId="3606" priority="72">
      <formula>H58=$B$124</formula>
    </cfRule>
    <cfRule type="expression" dxfId="3605" priority="73">
      <formula>H58=$B$123</formula>
    </cfRule>
    <cfRule type="expression" dxfId="3604" priority="74" stopIfTrue="1">
      <formula>H58=$B$121</formula>
    </cfRule>
    <cfRule type="expression" dxfId="3603" priority="75" stopIfTrue="1">
      <formula>H58=$B$120</formula>
    </cfRule>
    <cfRule type="expression" dxfId="3602" priority="76" stopIfTrue="1">
      <formula>H58=$B$119</formula>
    </cfRule>
    <cfRule type="expression" dxfId="3601" priority="77">
      <formula>H58=$B$118</formula>
    </cfRule>
    <cfRule type="expression" dxfId="3600" priority="78">
      <formula>H58=$B$115</formula>
    </cfRule>
    <cfRule type="expression" dxfId="3599" priority="79" stopIfTrue="1">
      <formula>H58=$B$113</formula>
    </cfRule>
    <cfRule type="expression" dxfId="3598" priority="80">
      <formula>H58=$B$112</formula>
    </cfRule>
    <cfRule type="expression" dxfId="3597" priority="81">
      <formula>H58=$B$111</formula>
    </cfRule>
    <cfRule type="expression" dxfId="3596" priority="82">
      <formula>H58=$B$110</formula>
    </cfRule>
    <cfRule type="expression" dxfId="3595" priority="83">
      <formula>H58=$B$108</formula>
    </cfRule>
    <cfRule type="expression" dxfId="3594" priority="84" stopIfTrue="1">
      <formula>H58=$B$109</formula>
    </cfRule>
    <cfRule type="expression" dxfId="3593" priority="85" stopIfTrue="1">
      <formula>H$5=TODAY()</formula>
    </cfRule>
  </conditionalFormatting>
  <conditionalFormatting sqref="H58:I58">
    <cfRule type="expression" dxfId="3592" priority="86">
      <formula>H58=$B$143</formula>
    </cfRule>
  </conditionalFormatting>
  <conditionalFormatting sqref="H58:I58">
    <cfRule type="expression" dxfId="3591" priority="42">
      <formula>H58=$B$135</formula>
    </cfRule>
    <cfRule type="expression" dxfId="3590" priority="43">
      <formula>H58=$B$136</formula>
    </cfRule>
    <cfRule type="expression" dxfId="3589" priority="44">
      <formula>H58=$B$134</formula>
    </cfRule>
  </conditionalFormatting>
  <conditionalFormatting sqref="C52">
    <cfRule type="expression" dxfId="3588" priority="1">
      <formula>C52=$B$143</formula>
    </cfRule>
    <cfRule type="expression" dxfId="3587" priority="2">
      <formula>C52=$B$128</formula>
    </cfRule>
    <cfRule type="expression" dxfId="3586" priority="3">
      <formula>C52=$B$126</formula>
    </cfRule>
    <cfRule type="expression" dxfId="3585" priority="4">
      <formula>C52=$B$122</formula>
    </cfRule>
    <cfRule type="expression" dxfId="3584" priority="5">
      <formula>C52=$B$117</formula>
    </cfRule>
    <cfRule type="expression" dxfId="3583" priority="6">
      <formula>C52=$B$114</formula>
    </cfRule>
    <cfRule type="expression" dxfId="3582" priority="7">
      <formula>C52=$B$111</formula>
    </cfRule>
    <cfRule type="expression" dxfId="3581" priority="8">
      <formula>C52=$B$114</formula>
    </cfRule>
    <cfRule type="expression" dxfId="3580" priority="9">
      <formula>C52=$B$144</formula>
    </cfRule>
    <cfRule type="expression" dxfId="3579" priority="10">
      <formula>C52=$B$116</formula>
    </cfRule>
    <cfRule type="expression" dxfId="3578" priority="11">
      <formula>C52=$B$144</formula>
    </cfRule>
    <cfRule type="expression" dxfId="3577" priority="12">
      <formula>C52=$B$143</formula>
    </cfRule>
    <cfRule type="expression" dxfId="3576" priority="13">
      <formula>C52=$B$142</formula>
    </cfRule>
    <cfRule type="expression" dxfId="3575" priority="14">
      <formula>C52=$B$141</formula>
    </cfRule>
    <cfRule type="expression" dxfId="3574" priority="15">
      <formula>C52=$B$140</formula>
    </cfRule>
    <cfRule type="expression" dxfId="3573" priority="16">
      <formula>C52=$B$139</formula>
    </cfRule>
    <cfRule type="expression" dxfId="3572" priority="17">
      <formula>C52=$B$138</formula>
    </cfRule>
    <cfRule type="expression" dxfId="3571" priority="18">
      <formula>C52=$B$137</formula>
    </cfRule>
    <cfRule type="expression" dxfId="3570" priority="19">
      <formula>C52=$B$133</formula>
    </cfRule>
    <cfRule type="expression" dxfId="3569" priority="20">
      <formula>C52=$B$132</formula>
    </cfRule>
    <cfRule type="expression" dxfId="3568" priority="21">
      <formula>C52=$B$131</formula>
    </cfRule>
    <cfRule type="expression" dxfId="3567" priority="22">
      <formula>C52=$B$130</formula>
    </cfRule>
    <cfRule type="expression" dxfId="3566" priority="23">
      <formula>C52=$B$129</formula>
    </cfRule>
    <cfRule type="expression" dxfId="3565" priority="24" stopIfTrue="1">
      <formula>C52=$B$128</formula>
    </cfRule>
    <cfRule type="expression" dxfId="3564" priority="25">
      <formula>C52=$B$127</formula>
    </cfRule>
    <cfRule type="expression" dxfId="3563" priority="26" stopIfTrue="1">
      <formula>C52=$B$126</formula>
    </cfRule>
    <cfRule type="expression" dxfId="3562" priority="27">
      <formula>C52=$B$125</formula>
    </cfRule>
    <cfRule type="expression" dxfId="3561" priority="28">
      <formula>C52=$B$124</formula>
    </cfRule>
    <cfRule type="expression" dxfId="3560" priority="29">
      <formula>C52=$B$123</formula>
    </cfRule>
    <cfRule type="expression" dxfId="3559" priority="30" stopIfTrue="1">
      <formula>C52=$B$121</formula>
    </cfRule>
    <cfRule type="expression" dxfId="3558" priority="31" stopIfTrue="1">
      <formula>C52=$B$120</formula>
    </cfRule>
    <cfRule type="expression" dxfId="3557" priority="32" stopIfTrue="1">
      <formula>C52=$B$119</formula>
    </cfRule>
    <cfRule type="expression" dxfId="3556" priority="33">
      <formula>C52=$B$118</formula>
    </cfRule>
    <cfRule type="expression" dxfId="3555" priority="34">
      <formula>C52=$B$115</formula>
    </cfRule>
    <cfRule type="expression" dxfId="3554" priority="35" stopIfTrue="1">
      <formula>C52=$B$113</formula>
    </cfRule>
    <cfRule type="expression" dxfId="3553" priority="36">
      <formula>C52=$B$112</formula>
    </cfRule>
    <cfRule type="expression" dxfId="3552" priority="37">
      <formula>C52=$B$111</formula>
    </cfRule>
    <cfRule type="expression" dxfId="3551" priority="38">
      <formula>C52=$B$110</formula>
    </cfRule>
    <cfRule type="expression" dxfId="3550" priority="39">
      <formula>C52=$B$108</formula>
    </cfRule>
    <cfRule type="expression" dxfId="3549" priority="40" stopIfTrue="1">
      <formula>C52=$B$109</formula>
    </cfRule>
    <cfRule type="expression" dxfId="3548" priority="41" stopIfTrue="1">
      <formula>C$5=TODAY()</formula>
    </cfRule>
  </conditionalFormatting>
  <dataValidations count="1">
    <dataValidation type="list" allowBlank="1" showInputMessage="1" showErrorMessage="1" sqref="C72:I72 C104:I104 C16:I16 C20:I20 C70:I70 C82:I82 C100:I100 C46:I46 C56:I56 C32:I32 C68:I68 C38:I38 C58:I58 C44:I44 C64:I64 C78:I78 C6:I6 C30:I30 C10:I10 C24:I24 C40:I40 C12:I12 C8:I8 C88:I88 C42:I42 C18:I18 C54:I54 C48:I48 C50:I50 C28:I28 C92:I92 C96:I96 C14:I14 C60:I60 C22:I22 C36:I36 C34:I34 C90:I90 C26:I26 C74:I74 C86:I86 C66:I66 C76:I76 C80:I80 C98:I98 C94:I94 C102:I102 C84:I84 C62:I62 C52:I52" xr:uid="{00000000-0002-0000-05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/>
  <dimension ref="A1:L145"/>
  <sheetViews>
    <sheetView zoomScale="140" zoomScaleNormal="140" zoomScalePageLayoutView="125" workbookViewId="0">
      <pane ySplit="5" topLeftCell="A61" activePane="bottomLeft" state="frozen"/>
      <selection pane="bottomLeft" activeCell="F18" sqref="F18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COUNTIF(C6:C105,$B$125)+COUNTIF(C6:C105,$B$126)+COUNTIF(C6:C105,$B$127)+COUNTIF(C6:C105,$B$128)</f>
        <v>8</v>
      </c>
      <c r="D1" s="22">
        <f t="shared" si="0"/>
        <v>8</v>
      </c>
      <c r="E1" s="22">
        <f t="shared" si="0"/>
        <v>7</v>
      </c>
      <c r="F1" s="22">
        <f t="shared" si="0"/>
        <v>7</v>
      </c>
      <c r="G1" s="22">
        <f t="shared" si="0"/>
        <v>8</v>
      </c>
      <c r="H1" s="22">
        <f t="shared" si="0"/>
        <v>0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43143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163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43143</v>
      </c>
      <c r="D5" s="33">
        <f t="shared" ref="D5:I5" si="1">C5+1</f>
        <v>43144</v>
      </c>
      <c r="E5" s="33">
        <f t="shared" si="1"/>
        <v>43145</v>
      </c>
      <c r="F5" s="33">
        <f t="shared" si="1"/>
        <v>43146</v>
      </c>
      <c r="G5" s="33">
        <f t="shared" si="1"/>
        <v>43147</v>
      </c>
      <c r="H5" s="33">
        <f t="shared" si="1"/>
        <v>43148</v>
      </c>
      <c r="I5" s="33">
        <f t="shared" si="1"/>
        <v>43149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7-(COUNTIF(C6:I6,"")+COUNTIF(C6:I6,$B$142))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IF(ISBLANK(C6),"",VLOOKUP(C6,$B$108:$L$144,11,0))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7-(COUNTIF(C8:I8,"")+COUNTIF(C8:I8,$B$142))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IF(ISBLANK(C8),"",VLOOKUP(C8,$B$108:$L$144,11,0))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7-(COUNTIF(C10:I10,"")+COUNTIF(C10:I10,$B$142))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IF(ISBLANK(C10),"",VLOOKUP(C10,$B$108:$L$144,11,0))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7-(COUNTIF(C12:I12,"")+COUNTIF(C12:I12,$B$142))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IF(ISBLANK(C12),"",VLOOKUP(C12,$B$108:$L$144,11,0))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7-(COUNTIF(C14:I14,"")+COUNTIF(C14:I14,$B$142))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IF(ISBLANK(C14),"",VLOOKUP(C14,$B$108:$L$144,11,0))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7-(COUNTIF(C16:I16,"")+COUNTIF(C16:I16,$B$142))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IF(ISBLANK(C16),"",VLOOKUP(C16,$B$108:$L$144,11,0))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7-(COUNTIF(C18:I18,"")+COUNTIF(C18:I18,$B$142))</f>
        <v>5</v>
      </c>
      <c r="B18" s="186" t="s">
        <v>7</v>
      </c>
      <c r="C18" s="38" t="s">
        <v>89</v>
      </c>
      <c r="D18" s="38" t="s">
        <v>89</v>
      </c>
      <c r="E18" s="38" t="s">
        <v>99</v>
      </c>
      <c r="F18" s="38" t="s">
        <v>99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IF(ISBLANK(C18),"",VLOOKUP(C18,$B$108:$L$144,11,0))</f>
        <v>18H00-22H00</v>
      </c>
      <c r="D19" s="38" t="str">
        <f t="shared" si="8"/>
        <v>18H00-22H00</v>
      </c>
      <c r="E19" s="38">
        <f t="shared" si="8"/>
        <v>0</v>
      </c>
      <c r="F19" s="38">
        <f t="shared" si="8"/>
        <v>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7-(COUNTIF(C20:I20,"")+COUNTIF(C20:I20,$B$142))</f>
        <v>4</v>
      </c>
      <c r="B20" s="178" t="s">
        <v>111</v>
      </c>
      <c r="C20" s="36" t="s">
        <v>82</v>
      </c>
      <c r="D20" s="36"/>
      <c r="E20" s="36"/>
      <c r="F20" s="36" t="s">
        <v>137</v>
      </c>
      <c r="G20" s="36" t="s">
        <v>154</v>
      </c>
      <c r="H20" s="36"/>
      <c r="I20" s="36" t="s">
        <v>31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IF(ISBLANK(C20),"",VLOOKUP(C20,$B$108:$L$144,11,0))</f>
        <v>06H00-14H30</v>
      </c>
      <c r="D21" s="37" t="str">
        <f t="shared" si="9"/>
        <v/>
      </c>
      <c r="E21" s="37" t="str">
        <f t="shared" si="9"/>
        <v/>
      </c>
      <c r="F21" s="37" t="str">
        <f t="shared" si="9"/>
        <v>06H00-14H30</v>
      </c>
      <c r="G21" s="37" t="str">
        <f t="shared" si="9"/>
        <v>13H00-21H30</v>
      </c>
      <c r="H21" s="37" t="str">
        <f t="shared" si="9"/>
        <v/>
      </c>
      <c r="I21" s="37" t="str">
        <f t="shared" si="9"/>
        <v>06H00-14H30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7-(COUNTIF(C22:I22,"")+COUNTIF(C22:I22,$B$142))</f>
        <v>5</v>
      </c>
      <c r="B22" s="193" t="s">
        <v>3</v>
      </c>
      <c r="C22" s="36" t="s">
        <v>150</v>
      </c>
      <c r="D22" s="36" t="s">
        <v>81</v>
      </c>
      <c r="E22" s="36"/>
      <c r="F22" s="36" t="s">
        <v>90</v>
      </c>
      <c r="G22" s="36" t="s">
        <v>82</v>
      </c>
      <c r="H22" s="36"/>
      <c r="I22" s="36" t="s">
        <v>84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IF(ISBLANK(C22),"",VLOOKUP(C22,$B$108:$L$144,11,0))</f>
        <v>09H00-17H30</v>
      </c>
      <c r="D23" s="37" t="str">
        <f t="shared" si="10"/>
        <v>14H30-23H00</v>
      </c>
      <c r="E23" s="37" t="str">
        <f t="shared" si="10"/>
        <v/>
      </c>
      <c r="F23" s="37" t="str">
        <f t="shared" si="10"/>
        <v>06H00-14H30</v>
      </c>
      <c r="G23" s="37" t="str">
        <f t="shared" si="10"/>
        <v>06H00-14H30</v>
      </c>
      <c r="H23" s="37" t="str">
        <f t="shared" si="10"/>
        <v/>
      </c>
      <c r="I23" s="37" t="str">
        <f t="shared" si="10"/>
        <v>13H30-22H00</v>
      </c>
      <c r="J23" s="181"/>
      <c r="K23" s="139"/>
    </row>
    <row r="24" spans="1:12" s="39" customFormat="1" ht="13" customHeight="1" thickTop="1" x14ac:dyDescent="0.2">
      <c r="A24" s="21">
        <f>7-(COUNTIF(C24:I24,"")+COUNTIF(C24:I24,$B$142))</f>
        <v>4</v>
      </c>
      <c r="B24" s="195" t="s">
        <v>8</v>
      </c>
      <c r="C24" s="36"/>
      <c r="D24" s="36" t="s">
        <v>90</v>
      </c>
      <c r="E24" s="36"/>
      <c r="F24" s="36" t="s">
        <v>150</v>
      </c>
      <c r="G24" s="36" t="s">
        <v>84</v>
      </c>
      <c r="H24" s="36" t="s">
        <v>85</v>
      </c>
      <c r="I24" s="36" t="s">
        <v>95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 t="str">
        <f t="shared" ref="C25:I25" si="11">IF(ISBLANK(C24),"",VLOOKUP(C24,$B$108:$L$144,11,0))</f>
        <v/>
      </c>
      <c r="D25" s="37" t="str">
        <f t="shared" si="11"/>
        <v>06H00-14H30</v>
      </c>
      <c r="E25" s="37" t="str">
        <f t="shared" si="11"/>
        <v/>
      </c>
      <c r="F25" s="37" t="str">
        <f t="shared" si="11"/>
        <v>09H00-17H30</v>
      </c>
      <c r="G25" s="37" t="str">
        <f t="shared" si="11"/>
        <v>13H30-22H00</v>
      </c>
      <c r="H25" s="37" t="str">
        <f t="shared" si="11"/>
        <v>14H30-23H00</v>
      </c>
      <c r="I25" s="37">
        <f t="shared" si="11"/>
        <v>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7-(COUNTIF(C26:I26,"")+COUNTIF(C26:I26,$B$142))</f>
        <v>5</v>
      </c>
      <c r="B26" s="178" t="s">
        <v>9</v>
      </c>
      <c r="C26" s="36"/>
      <c r="D26" s="36" t="s">
        <v>84</v>
      </c>
      <c r="E26" s="36" t="s">
        <v>139</v>
      </c>
      <c r="F26" s="36" t="s">
        <v>92</v>
      </c>
      <c r="G26" s="36"/>
      <c r="H26" s="36" t="s">
        <v>83</v>
      </c>
      <c r="I26" s="36" t="s">
        <v>122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IF(ISBLANK(C26),"",VLOOKUP(C26,$B$108:$L$144,11,0))</f>
        <v/>
      </c>
      <c r="D27" s="37" t="str">
        <f t="shared" si="12"/>
        <v>13H30-22H00</v>
      </c>
      <c r="E27" s="37" t="str">
        <f t="shared" si="12"/>
        <v>14H00-22H30</v>
      </c>
      <c r="F27" s="37" t="str">
        <f t="shared" si="12"/>
        <v>10H00-18H30</v>
      </c>
      <c r="G27" s="37" t="str">
        <f t="shared" si="12"/>
        <v/>
      </c>
      <c r="H27" s="37" t="str">
        <f t="shared" si="12"/>
        <v>09H00-17H30</v>
      </c>
      <c r="I27" s="37" t="str">
        <f t="shared" si="12"/>
        <v>06H00-14H30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7-(COUNTIF(C28:I28,"")+COUNTIF(C28:I28,$B$142))</f>
        <v>5</v>
      </c>
      <c r="B28" s="178" t="s">
        <v>10</v>
      </c>
      <c r="C28" s="36" t="s">
        <v>85</v>
      </c>
      <c r="D28" s="36" t="s">
        <v>150</v>
      </c>
      <c r="E28" s="36"/>
      <c r="F28" s="36"/>
      <c r="G28" s="36" t="s">
        <v>82</v>
      </c>
      <c r="H28" s="36" t="s">
        <v>31</v>
      </c>
      <c r="I28" s="36" t="s">
        <v>80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IF(ISBLANK(C28),"",VLOOKUP(C28,$B$108:$L$144,11,0))</f>
        <v>14H30-23H00</v>
      </c>
      <c r="D29" s="37" t="str">
        <f t="shared" si="13"/>
        <v>09H00-17H30</v>
      </c>
      <c r="E29" s="37" t="str">
        <f t="shared" si="13"/>
        <v/>
      </c>
      <c r="F29" s="37" t="str">
        <f t="shared" si="13"/>
        <v/>
      </c>
      <c r="G29" s="37" t="str">
        <f t="shared" si="13"/>
        <v>06H00-14H30</v>
      </c>
      <c r="H29" s="37" t="str">
        <f t="shared" si="13"/>
        <v>06H00-14H30</v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7-(COUNTIF(C30:I30,"")+COUNTIF(C30:I30,$B$142))</f>
        <v>5</v>
      </c>
      <c r="B30" s="178" t="s">
        <v>11</v>
      </c>
      <c r="C30" s="36" t="s">
        <v>84</v>
      </c>
      <c r="D30" s="36"/>
      <c r="E30" s="36" t="s">
        <v>90</v>
      </c>
      <c r="F30" s="36" t="s">
        <v>93</v>
      </c>
      <c r="G30" s="36"/>
      <c r="H30" s="36" t="s">
        <v>82</v>
      </c>
      <c r="I30" s="36" t="s">
        <v>81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IF(ISBLANK(C30),"",VLOOKUP(C30,$B$108:$L$144,11,0))</f>
        <v>13H30-22H00</v>
      </c>
      <c r="D31" s="37" t="str">
        <f t="shared" si="14"/>
        <v/>
      </c>
      <c r="E31" s="37" t="str">
        <f t="shared" si="14"/>
        <v>06H00-14H30</v>
      </c>
      <c r="F31" s="37" t="str">
        <f t="shared" si="14"/>
        <v>06H00-14H30</v>
      </c>
      <c r="G31" s="37" t="str">
        <f t="shared" si="14"/>
        <v/>
      </c>
      <c r="H31" s="37" t="str">
        <f t="shared" si="14"/>
        <v>06H00-14H30</v>
      </c>
      <c r="I31" s="37" t="str">
        <f t="shared" si="14"/>
        <v>14H30-23H00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7-(COUNTIF(C32:I32,"")+COUNTIF(C32:I32,$B$142))</f>
        <v>5</v>
      </c>
      <c r="B32" s="201" t="s">
        <v>12</v>
      </c>
      <c r="C32" s="36"/>
      <c r="D32" s="36" t="s">
        <v>137</v>
      </c>
      <c r="E32" s="36" t="s">
        <v>152</v>
      </c>
      <c r="F32" s="36" t="s">
        <v>82</v>
      </c>
      <c r="G32" s="36"/>
      <c r="H32" s="36" t="s">
        <v>90</v>
      </c>
      <c r="I32" s="36" t="s">
        <v>123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 t="str">
        <f t="shared" ref="C33:I33" si="15">IF(ISBLANK(C32),"",VLOOKUP(C32,$B$108:$L$144,11,0))</f>
        <v/>
      </c>
      <c r="D33" s="37" t="str">
        <f t="shared" si="15"/>
        <v>06H00-14H30</v>
      </c>
      <c r="E33" s="37" t="str">
        <f t="shared" si="15"/>
        <v>08H30-17H00</v>
      </c>
      <c r="F33" s="37" t="str">
        <f t="shared" si="15"/>
        <v>06H00-14H30</v>
      </c>
      <c r="G33" s="37" t="str">
        <f t="shared" si="15"/>
        <v/>
      </c>
      <c r="H33" s="37" t="str">
        <f t="shared" si="15"/>
        <v>06H00-14H30</v>
      </c>
      <c r="I33" s="37" t="str">
        <f t="shared" si="15"/>
        <v>14H30-23H00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7-(COUNTIF(C34:I34,"")+COUNTIF(C34:I34,$B$142))</f>
        <v>3</v>
      </c>
      <c r="B34" s="193" t="s">
        <v>13</v>
      </c>
      <c r="C34" s="36" t="s">
        <v>154</v>
      </c>
      <c r="D34" s="36"/>
      <c r="E34" s="36"/>
      <c r="F34" s="36" t="s">
        <v>152</v>
      </c>
      <c r="G34" s="36"/>
      <c r="H34" s="36" t="s">
        <v>137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4"/>
      <c r="C35" s="37" t="str">
        <f t="shared" ref="C35:I35" si="16">IF(ISBLANK(C34),"",VLOOKUP(C34,$B$108:$L$144,11,0))</f>
        <v>13H00-21H30</v>
      </c>
      <c r="D35" s="37" t="str">
        <f t="shared" si="16"/>
        <v/>
      </c>
      <c r="E35" s="37" t="str">
        <f t="shared" si="16"/>
        <v/>
      </c>
      <c r="F35" s="37" t="str">
        <f t="shared" si="16"/>
        <v>08H30-17H00</v>
      </c>
      <c r="G35" s="37" t="str">
        <f t="shared" si="16"/>
        <v/>
      </c>
      <c r="H35" s="37" t="str">
        <f t="shared" si="16"/>
        <v>06H00-14H30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7-(COUNTIF(C36:I36,"")+COUNTIF(C36:I36,$B$142))</f>
        <v>5</v>
      </c>
      <c r="B36" s="199" t="s">
        <v>43</v>
      </c>
      <c r="C36" s="36" t="s">
        <v>95</v>
      </c>
      <c r="D36" s="36" t="s">
        <v>82</v>
      </c>
      <c r="E36" s="36" t="s">
        <v>84</v>
      </c>
      <c r="F36" s="36" t="s">
        <v>81</v>
      </c>
      <c r="G36" s="36"/>
      <c r="H36" s="36" t="s">
        <v>150</v>
      </c>
      <c r="I36" s="36" t="s">
        <v>82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>
        <f t="shared" ref="C37:I37" si="17">IF(ISBLANK(C36),"",VLOOKUP(C36,$B$108:$L$144,11,0))</f>
        <v>0</v>
      </c>
      <c r="D37" s="37" t="str">
        <f t="shared" si="17"/>
        <v>06H00-14H30</v>
      </c>
      <c r="E37" s="37" t="str">
        <f t="shared" si="17"/>
        <v>13H30-22H00</v>
      </c>
      <c r="F37" s="37" t="str">
        <f t="shared" si="17"/>
        <v>14H30-23H00</v>
      </c>
      <c r="G37" s="37" t="str">
        <f t="shared" si="17"/>
        <v/>
      </c>
      <c r="H37" s="37" t="str">
        <f t="shared" si="17"/>
        <v>09H00-17H30</v>
      </c>
      <c r="I37" s="37" t="str">
        <f t="shared" si="17"/>
        <v>06H00-14H30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7-(COUNTIF(C38:I38,"")+COUNTIF(C38:I38,$B$142))</f>
        <v>4</v>
      </c>
      <c r="B38" s="178" t="s">
        <v>14</v>
      </c>
      <c r="C38" s="36" t="s">
        <v>40</v>
      </c>
      <c r="D38" s="36" t="s">
        <v>40</v>
      </c>
      <c r="E38" s="36" t="s">
        <v>40</v>
      </c>
      <c r="F38" s="36" t="s">
        <v>40</v>
      </c>
      <c r="G38" s="36" t="s">
        <v>95</v>
      </c>
      <c r="H38" s="36" t="s">
        <v>95</v>
      </c>
      <c r="I38" s="36" t="s">
        <v>95</v>
      </c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>
        <f t="shared" ref="C39:I39" si="18">IF(ISBLANK(C38),"",VLOOKUP(C38,$B$108:$L$144,11,0))</f>
        <v>0</v>
      </c>
      <c r="D39" s="37">
        <f t="shared" si="18"/>
        <v>0</v>
      </c>
      <c r="E39" s="37">
        <f t="shared" si="18"/>
        <v>0</v>
      </c>
      <c r="F39" s="37">
        <f t="shared" si="18"/>
        <v>0</v>
      </c>
      <c r="G39" s="37">
        <f t="shared" si="18"/>
        <v>0</v>
      </c>
      <c r="H39" s="37">
        <f t="shared" si="18"/>
        <v>0</v>
      </c>
      <c r="I39" s="37">
        <f t="shared" si="18"/>
        <v>0</v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7-(COUNTIF(C40:I40,"")+COUNTIF(C40:I40,$B$142))</f>
        <v>5</v>
      </c>
      <c r="B40" s="201" t="s">
        <v>15</v>
      </c>
      <c r="C40" s="36"/>
      <c r="D40" s="36" t="s">
        <v>139</v>
      </c>
      <c r="E40" s="36" t="s">
        <v>79</v>
      </c>
      <c r="F40" s="36"/>
      <c r="G40" s="36" t="s">
        <v>84</v>
      </c>
      <c r="H40" s="36" t="s">
        <v>149</v>
      </c>
      <c r="I40" s="36" t="s">
        <v>151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IF(ISBLANK(C40),"",VLOOKUP(C40,$B$108:$L$144,11,0))</f>
        <v/>
      </c>
      <c r="D41" s="37" t="str">
        <f t="shared" si="19"/>
        <v>14H00-22H30</v>
      </c>
      <c r="E41" s="37" t="str">
        <f t="shared" si="19"/>
        <v>09H00-17H30</v>
      </c>
      <c r="F41" s="37" t="str">
        <f t="shared" si="19"/>
        <v/>
      </c>
      <c r="G41" s="37" t="str">
        <f t="shared" si="19"/>
        <v>13H30-22H00</v>
      </c>
      <c r="H41" s="37" t="str">
        <f t="shared" si="19"/>
        <v>09H00-17H30</v>
      </c>
      <c r="I41" s="37" t="str">
        <f t="shared" si="19"/>
        <v>08H30-17H00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7-(COUNTIF(C42:I42,"")+COUNTIF(C42:I42,$B$142))</f>
        <v>5</v>
      </c>
      <c r="B42" s="186" t="s">
        <v>119</v>
      </c>
      <c r="C42" s="38" t="s">
        <v>91</v>
      </c>
      <c r="D42" s="38" t="s">
        <v>84</v>
      </c>
      <c r="E42" s="36"/>
      <c r="F42" s="38" t="s">
        <v>80</v>
      </c>
      <c r="G42" s="36" t="s">
        <v>123</v>
      </c>
      <c r="H42" s="36"/>
      <c r="I42" s="36" t="s">
        <v>150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IF(ISBLANK(C42),"",VLOOKUP(C42,$B$108:$L$144,11,0))</f>
        <v>06H00-14H30</v>
      </c>
      <c r="D43" s="43" t="str">
        <f t="shared" si="20"/>
        <v>13H30-22H00</v>
      </c>
      <c r="E43" s="43" t="str">
        <f t="shared" si="20"/>
        <v/>
      </c>
      <c r="F43" s="43" t="str">
        <f t="shared" si="20"/>
        <v>06H00-14H30</v>
      </c>
      <c r="G43" s="43" t="str">
        <f t="shared" si="20"/>
        <v>14H30-23H00</v>
      </c>
      <c r="H43" s="43" t="str">
        <f t="shared" si="20"/>
        <v/>
      </c>
      <c r="I43" s="43" t="str">
        <f t="shared" si="20"/>
        <v>09H00-17H30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7-(COUNTIF(C44:I44,"")+COUNTIF(C44:I44,$B$142))</f>
        <v>5</v>
      </c>
      <c r="B44" s="178" t="s">
        <v>16</v>
      </c>
      <c r="C44" s="36"/>
      <c r="D44" s="36" t="s">
        <v>91</v>
      </c>
      <c r="E44" s="36" t="s">
        <v>81</v>
      </c>
      <c r="F44" s="36"/>
      <c r="G44" s="36" t="s">
        <v>122</v>
      </c>
      <c r="H44" s="36" t="s">
        <v>84</v>
      </c>
      <c r="I44" s="36" t="s">
        <v>83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IF(ISBLANK(C44),"",VLOOKUP(C44,$B$108:$L$144,11,0))</f>
        <v/>
      </c>
      <c r="D45" s="37" t="str">
        <f t="shared" si="21"/>
        <v>06H00-14H30</v>
      </c>
      <c r="E45" s="37" t="str">
        <f t="shared" si="21"/>
        <v>14H30-23H00</v>
      </c>
      <c r="F45" s="37" t="str">
        <f t="shared" si="21"/>
        <v/>
      </c>
      <c r="G45" s="37" t="str">
        <f t="shared" si="21"/>
        <v>06H00-14H30</v>
      </c>
      <c r="H45" s="37" t="str">
        <f t="shared" si="21"/>
        <v>13H30-22H00</v>
      </c>
      <c r="I45" s="37" t="str">
        <f t="shared" si="21"/>
        <v>09H00-17H30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7-(COUNTIF(C46:I46,"")+COUNTIF(C46:I46,$B$142))</f>
        <v>5</v>
      </c>
      <c r="B46" s="178" t="s">
        <v>102</v>
      </c>
      <c r="C46" s="36" t="s">
        <v>152</v>
      </c>
      <c r="D46" s="36" t="s">
        <v>79</v>
      </c>
      <c r="E46" s="36" t="s">
        <v>149</v>
      </c>
      <c r="F46" s="36"/>
      <c r="G46" s="36" t="s">
        <v>85</v>
      </c>
      <c r="H46" s="36"/>
      <c r="I46" s="36" t="s">
        <v>137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 t="str">
        <f t="shared" ref="C47:I47" si="22">IF(ISBLANK(C46),"",VLOOKUP(C46,$B$108:$L$144,11,0))</f>
        <v>08H30-17H00</v>
      </c>
      <c r="D47" s="37" t="str">
        <f t="shared" si="22"/>
        <v>09H00-17H30</v>
      </c>
      <c r="E47" s="37" t="str">
        <f t="shared" si="22"/>
        <v>09H00-17H30</v>
      </c>
      <c r="F47" s="37" t="str">
        <f t="shared" si="22"/>
        <v/>
      </c>
      <c r="G47" s="37" t="str">
        <f t="shared" si="22"/>
        <v>14H30-23H00</v>
      </c>
      <c r="H47" s="37" t="str">
        <f t="shared" si="22"/>
        <v/>
      </c>
      <c r="I47" s="37" t="str">
        <f t="shared" si="22"/>
        <v>06H00-14H30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7-(COUNTIF(C48:I48,"")+COUNTIF(C48:I48,$B$142))</f>
        <v>5</v>
      </c>
      <c r="B48" s="178" t="s">
        <v>132</v>
      </c>
      <c r="C48" s="36" t="s">
        <v>95</v>
      </c>
      <c r="D48" s="36" t="s">
        <v>92</v>
      </c>
      <c r="E48" s="36" t="s">
        <v>123</v>
      </c>
      <c r="F48" s="36" t="s">
        <v>83</v>
      </c>
      <c r="G48" s="36" t="s">
        <v>80</v>
      </c>
      <c r="H48" s="36" t="s">
        <v>84</v>
      </c>
      <c r="I48" s="36" t="s">
        <v>95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>
        <f t="shared" ref="C49:I49" si="23">IF(ISBLANK(C48),"",VLOOKUP(C48,$B$108:$L$144,11,0))</f>
        <v>0</v>
      </c>
      <c r="D49" s="37" t="str">
        <f t="shared" si="23"/>
        <v>10H00-18H30</v>
      </c>
      <c r="E49" s="37" t="str">
        <f t="shared" si="23"/>
        <v>14H30-23H00</v>
      </c>
      <c r="F49" s="37" t="str">
        <f t="shared" si="23"/>
        <v>09H00-17H30</v>
      </c>
      <c r="G49" s="37" t="str">
        <f t="shared" si="23"/>
        <v>06H00-14H30</v>
      </c>
      <c r="H49" s="37" t="str">
        <f t="shared" si="23"/>
        <v>13H30-22H00</v>
      </c>
      <c r="I49" s="37">
        <f t="shared" si="23"/>
        <v>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7-(COUNTIF(C50:I50,"")+COUNTIF(C50:I50,$B$142))</f>
        <v>5</v>
      </c>
      <c r="B50" s="201" t="s">
        <v>17</v>
      </c>
      <c r="C50" s="36" t="s">
        <v>110</v>
      </c>
      <c r="D50" s="36"/>
      <c r="E50" s="36" t="s">
        <v>92</v>
      </c>
      <c r="F50" s="36" t="s">
        <v>79</v>
      </c>
      <c r="G50" s="36" t="s">
        <v>138</v>
      </c>
      <c r="H50" s="36"/>
      <c r="I50" s="36" t="s">
        <v>138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 t="str">
        <f t="shared" ref="C51:I51" si="24">IF(ISBLANK(C50),"",VLOOKUP(C50,$B$108:$L$144,11,0))</f>
        <v>21H45-06H15</v>
      </c>
      <c r="D51" s="37" t="str">
        <f t="shared" si="24"/>
        <v/>
      </c>
      <c r="E51" s="37" t="str">
        <f t="shared" si="24"/>
        <v>10H00-18H30</v>
      </c>
      <c r="F51" s="37" t="str">
        <f t="shared" si="24"/>
        <v>09H00-17H30</v>
      </c>
      <c r="G51" s="37" t="str">
        <f t="shared" si="24"/>
        <v>22H00-06H30</v>
      </c>
      <c r="H51" s="37" t="str">
        <f t="shared" si="24"/>
        <v/>
      </c>
      <c r="I51" s="37" t="str">
        <f t="shared" si="24"/>
        <v>22H00-06H30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7-(COUNTIF(C52:I52,"")+COUNTIF(C52:I52,$B$142))</f>
        <v>5</v>
      </c>
      <c r="B52" s="178" t="s">
        <v>127</v>
      </c>
      <c r="C52" s="36" t="s">
        <v>99</v>
      </c>
      <c r="D52" s="36" t="s">
        <v>99</v>
      </c>
      <c r="E52" s="36" t="s">
        <v>99</v>
      </c>
      <c r="F52" s="36" t="s">
        <v>99</v>
      </c>
      <c r="G52" s="36" t="s">
        <v>99</v>
      </c>
      <c r="H52" s="36" t="s">
        <v>95</v>
      </c>
      <c r="I52" s="36" t="s">
        <v>95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>
        <f t="shared" ref="C53:I53" si="25">IF(ISBLANK(C52),"",VLOOKUP(C52,$B$108:$L$144,11,0))</f>
        <v>0</v>
      </c>
      <c r="D53" s="37">
        <f t="shared" si="25"/>
        <v>0</v>
      </c>
      <c r="E53" s="37">
        <f t="shared" si="25"/>
        <v>0</v>
      </c>
      <c r="F53" s="37">
        <f t="shared" si="25"/>
        <v>0</v>
      </c>
      <c r="G53" s="37">
        <f t="shared" si="25"/>
        <v>0</v>
      </c>
      <c r="H53" s="37">
        <f t="shared" si="25"/>
        <v>0</v>
      </c>
      <c r="I53" s="37">
        <f t="shared" si="25"/>
        <v>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7-(COUNTIF(C54:I54,"")+COUNTIF(C54:I54,$B$142))</f>
        <v>4</v>
      </c>
      <c r="B54" s="201" t="s">
        <v>18</v>
      </c>
      <c r="C54" s="36" t="s">
        <v>95</v>
      </c>
      <c r="D54" s="36" t="s">
        <v>40</v>
      </c>
      <c r="E54" s="36" t="s">
        <v>40</v>
      </c>
      <c r="F54" s="36" t="s">
        <v>40</v>
      </c>
      <c r="G54" s="36" t="s">
        <v>40</v>
      </c>
      <c r="H54" s="36" t="s">
        <v>95</v>
      </c>
      <c r="I54" s="36" t="s">
        <v>95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>
        <f t="shared" ref="C55:I55" si="26">IF(ISBLANK(C54),"",VLOOKUP(C54,$B$108:$L$144,11,0))</f>
        <v>0</v>
      </c>
      <c r="D55" s="37">
        <f t="shared" si="26"/>
        <v>0</v>
      </c>
      <c r="E55" s="37">
        <f t="shared" si="26"/>
        <v>0</v>
      </c>
      <c r="F55" s="37">
        <f t="shared" si="26"/>
        <v>0</v>
      </c>
      <c r="G55" s="37">
        <f t="shared" si="26"/>
        <v>0</v>
      </c>
      <c r="H55" s="37">
        <f t="shared" si="26"/>
        <v>0</v>
      </c>
      <c r="I55" s="37">
        <f t="shared" si="26"/>
        <v>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7-(COUNTIF(C56:I56,"")+COUNTIF(C56:I56,$B$142))</f>
        <v>5</v>
      </c>
      <c r="B56" s="178" t="s">
        <v>19</v>
      </c>
      <c r="C56" s="36"/>
      <c r="D56" s="36" t="s">
        <v>85</v>
      </c>
      <c r="E56" s="36" t="s">
        <v>84</v>
      </c>
      <c r="F56" s="36"/>
      <c r="G56" s="36" t="s">
        <v>93</v>
      </c>
      <c r="H56" s="36" t="s">
        <v>80</v>
      </c>
      <c r="I56" s="36" t="s">
        <v>90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IF(ISBLANK(C56),"",VLOOKUP(C56,$B$108:$L$144,11,0))</f>
        <v/>
      </c>
      <c r="D57" s="37" t="str">
        <f t="shared" si="27"/>
        <v>14H30-23H00</v>
      </c>
      <c r="E57" s="37" t="str">
        <f t="shared" si="27"/>
        <v>13H30-22H00</v>
      </c>
      <c r="F57" s="37" t="str">
        <f t="shared" si="27"/>
        <v/>
      </c>
      <c r="G57" s="37" t="str">
        <f t="shared" si="27"/>
        <v>06H00-14H30</v>
      </c>
      <c r="H57" s="37" t="str">
        <f t="shared" si="27"/>
        <v>06H00-14H30</v>
      </c>
      <c r="I57" s="37" t="str">
        <f t="shared" si="27"/>
        <v>06H00-14H30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7-(COUNTIF(C58:I58,"")+COUNTIF(C58:I58,$B$142))</f>
        <v>5</v>
      </c>
      <c r="B58" s="178" t="s">
        <v>20</v>
      </c>
      <c r="C58" s="36" t="s">
        <v>92</v>
      </c>
      <c r="D58" s="36" t="s">
        <v>149</v>
      </c>
      <c r="E58" s="36" t="s">
        <v>110</v>
      </c>
      <c r="F58" s="36" t="s">
        <v>110</v>
      </c>
      <c r="G58" s="36"/>
      <c r="H58" s="36" t="s">
        <v>138</v>
      </c>
      <c r="I58" s="36"/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IF(ISBLANK(C58),"",VLOOKUP(C58,$B$108:$L$144,11,0))</f>
        <v>10H00-18H30</v>
      </c>
      <c r="D59" s="38" t="str">
        <f t="shared" si="28"/>
        <v>09H00-17H30</v>
      </c>
      <c r="E59" s="38" t="str">
        <f t="shared" si="28"/>
        <v>21H45-06H15</v>
      </c>
      <c r="F59" s="38" t="str">
        <f t="shared" si="28"/>
        <v>21H45-06H15</v>
      </c>
      <c r="G59" s="38" t="str">
        <f t="shared" si="28"/>
        <v/>
      </c>
      <c r="H59" s="38" t="str">
        <f t="shared" si="28"/>
        <v>22H00-06H30</v>
      </c>
      <c r="I59" s="38" t="str">
        <f t="shared" si="28"/>
        <v/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7-(COUNTIF(C60:I60,"")+COUNTIF(C60:I60,$B$142))</f>
        <v>5</v>
      </c>
      <c r="B60" s="193" t="s">
        <v>133</v>
      </c>
      <c r="C60" s="36" t="s">
        <v>138</v>
      </c>
      <c r="D60" s="36"/>
      <c r="E60" s="36" t="s">
        <v>93</v>
      </c>
      <c r="F60" s="36" t="s">
        <v>122</v>
      </c>
      <c r="G60" s="36" t="s">
        <v>110</v>
      </c>
      <c r="H60" s="36"/>
      <c r="I60" s="36" t="s">
        <v>110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IF(ISBLANK(C60),"",VLOOKUP(C60,$B$108:$L$144,11,0))</f>
        <v>22H00-06H30</v>
      </c>
      <c r="D61" s="37" t="str">
        <f t="shared" si="29"/>
        <v/>
      </c>
      <c r="E61" s="37" t="str">
        <f t="shared" si="29"/>
        <v>06H00-14H30</v>
      </c>
      <c r="F61" s="37" t="str">
        <f t="shared" si="29"/>
        <v>06H00-14H30</v>
      </c>
      <c r="G61" s="37" t="str">
        <f t="shared" si="29"/>
        <v>21H45-06H15</v>
      </c>
      <c r="H61" s="37" t="str">
        <f t="shared" si="29"/>
        <v/>
      </c>
      <c r="I61" s="37" t="str">
        <f t="shared" si="29"/>
        <v>21H45-06H15</v>
      </c>
      <c r="J61" s="181"/>
      <c r="K61" s="139"/>
    </row>
    <row r="62" spans="1:12" s="39" customFormat="1" ht="13" customHeight="1" thickTop="1" x14ac:dyDescent="0.2">
      <c r="A62" s="21">
        <f>7-(COUNTIF(C62:I62,"")+COUNTIF(C62:I62,$B$142))</f>
        <v>5</v>
      </c>
      <c r="B62" s="178" t="s">
        <v>21</v>
      </c>
      <c r="C62" s="36" t="s">
        <v>122</v>
      </c>
      <c r="D62" s="36" t="s">
        <v>83</v>
      </c>
      <c r="E62" s="36"/>
      <c r="F62" s="36" t="s">
        <v>149</v>
      </c>
      <c r="G62" s="36" t="s">
        <v>79</v>
      </c>
      <c r="H62" s="36" t="s">
        <v>139</v>
      </c>
      <c r="I62" s="36"/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IF(ISBLANK(C62),"",VLOOKUP(C62,$B$108:$L$144,11,0))</f>
        <v>06H00-14H30</v>
      </c>
      <c r="D63" s="37" t="str">
        <f t="shared" si="30"/>
        <v>09H00-17H30</v>
      </c>
      <c r="E63" s="37" t="str">
        <f t="shared" si="30"/>
        <v/>
      </c>
      <c r="F63" s="37" t="str">
        <f t="shared" si="30"/>
        <v>09H00-17H30</v>
      </c>
      <c r="G63" s="37" t="str">
        <f t="shared" si="30"/>
        <v>09H00-17H30</v>
      </c>
      <c r="H63" s="37" t="str">
        <f t="shared" si="30"/>
        <v>14H00-22H30</v>
      </c>
      <c r="I63" s="37" t="str">
        <f t="shared" si="30"/>
        <v/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7-(COUNTIF(C64:I64,"")+COUNTIF(C64:I64,$B$142))</f>
        <v>5</v>
      </c>
      <c r="B64" s="193" t="s">
        <v>131</v>
      </c>
      <c r="C64" s="36" t="s">
        <v>137</v>
      </c>
      <c r="D64" s="36" t="s">
        <v>93</v>
      </c>
      <c r="E64" s="36"/>
      <c r="F64" s="36" t="s">
        <v>82</v>
      </c>
      <c r="G64" s="36"/>
      <c r="H64" s="36" t="s">
        <v>81</v>
      </c>
      <c r="I64" s="36" t="s">
        <v>149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IF(ISBLANK(C64),"",VLOOKUP(C64,$B$108:$L$144,11,0))</f>
        <v>06H00-14H30</v>
      </c>
      <c r="D65" s="37" t="str">
        <f t="shared" si="31"/>
        <v>06H00-14H30</v>
      </c>
      <c r="E65" s="37" t="str">
        <f t="shared" si="31"/>
        <v/>
      </c>
      <c r="F65" s="37" t="str">
        <f t="shared" si="31"/>
        <v>06H00-14H30</v>
      </c>
      <c r="G65" s="37" t="str">
        <f t="shared" si="31"/>
        <v/>
      </c>
      <c r="H65" s="37" t="str">
        <f t="shared" si="31"/>
        <v>14H30-23H00</v>
      </c>
      <c r="I65" s="37" t="str">
        <f t="shared" si="31"/>
        <v>09H00-17H30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7-(COUNTIF(C66:I66,"")+COUNTIF(C66:I66,$B$142))</f>
        <v>5</v>
      </c>
      <c r="B66" s="178" t="s">
        <v>124</v>
      </c>
      <c r="C66" s="38" t="s">
        <v>93</v>
      </c>
      <c r="D66" s="36" t="s">
        <v>122</v>
      </c>
      <c r="E66" s="36" t="s">
        <v>84</v>
      </c>
      <c r="F66" s="36"/>
      <c r="G66" s="36" t="s">
        <v>81</v>
      </c>
      <c r="H66" s="36" t="s">
        <v>92</v>
      </c>
      <c r="I66" s="36"/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IF(ISBLANK(C66),"",VLOOKUP(C66,$B$108:$L$144,11,0))</f>
        <v>06H00-14H30</v>
      </c>
      <c r="D67" s="37" t="str">
        <f t="shared" si="32"/>
        <v>06H00-14H30</v>
      </c>
      <c r="E67" s="37" t="str">
        <f t="shared" si="32"/>
        <v>13H30-22H00</v>
      </c>
      <c r="F67" s="37" t="str">
        <f t="shared" si="32"/>
        <v/>
      </c>
      <c r="G67" s="37" t="str">
        <f t="shared" si="32"/>
        <v>14H30-23H00</v>
      </c>
      <c r="H67" s="37" t="str">
        <f t="shared" si="32"/>
        <v>10H00-18H30</v>
      </c>
      <c r="I67" s="37" t="str">
        <f t="shared" si="32"/>
        <v/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7-(COUNTIF(C68:I68,"")+COUNTIF(C68:I68,$B$142))</f>
        <v>5</v>
      </c>
      <c r="B68" s="186" t="s">
        <v>146</v>
      </c>
      <c r="C68" s="38" t="s">
        <v>84</v>
      </c>
      <c r="D68" s="36"/>
      <c r="E68" s="36" t="s">
        <v>122</v>
      </c>
      <c r="F68" s="36"/>
      <c r="G68" s="36" t="s">
        <v>137</v>
      </c>
      <c r="H68" s="36" t="s">
        <v>91</v>
      </c>
      <c r="I68" s="36" t="s">
        <v>84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IF(ISBLANK(C68),"",VLOOKUP(C68,$B$108:$L$144,11,0))</f>
        <v>13H30-22H00</v>
      </c>
      <c r="D69" s="37" t="str">
        <f t="shared" si="33"/>
        <v/>
      </c>
      <c r="E69" s="37" t="str">
        <f t="shared" si="33"/>
        <v>06H00-14H30</v>
      </c>
      <c r="F69" s="37" t="str">
        <f t="shared" si="33"/>
        <v/>
      </c>
      <c r="G69" s="37" t="str">
        <f t="shared" si="33"/>
        <v>06H00-14H30</v>
      </c>
      <c r="H69" s="37" t="str">
        <f t="shared" si="33"/>
        <v>06H00-14H30</v>
      </c>
      <c r="I69" s="37" t="str">
        <f t="shared" si="33"/>
        <v>13H30-22H00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7-(COUNTIF(C70:I70,"")+COUNTIF(C70:I70,$B$142))</f>
        <v>5</v>
      </c>
      <c r="B70" s="178" t="s">
        <v>104</v>
      </c>
      <c r="C70" s="36" t="s">
        <v>83</v>
      </c>
      <c r="D70" s="36"/>
      <c r="E70" s="36" t="s">
        <v>80</v>
      </c>
      <c r="F70" s="36" t="s">
        <v>31</v>
      </c>
      <c r="G70" s="36"/>
      <c r="H70" s="36" t="s">
        <v>122</v>
      </c>
      <c r="I70" s="36" t="s">
        <v>85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IF(ISBLANK(C70),"",VLOOKUP(C70,$B$108:$L$144,11,0))</f>
        <v>09H00-17H30</v>
      </c>
      <c r="D71" s="37" t="str">
        <f t="shared" si="34"/>
        <v/>
      </c>
      <c r="E71" s="37" t="str">
        <f t="shared" si="34"/>
        <v>06H00-14H30</v>
      </c>
      <c r="F71" s="37" t="str">
        <f t="shared" si="34"/>
        <v>06H00-14H30</v>
      </c>
      <c r="G71" s="37" t="str">
        <f t="shared" si="34"/>
        <v/>
      </c>
      <c r="H71" s="37" t="str">
        <f t="shared" si="34"/>
        <v>06H00-14H30</v>
      </c>
      <c r="I71" s="37" t="str">
        <f t="shared" si="34"/>
        <v>14H30-23H00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7-(COUNTIF(C72:I72,"")+COUNTIF(C72:I72,$B$142))</f>
        <v>5</v>
      </c>
      <c r="B72" s="178" t="s">
        <v>22</v>
      </c>
      <c r="C72" s="36" t="s">
        <v>99</v>
      </c>
      <c r="D72" s="36" t="s">
        <v>99</v>
      </c>
      <c r="E72" s="36" t="s">
        <v>99</v>
      </c>
      <c r="F72" s="36" t="s">
        <v>99</v>
      </c>
      <c r="G72" s="36" t="s">
        <v>99</v>
      </c>
      <c r="H72" s="36" t="s">
        <v>95</v>
      </c>
      <c r="I72" s="36" t="s">
        <v>95</v>
      </c>
      <c r="J72" s="180" t="s">
        <v>67</v>
      </c>
      <c r="K72" s="139">
        <v>3</v>
      </c>
      <c r="L72" s="40"/>
    </row>
    <row r="73" spans="1:12" s="39" customFormat="1" ht="13" customHeight="1" thickBot="1" x14ac:dyDescent="0.25">
      <c r="B73" s="179"/>
      <c r="C73" s="37">
        <f t="shared" ref="C73:I73" si="35">IF(ISBLANK(C72),"",VLOOKUP(C72,$B$108:$L$144,11,0))</f>
        <v>0</v>
      </c>
      <c r="D73" s="37">
        <f t="shared" si="35"/>
        <v>0</v>
      </c>
      <c r="E73" s="37">
        <f t="shared" si="35"/>
        <v>0</v>
      </c>
      <c r="F73" s="37">
        <f t="shared" si="35"/>
        <v>0</v>
      </c>
      <c r="G73" s="37">
        <f t="shared" si="35"/>
        <v>0</v>
      </c>
      <c r="H73" s="37">
        <f t="shared" si="35"/>
        <v>0</v>
      </c>
      <c r="I73" s="37">
        <f t="shared" si="35"/>
        <v>0</v>
      </c>
      <c r="J73" s="181" t="s">
        <v>68</v>
      </c>
      <c r="K73" s="139"/>
      <c r="L73" s="40"/>
    </row>
    <row r="74" spans="1:12" s="39" customFormat="1" ht="13" customHeight="1" thickTop="1" x14ac:dyDescent="0.2">
      <c r="A74" s="21">
        <f>7-(COUNTIF(C74:I74,"")+COUNTIF(C74:I74,$B$142))</f>
        <v>5</v>
      </c>
      <c r="B74" s="201" t="s">
        <v>23</v>
      </c>
      <c r="C74" s="36" t="s">
        <v>81</v>
      </c>
      <c r="D74" s="36" t="s">
        <v>110</v>
      </c>
      <c r="E74" s="36"/>
      <c r="F74" s="36" t="s">
        <v>138</v>
      </c>
      <c r="G74" s="36"/>
      <c r="H74" s="36" t="s">
        <v>84</v>
      </c>
      <c r="I74" s="36" t="s">
        <v>92</v>
      </c>
      <c r="J74" s="180" t="s">
        <v>68</v>
      </c>
      <c r="K74" s="139">
        <v>5</v>
      </c>
      <c r="L74" s="40"/>
    </row>
    <row r="75" spans="1:12" s="39" customFormat="1" ht="13" customHeight="1" thickBot="1" x14ac:dyDescent="0.25">
      <c r="B75" s="196"/>
      <c r="C75" s="37" t="str">
        <f t="shared" ref="C75:I75" si="36">IF(ISBLANK(C74),"",VLOOKUP(C74,$B$108:$L$144,11,0))</f>
        <v>14H30-23H00</v>
      </c>
      <c r="D75" s="37" t="str">
        <f t="shared" si="36"/>
        <v>21H45-06H15</v>
      </c>
      <c r="E75" s="37" t="str">
        <f t="shared" si="36"/>
        <v/>
      </c>
      <c r="F75" s="37" t="str">
        <f t="shared" si="36"/>
        <v>22H00-06H30</v>
      </c>
      <c r="G75" s="37" t="str">
        <f t="shared" si="36"/>
        <v/>
      </c>
      <c r="H75" s="37" t="str">
        <f t="shared" si="36"/>
        <v>13H30-22H00</v>
      </c>
      <c r="I75" s="37" t="str">
        <f t="shared" si="36"/>
        <v>10H00-18H30</v>
      </c>
      <c r="J75" s="181" t="s">
        <v>69</v>
      </c>
      <c r="K75" s="139"/>
      <c r="L75" s="40"/>
    </row>
    <row r="76" spans="1:12" s="39" customFormat="1" ht="13" customHeight="1" thickTop="1" x14ac:dyDescent="0.2">
      <c r="A76" s="21">
        <f>7-(COUNTIF(C76:I76,"")+COUNTIF(C76:I76,$B$142))</f>
        <v>5</v>
      </c>
      <c r="B76" s="193" t="s">
        <v>120</v>
      </c>
      <c r="C76" s="36" t="s">
        <v>82</v>
      </c>
      <c r="D76" s="36"/>
      <c r="E76" s="36" t="s">
        <v>31</v>
      </c>
      <c r="F76" s="36" t="s">
        <v>84</v>
      </c>
      <c r="G76" s="36" t="s">
        <v>83</v>
      </c>
      <c r="H76" s="36" t="s">
        <v>123</v>
      </c>
      <c r="I76" s="36" t="s">
        <v>95</v>
      </c>
      <c r="J76" s="180" t="s">
        <v>121</v>
      </c>
      <c r="K76" s="139">
        <v>4</v>
      </c>
      <c r="L76" s="40"/>
    </row>
    <row r="77" spans="1:12" s="39" customFormat="1" ht="13" customHeight="1" thickBot="1" x14ac:dyDescent="0.25">
      <c r="B77" s="194"/>
      <c r="C77" s="37" t="str">
        <f t="shared" ref="C77:I77" si="37">IF(ISBLANK(C76),"",VLOOKUP(C76,$B$108:$L$144,11,0))</f>
        <v>06H00-14H30</v>
      </c>
      <c r="D77" s="37" t="str">
        <f t="shared" si="37"/>
        <v/>
      </c>
      <c r="E77" s="37" t="str">
        <f t="shared" si="37"/>
        <v>06H00-14H30</v>
      </c>
      <c r="F77" s="37" t="str">
        <f t="shared" si="37"/>
        <v>13H30-22H00</v>
      </c>
      <c r="G77" s="37" t="str">
        <f t="shared" si="37"/>
        <v>09H00-17H30</v>
      </c>
      <c r="H77" s="37" t="str">
        <f t="shared" si="37"/>
        <v>14H30-23H00</v>
      </c>
      <c r="I77" s="37">
        <f t="shared" si="37"/>
        <v>0</v>
      </c>
      <c r="J77" s="181" t="s">
        <v>63</v>
      </c>
      <c r="K77" s="139"/>
      <c r="L77" s="40"/>
    </row>
    <row r="78" spans="1:12" s="39" customFormat="1" ht="13" customHeight="1" thickTop="1" x14ac:dyDescent="0.2">
      <c r="A78" s="21">
        <f>7-(COUNTIF(C78:I78,"")+COUNTIF(C78:I78,$B$142))</f>
        <v>5</v>
      </c>
      <c r="B78" s="178" t="s">
        <v>113</v>
      </c>
      <c r="C78" s="36" t="s">
        <v>40</v>
      </c>
      <c r="D78" s="36" t="s">
        <v>40</v>
      </c>
      <c r="E78" s="36"/>
      <c r="F78" s="36" t="s">
        <v>85</v>
      </c>
      <c r="G78" s="36"/>
      <c r="H78" s="36" t="s">
        <v>82</v>
      </c>
      <c r="I78" s="36" t="s">
        <v>91</v>
      </c>
      <c r="J78" s="180" t="s">
        <v>45</v>
      </c>
      <c r="K78" s="139">
        <v>5</v>
      </c>
      <c r="L78" s="40"/>
    </row>
    <row r="79" spans="1:12" s="39" customFormat="1" ht="13" customHeight="1" thickBot="1" x14ac:dyDescent="0.25">
      <c r="B79" s="202"/>
      <c r="C79" s="37">
        <f t="shared" ref="C79:I79" si="38">IF(ISBLANK(C78),"",VLOOKUP(C78,$B$108:$L$144,11,0))</f>
        <v>0</v>
      </c>
      <c r="D79" s="37">
        <f t="shared" si="38"/>
        <v>0</v>
      </c>
      <c r="E79" s="37" t="str">
        <f t="shared" si="38"/>
        <v/>
      </c>
      <c r="F79" s="37" t="str">
        <f t="shared" si="38"/>
        <v>14H30-23H00</v>
      </c>
      <c r="G79" s="37" t="str">
        <f t="shared" si="38"/>
        <v/>
      </c>
      <c r="H79" s="37" t="str">
        <f t="shared" si="38"/>
        <v>06H00-14H30</v>
      </c>
      <c r="I79" s="37" t="str">
        <f t="shared" si="38"/>
        <v>06H00-14H30</v>
      </c>
      <c r="J79" s="181" t="s">
        <v>44</v>
      </c>
      <c r="K79" s="139"/>
      <c r="L79" s="40"/>
    </row>
    <row r="80" spans="1:12" s="39" customFormat="1" ht="13" customHeight="1" thickTop="1" x14ac:dyDescent="0.2">
      <c r="A80" s="21">
        <f>7-(COUNTIF(C80:I80,"")+COUNTIF(C80:I80,$B$142))</f>
        <v>5</v>
      </c>
      <c r="B80" s="207" t="s">
        <v>25</v>
      </c>
      <c r="C80" s="36" t="s">
        <v>100</v>
      </c>
      <c r="D80" s="36"/>
      <c r="E80" s="36" t="s">
        <v>137</v>
      </c>
      <c r="F80" s="36"/>
      <c r="G80" s="36" t="s">
        <v>84</v>
      </c>
      <c r="H80" s="36" t="s">
        <v>79</v>
      </c>
      <c r="I80" s="36" t="s">
        <v>139</v>
      </c>
      <c r="J80" s="180" t="s">
        <v>70</v>
      </c>
      <c r="K80" s="139">
        <v>5</v>
      </c>
      <c r="L80" s="40"/>
    </row>
    <row r="81" spans="1:12" s="39" customFormat="1" ht="13" customHeight="1" thickBot="1" x14ac:dyDescent="0.25">
      <c r="B81" s="208"/>
      <c r="C81" s="38" t="str">
        <f t="shared" ref="C81:I81" si="39">IF(ISBLANK(C80),"",VLOOKUP(C80,$B$108:$L$144,11,0))</f>
        <v>c.f. GDI</v>
      </c>
      <c r="D81" s="38" t="str">
        <f t="shared" si="39"/>
        <v/>
      </c>
      <c r="E81" s="38" t="str">
        <f t="shared" si="39"/>
        <v>06H00-14H30</v>
      </c>
      <c r="F81" s="38" t="str">
        <f t="shared" si="39"/>
        <v/>
      </c>
      <c r="G81" s="38" t="str">
        <f t="shared" si="39"/>
        <v>13H30-22H00</v>
      </c>
      <c r="H81" s="38" t="str">
        <f t="shared" si="39"/>
        <v>09H00-17H30</v>
      </c>
      <c r="I81" s="38" t="str">
        <f t="shared" si="39"/>
        <v>14H00-22H30</v>
      </c>
      <c r="J81" s="188" t="s">
        <v>71</v>
      </c>
      <c r="K81" s="139"/>
      <c r="L81" s="40"/>
    </row>
    <row r="82" spans="1:12" s="39" customFormat="1" ht="13" customHeight="1" thickTop="1" x14ac:dyDescent="0.2">
      <c r="A82" s="21">
        <f>7-(COUNTIF(C82:I82,"")+COUNTIF(C82:I82,$B$142))</f>
        <v>5</v>
      </c>
      <c r="B82" s="178" t="s">
        <v>105</v>
      </c>
      <c r="C82" s="36"/>
      <c r="D82" s="36" t="s">
        <v>80</v>
      </c>
      <c r="E82" s="36" t="s">
        <v>91</v>
      </c>
      <c r="F82" s="36" t="s">
        <v>139</v>
      </c>
      <c r="G82" s="36"/>
      <c r="H82" s="36" t="s">
        <v>151</v>
      </c>
      <c r="I82" s="36" t="s">
        <v>79</v>
      </c>
      <c r="J82" s="180" t="s">
        <v>71</v>
      </c>
      <c r="K82" s="139">
        <v>5</v>
      </c>
      <c r="L82" s="40"/>
    </row>
    <row r="83" spans="1:12" s="39" customFormat="1" ht="13" customHeight="1" thickBot="1" x14ac:dyDescent="0.25">
      <c r="B83" s="179"/>
      <c r="C83" s="37" t="str">
        <f t="shared" ref="C83:I83" si="40">IF(ISBLANK(C82),"",VLOOKUP(C82,$B$108:$L$144,11,0))</f>
        <v/>
      </c>
      <c r="D83" s="37" t="str">
        <f t="shared" si="40"/>
        <v>06H00-14H30</v>
      </c>
      <c r="E83" s="37" t="str">
        <f t="shared" si="40"/>
        <v>06H00-14H30</v>
      </c>
      <c r="F83" s="37" t="str">
        <f t="shared" si="40"/>
        <v>14H00-22H30</v>
      </c>
      <c r="G83" s="37" t="str">
        <f t="shared" si="40"/>
        <v/>
      </c>
      <c r="H83" s="37" t="str">
        <f t="shared" si="40"/>
        <v>08H30-17H00</v>
      </c>
      <c r="I83" s="37" t="str">
        <f t="shared" si="40"/>
        <v>09H00-17H30</v>
      </c>
      <c r="J83" s="181" t="s">
        <v>72</v>
      </c>
      <c r="K83" s="139"/>
      <c r="L83" s="40"/>
    </row>
    <row r="84" spans="1:12" s="39" customFormat="1" ht="13" customHeight="1" thickTop="1" x14ac:dyDescent="0.2">
      <c r="A84" s="21">
        <f>7-(COUNTIF(C84:I84,"")+COUNTIF(C84:I84,$B$142))</f>
        <v>5</v>
      </c>
      <c r="B84" s="178" t="s">
        <v>143</v>
      </c>
      <c r="C84" s="38"/>
      <c r="D84" s="36" t="s">
        <v>84</v>
      </c>
      <c r="E84" s="36" t="s">
        <v>85</v>
      </c>
      <c r="F84" s="36"/>
      <c r="G84" s="36" t="s">
        <v>31</v>
      </c>
      <c r="H84" s="36" t="s">
        <v>93</v>
      </c>
      <c r="I84" s="36" t="s">
        <v>82</v>
      </c>
      <c r="J84" s="180" t="s">
        <v>142</v>
      </c>
      <c r="K84" s="139">
        <v>4</v>
      </c>
      <c r="L84" s="40"/>
    </row>
    <row r="85" spans="1:12" ht="13" customHeight="1" thickBot="1" x14ac:dyDescent="0.25">
      <c r="A85" s="41"/>
      <c r="B85" s="179"/>
      <c r="C85" s="37" t="str">
        <f t="shared" ref="C85:I85" si="41">IF(ISBLANK(C84),"",VLOOKUP(C84,$B$108:$L$144,11,0))</f>
        <v/>
      </c>
      <c r="D85" s="37" t="str">
        <f t="shared" si="41"/>
        <v>13H30-22H00</v>
      </c>
      <c r="E85" s="37" t="str">
        <f t="shared" si="41"/>
        <v>14H30-23H00</v>
      </c>
      <c r="F85" s="37" t="str">
        <f t="shared" si="41"/>
        <v/>
      </c>
      <c r="G85" s="37" t="str">
        <f t="shared" si="41"/>
        <v>06H00-14H30</v>
      </c>
      <c r="H85" s="37" t="str">
        <f t="shared" si="41"/>
        <v>06H00-14H30</v>
      </c>
      <c r="I85" s="37" t="str">
        <f t="shared" si="41"/>
        <v>06H00-14H30</v>
      </c>
      <c r="J85" s="181" t="s">
        <v>57</v>
      </c>
      <c r="K85" s="139"/>
    </row>
    <row r="86" spans="1:12" s="39" customFormat="1" ht="13" customHeight="1" thickTop="1" x14ac:dyDescent="0.2">
      <c r="A86" s="21">
        <f>7-(COUNTIF(C86:I86,"")+COUNTIF(C86:I86,$B$142))</f>
        <v>5</v>
      </c>
      <c r="B86" s="201" t="s">
        <v>26</v>
      </c>
      <c r="C86" s="38" t="s">
        <v>139</v>
      </c>
      <c r="D86" s="36" t="s">
        <v>152</v>
      </c>
      <c r="E86" s="36" t="s">
        <v>82</v>
      </c>
      <c r="F86" s="36" t="s">
        <v>91</v>
      </c>
      <c r="G86" s="36" t="s">
        <v>139</v>
      </c>
      <c r="H86" s="36" t="s">
        <v>95</v>
      </c>
      <c r="I86" s="36" t="s">
        <v>95</v>
      </c>
      <c r="J86" s="180" t="s">
        <v>72</v>
      </c>
      <c r="K86" s="139">
        <v>5</v>
      </c>
      <c r="L86" s="40"/>
    </row>
    <row r="87" spans="1:12" s="39" customFormat="1" ht="13" customHeight="1" thickBot="1" x14ac:dyDescent="0.25">
      <c r="B87" s="196"/>
      <c r="C87" s="37" t="str">
        <f t="shared" ref="C87:I87" si="42">IF(ISBLANK(C86),"",VLOOKUP(C86,$B$108:$L$144,11,0))</f>
        <v>14H00-22H30</v>
      </c>
      <c r="D87" s="37" t="str">
        <f t="shared" si="42"/>
        <v>08H30-17H00</v>
      </c>
      <c r="E87" s="37" t="str">
        <f t="shared" si="42"/>
        <v>06H00-14H30</v>
      </c>
      <c r="F87" s="37" t="str">
        <f t="shared" si="42"/>
        <v>06H00-14H30</v>
      </c>
      <c r="G87" s="37" t="str">
        <f t="shared" si="42"/>
        <v>14H00-22H30</v>
      </c>
      <c r="H87" s="37">
        <f t="shared" si="42"/>
        <v>0</v>
      </c>
      <c r="I87" s="37">
        <f t="shared" si="42"/>
        <v>0</v>
      </c>
      <c r="J87" s="181" t="s">
        <v>73</v>
      </c>
      <c r="K87" s="139"/>
      <c r="L87" s="40"/>
    </row>
    <row r="88" spans="1:12" s="39" customFormat="1" ht="13" customHeight="1" thickTop="1" x14ac:dyDescent="0.2">
      <c r="A88" s="21">
        <f>7-(COUNTIF(C88:I88,"")+COUNTIF(C88:I88,$B$142))</f>
        <v>5</v>
      </c>
      <c r="B88" s="201" t="s">
        <v>27</v>
      </c>
      <c r="C88" s="36" t="s">
        <v>80</v>
      </c>
      <c r="D88" s="36" t="s">
        <v>138</v>
      </c>
      <c r="E88" s="36" t="s">
        <v>138</v>
      </c>
      <c r="F88" s="36"/>
      <c r="G88" s="36" t="s">
        <v>91</v>
      </c>
      <c r="H88" s="36" t="s">
        <v>110</v>
      </c>
      <c r="I88" s="36"/>
      <c r="J88" s="180" t="s">
        <v>74</v>
      </c>
      <c r="K88" s="139">
        <v>5</v>
      </c>
      <c r="L88" s="40"/>
    </row>
    <row r="89" spans="1:12" s="39" customFormat="1" ht="13" customHeight="1" thickBot="1" x14ac:dyDescent="0.25">
      <c r="B89" s="196"/>
      <c r="C89" s="37" t="str">
        <f t="shared" ref="C89:I89" si="43">IF(ISBLANK(C88),"",VLOOKUP(C88,$B$108:$L$144,11,0))</f>
        <v>06H00-14H30</v>
      </c>
      <c r="D89" s="37" t="str">
        <f t="shared" si="43"/>
        <v>22H00-06H30</v>
      </c>
      <c r="E89" s="37" t="str">
        <f t="shared" si="43"/>
        <v>22H00-06H30</v>
      </c>
      <c r="F89" s="37" t="str">
        <f t="shared" si="43"/>
        <v/>
      </c>
      <c r="G89" s="37" t="str">
        <f t="shared" si="43"/>
        <v>06H00-14H30</v>
      </c>
      <c r="H89" s="37" t="str">
        <f t="shared" si="43"/>
        <v>21H45-06H15</v>
      </c>
      <c r="I89" s="37" t="str">
        <f t="shared" si="43"/>
        <v/>
      </c>
      <c r="J89" s="181" t="s">
        <v>75</v>
      </c>
      <c r="K89" s="139"/>
      <c r="L89" s="40"/>
    </row>
    <row r="90" spans="1:12" s="39" customFormat="1" ht="13" customHeight="1" thickTop="1" x14ac:dyDescent="0.2">
      <c r="A90" s="21">
        <f>7-(COUNTIF(C90:I90,"")+COUNTIF(C90:I90,$B$142))</f>
        <v>5</v>
      </c>
      <c r="B90" s="193" t="s">
        <v>115</v>
      </c>
      <c r="C90" s="38" t="s">
        <v>90</v>
      </c>
      <c r="D90" s="36" t="s">
        <v>82</v>
      </c>
      <c r="E90" s="36"/>
      <c r="F90" s="38" t="s">
        <v>123</v>
      </c>
      <c r="G90" s="38" t="s">
        <v>149</v>
      </c>
      <c r="H90" s="36"/>
      <c r="I90" s="36" t="s">
        <v>84</v>
      </c>
      <c r="J90" s="188" t="s">
        <v>63</v>
      </c>
      <c r="K90" s="139">
        <v>5</v>
      </c>
      <c r="L90" s="40"/>
    </row>
    <row r="91" spans="1:12" s="39" customFormat="1" ht="13" customHeight="1" thickBot="1" x14ac:dyDescent="0.25">
      <c r="B91" s="206"/>
      <c r="C91" s="43" t="str">
        <f t="shared" ref="C91:I91" si="44">IF(ISBLANK(C90),"",VLOOKUP(C90,$B$108:$L$144,11,0))</f>
        <v>06H00-14H30</v>
      </c>
      <c r="D91" s="43" t="str">
        <f t="shared" si="44"/>
        <v>06H00-14H30</v>
      </c>
      <c r="E91" s="43" t="str">
        <f t="shared" si="44"/>
        <v/>
      </c>
      <c r="F91" s="43" t="str">
        <f t="shared" si="44"/>
        <v>14H30-23H00</v>
      </c>
      <c r="G91" s="43" t="str">
        <f t="shared" si="44"/>
        <v>09H00-17H30</v>
      </c>
      <c r="H91" s="43" t="str">
        <f t="shared" si="44"/>
        <v/>
      </c>
      <c r="I91" s="43" t="str">
        <f t="shared" si="44"/>
        <v>13H30-22H00</v>
      </c>
      <c r="J91" s="203"/>
      <c r="K91" s="139"/>
      <c r="L91" s="40"/>
    </row>
    <row r="92" spans="1:12" s="39" customFormat="1" ht="13" customHeight="1" thickTop="1" x14ac:dyDescent="0.2">
      <c r="A92" s="21">
        <f>7-(COUNTIF(C92:I92,"")+COUNTIF(C92:I92,$B$142))</f>
        <v>4</v>
      </c>
      <c r="B92" s="178" t="s">
        <v>148</v>
      </c>
      <c r="C92" s="36" t="s">
        <v>84</v>
      </c>
      <c r="D92" s="36"/>
      <c r="E92" s="36" t="s">
        <v>99</v>
      </c>
      <c r="F92" s="36" t="s">
        <v>99</v>
      </c>
      <c r="G92" s="36" t="s">
        <v>99</v>
      </c>
      <c r="H92" s="36" t="s">
        <v>95</v>
      </c>
      <c r="I92" s="36" t="s">
        <v>95</v>
      </c>
      <c r="J92" s="180" t="s">
        <v>144</v>
      </c>
      <c r="K92" s="139">
        <v>4</v>
      </c>
      <c r="L92" s="40"/>
    </row>
    <row r="93" spans="1:12" ht="13" customHeight="1" thickBot="1" x14ac:dyDescent="0.25">
      <c r="A93" s="41"/>
      <c r="B93" s="179"/>
      <c r="C93" s="37" t="str">
        <f t="shared" ref="C93:I93" si="45">IF(ISBLANK(C92),"",VLOOKUP(C92,$B$108:$L$144,11,0))</f>
        <v>13H30-22H00</v>
      </c>
      <c r="D93" s="37" t="str">
        <f t="shared" si="45"/>
        <v/>
      </c>
      <c r="E93" s="37">
        <f t="shared" si="45"/>
        <v>0</v>
      </c>
      <c r="F93" s="37">
        <f t="shared" si="45"/>
        <v>0</v>
      </c>
      <c r="G93" s="37">
        <f t="shared" si="45"/>
        <v>0</v>
      </c>
      <c r="H93" s="37">
        <f t="shared" si="45"/>
        <v>0</v>
      </c>
      <c r="I93" s="37">
        <f t="shared" si="45"/>
        <v>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7-(COUNTIF(C94:I94,"")+COUNTIF(C94:I94,$B$142))</f>
        <v>5</v>
      </c>
      <c r="B94" s="178" t="s">
        <v>147</v>
      </c>
      <c r="C94" s="36" t="s">
        <v>123</v>
      </c>
      <c r="D94" s="36"/>
      <c r="E94" s="36" t="s">
        <v>82</v>
      </c>
      <c r="F94" s="36" t="s">
        <v>84</v>
      </c>
      <c r="G94" s="36" t="s">
        <v>90</v>
      </c>
      <c r="H94" s="36"/>
      <c r="I94" s="36" t="s">
        <v>93</v>
      </c>
      <c r="J94" s="180" t="s">
        <v>145</v>
      </c>
      <c r="K94" s="139">
        <v>4</v>
      </c>
      <c r="L94" s="40"/>
    </row>
    <row r="95" spans="1:12" ht="13" customHeight="1" thickBot="1" x14ac:dyDescent="0.25">
      <c r="A95" s="41"/>
      <c r="B95" s="179"/>
      <c r="C95" s="37" t="str">
        <f t="shared" ref="C95:I95" si="46">IF(ISBLANK(C94),"",VLOOKUP(C94,$B$108:$L$144,11,0))</f>
        <v>14H30-23H00</v>
      </c>
      <c r="D95" s="37" t="str">
        <f t="shared" si="46"/>
        <v/>
      </c>
      <c r="E95" s="37" t="str">
        <f t="shared" si="46"/>
        <v>06H00-14H30</v>
      </c>
      <c r="F95" s="37" t="str">
        <f t="shared" si="46"/>
        <v>13H30-22H00</v>
      </c>
      <c r="G95" s="37" t="str">
        <f t="shared" si="46"/>
        <v>06H00-14H30</v>
      </c>
      <c r="H95" s="37" t="str">
        <f t="shared" si="46"/>
        <v/>
      </c>
      <c r="I95" s="37" t="str">
        <f t="shared" si="46"/>
        <v>06H00-14H30</v>
      </c>
      <c r="J95" s="181" t="s">
        <v>57</v>
      </c>
      <c r="K95" s="139"/>
    </row>
    <row r="96" spans="1:12" s="39" customFormat="1" ht="13" customHeight="1" thickTop="1" x14ac:dyDescent="0.2">
      <c r="A96" s="21">
        <f>7-(COUNTIF(C96:I96,"")+COUNTIF(C96:I96,$B$142))</f>
        <v>5</v>
      </c>
      <c r="B96" s="201" t="s">
        <v>106</v>
      </c>
      <c r="C96" s="36" t="s">
        <v>79</v>
      </c>
      <c r="D96" s="36" t="s">
        <v>31</v>
      </c>
      <c r="E96" s="36" t="s">
        <v>83</v>
      </c>
      <c r="F96" s="36" t="s">
        <v>154</v>
      </c>
      <c r="G96" s="36" t="s">
        <v>152</v>
      </c>
      <c r="H96" s="35" t="s">
        <v>95</v>
      </c>
      <c r="I96" s="35" t="s">
        <v>95</v>
      </c>
      <c r="J96" s="180" t="s">
        <v>75</v>
      </c>
      <c r="K96" s="139">
        <v>5</v>
      </c>
      <c r="L96" s="40"/>
    </row>
    <row r="97" spans="1:12" s="39" customFormat="1" ht="13" customHeight="1" thickBot="1" x14ac:dyDescent="0.25">
      <c r="B97" s="196"/>
      <c r="C97" s="37" t="str">
        <f t="shared" ref="C97:I97" si="47">IF(ISBLANK(C96),"",VLOOKUP(C96,$B$108:$L$144,11,0))</f>
        <v>09H00-17H30</v>
      </c>
      <c r="D97" s="37" t="str">
        <f t="shared" si="47"/>
        <v>06H00-14H30</v>
      </c>
      <c r="E97" s="37" t="str">
        <f t="shared" si="47"/>
        <v>09H00-17H30</v>
      </c>
      <c r="F97" s="37" t="str">
        <f t="shared" si="47"/>
        <v>13H00-21H30</v>
      </c>
      <c r="G97" s="37" t="str">
        <f t="shared" si="47"/>
        <v>08H30-17H00</v>
      </c>
      <c r="H97" s="37">
        <f t="shared" si="47"/>
        <v>0</v>
      </c>
      <c r="I97" s="37">
        <f t="shared" si="47"/>
        <v>0</v>
      </c>
      <c r="J97" s="181" t="s">
        <v>76</v>
      </c>
      <c r="K97" s="139"/>
      <c r="L97" s="40"/>
    </row>
    <row r="98" spans="1:12" s="39" customFormat="1" ht="13" customHeight="1" thickTop="1" x14ac:dyDescent="0.2">
      <c r="A98" s="21">
        <f>7-(COUNTIF(C98:I98,"")+COUNTIF(C98:I98,$B$142))</f>
        <v>5</v>
      </c>
      <c r="B98" s="178" t="s">
        <v>28</v>
      </c>
      <c r="C98" s="38" t="s">
        <v>31</v>
      </c>
      <c r="D98" s="38" t="s">
        <v>123</v>
      </c>
      <c r="E98" s="38" t="s">
        <v>150</v>
      </c>
      <c r="F98" s="38" t="s">
        <v>84</v>
      </c>
      <c r="G98" s="36" t="s">
        <v>92</v>
      </c>
      <c r="H98" s="35" t="s">
        <v>95</v>
      </c>
      <c r="I98" s="35" t="s">
        <v>95</v>
      </c>
      <c r="J98" s="180" t="s">
        <v>76</v>
      </c>
      <c r="K98" s="139">
        <v>5</v>
      </c>
      <c r="L98" s="40"/>
    </row>
    <row r="99" spans="1:12" s="39" customFormat="1" ht="13" customHeight="1" thickBot="1" x14ac:dyDescent="0.25">
      <c r="B99" s="179"/>
      <c r="C99" s="37" t="str">
        <f t="shared" ref="C99:I99" si="48">IF(ISBLANK(C98),"",VLOOKUP(C98,$B$108:$L$144,11,0))</f>
        <v>06H00-14H30</v>
      </c>
      <c r="D99" s="37" t="str">
        <f t="shared" si="48"/>
        <v>14H30-23H00</v>
      </c>
      <c r="E99" s="37" t="str">
        <f t="shared" si="48"/>
        <v>09H00-17H30</v>
      </c>
      <c r="F99" s="37" t="str">
        <f t="shared" si="48"/>
        <v>13H30-22H00</v>
      </c>
      <c r="G99" s="37" t="str">
        <f t="shared" si="48"/>
        <v>10H00-18H30</v>
      </c>
      <c r="H99" s="37">
        <f t="shared" si="48"/>
        <v>0</v>
      </c>
      <c r="I99" s="37">
        <f t="shared" si="48"/>
        <v>0</v>
      </c>
      <c r="J99" s="181" t="s">
        <v>77</v>
      </c>
      <c r="K99" s="139"/>
      <c r="L99" s="40"/>
    </row>
    <row r="100" spans="1:12" s="39" customFormat="1" ht="13" customHeight="1" thickTop="1" x14ac:dyDescent="0.2">
      <c r="A100" s="21"/>
      <c r="B100" s="178" t="s">
        <v>136</v>
      </c>
      <c r="C100" s="36"/>
      <c r="D100" s="35" t="s">
        <v>95</v>
      </c>
      <c r="E100" s="36"/>
      <c r="F100" s="35" t="s">
        <v>95</v>
      </c>
      <c r="G100" s="35" t="s">
        <v>95</v>
      </c>
      <c r="H100" s="35" t="s">
        <v>95</v>
      </c>
      <c r="I100" s="35" t="s">
        <v>95</v>
      </c>
      <c r="J100" s="180"/>
      <c r="K100" s="139">
        <v>2</v>
      </c>
      <c r="L100" s="40"/>
    </row>
    <row r="101" spans="1:12" ht="13" customHeight="1" thickBot="1" x14ac:dyDescent="0.25">
      <c r="A101" s="41"/>
      <c r="B101" s="179"/>
      <c r="C101" s="37" t="str">
        <f t="shared" ref="C101:I101" si="49">IF(ISBLANK(C100),"",VLOOKUP(C100,$B$108:$L$144,11,0))</f>
        <v/>
      </c>
      <c r="D101" s="37">
        <f t="shared" si="49"/>
        <v>0</v>
      </c>
      <c r="E101" s="37" t="str">
        <f t="shared" si="49"/>
        <v/>
      </c>
      <c r="F101" s="37">
        <f t="shared" si="49"/>
        <v>0</v>
      </c>
      <c r="G101" s="37">
        <f t="shared" si="49"/>
        <v>0</v>
      </c>
      <c r="H101" s="37">
        <f t="shared" si="49"/>
        <v>0</v>
      </c>
      <c r="I101" s="37">
        <f t="shared" si="49"/>
        <v>0</v>
      </c>
      <c r="J101" s="181" t="s">
        <v>57</v>
      </c>
      <c r="K101" s="139"/>
    </row>
    <row r="102" spans="1:12" s="39" customFormat="1" ht="13" customHeight="1" thickTop="1" x14ac:dyDescent="0.2">
      <c r="A102" s="21"/>
      <c r="B102" s="178" t="s">
        <v>135</v>
      </c>
      <c r="C102" s="36"/>
      <c r="D102" s="35"/>
      <c r="E102" s="36" t="s">
        <v>95</v>
      </c>
      <c r="F102" s="35"/>
      <c r="G102" s="36"/>
      <c r="H102" s="35" t="s">
        <v>95</v>
      </c>
      <c r="I102" s="35" t="s">
        <v>95</v>
      </c>
      <c r="J102" s="180"/>
      <c r="K102" s="139">
        <v>4</v>
      </c>
      <c r="L102" s="40"/>
    </row>
    <row r="103" spans="1:12" ht="13" customHeight="1" thickBot="1" x14ac:dyDescent="0.25">
      <c r="A103" s="41"/>
      <c r="B103" s="179"/>
      <c r="C103" s="37" t="str">
        <f t="shared" ref="C103:I103" si="50">IF(ISBLANK(C102),"",VLOOKUP(C102,$B$108:$L$144,11,0))</f>
        <v/>
      </c>
      <c r="D103" s="37" t="str">
        <f t="shared" si="50"/>
        <v/>
      </c>
      <c r="E103" s="37">
        <f t="shared" si="50"/>
        <v>0</v>
      </c>
      <c r="F103" s="37" t="str">
        <f t="shared" si="50"/>
        <v/>
      </c>
      <c r="G103" s="37" t="str">
        <f t="shared" si="50"/>
        <v/>
      </c>
      <c r="H103" s="37">
        <f t="shared" si="50"/>
        <v>0</v>
      </c>
      <c r="I103" s="37">
        <f t="shared" si="50"/>
        <v>0</v>
      </c>
      <c r="J103" s="181" t="s">
        <v>57</v>
      </c>
      <c r="K103" s="139"/>
    </row>
    <row r="104" spans="1:12" s="39" customFormat="1" ht="13" customHeight="1" thickTop="1" x14ac:dyDescent="0.2">
      <c r="A104" s="21">
        <f>7-(COUNTIF(C104:I104,"")+COUNTIF(C104:I104,$B$142))</f>
        <v>5</v>
      </c>
      <c r="B104" s="178" t="s">
        <v>29</v>
      </c>
      <c r="C104" s="35" t="s">
        <v>87</v>
      </c>
      <c r="D104" s="35" t="s">
        <v>87</v>
      </c>
      <c r="E104" s="35" t="s">
        <v>87</v>
      </c>
      <c r="F104" s="35" t="s">
        <v>87</v>
      </c>
      <c r="G104" s="35" t="s">
        <v>87</v>
      </c>
      <c r="H104" s="35" t="s">
        <v>95</v>
      </c>
      <c r="I104" s="35" t="s">
        <v>95</v>
      </c>
      <c r="J104" s="180"/>
      <c r="K104" s="139">
        <v>5</v>
      </c>
      <c r="L104" s="40"/>
    </row>
    <row r="105" spans="1:12" s="39" customFormat="1" ht="13" customHeight="1" thickBot="1" x14ac:dyDescent="0.25">
      <c r="B105" s="202"/>
      <c r="C105" s="43" t="str">
        <f t="shared" ref="C105:I105" si="51">IF(ISBLANK(C104),"",VLOOKUP(C104,$B$108:$L$144,11,0))</f>
        <v>08H00-16H30</v>
      </c>
      <c r="D105" s="43" t="str">
        <f t="shared" si="51"/>
        <v>08H00-16H30</v>
      </c>
      <c r="E105" s="43" t="str">
        <f t="shared" si="51"/>
        <v>08H00-16H30</v>
      </c>
      <c r="F105" s="43" t="str">
        <f t="shared" si="51"/>
        <v>08H00-16H30</v>
      </c>
      <c r="G105" s="43" t="str">
        <f t="shared" si="51"/>
        <v>08H00-16H30</v>
      </c>
      <c r="H105" s="43">
        <f t="shared" si="51"/>
        <v>0</v>
      </c>
      <c r="I105" s="43">
        <f t="shared" si="51"/>
        <v>0</v>
      </c>
      <c r="J105" s="203"/>
      <c r="K105" s="139"/>
      <c r="L105" s="40"/>
    </row>
    <row r="106" spans="1:12" s="39" customFormat="1" ht="13" customHeight="1" thickTop="1" x14ac:dyDescent="0.2">
      <c r="C106" s="45">
        <f>C5</f>
        <v>43143</v>
      </c>
      <c r="D106" s="45">
        <f t="shared" ref="D106:I106" si="52">C106+1</f>
        <v>43144</v>
      </c>
      <c r="E106" s="45">
        <f t="shared" si="52"/>
        <v>43145</v>
      </c>
      <c r="F106" s="45">
        <f t="shared" si="52"/>
        <v>43146</v>
      </c>
      <c r="G106" s="45">
        <f t="shared" si="52"/>
        <v>43147</v>
      </c>
      <c r="H106" s="45">
        <f t="shared" si="52"/>
        <v>43148</v>
      </c>
      <c r="I106" s="45">
        <f t="shared" si="52"/>
        <v>43149</v>
      </c>
      <c r="L106" s="40"/>
    </row>
    <row r="107" spans="1:12" ht="13" customHeight="1" x14ac:dyDescent="0.2">
      <c r="A107" s="41"/>
      <c r="B107" s="46" t="s">
        <v>39</v>
      </c>
      <c r="C107" s="47"/>
      <c r="D107" s="47"/>
      <c r="E107" s="47"/>
      <c r="F107" s="47"/>
      <c r="G107" s="39"/>
      <c r="H107" s="39"/>
      <c r="I107" s="39"/>
      <c r="J107" s="48" t="s">
        <v>98</v>
      </c>
      <c r="K107" s="49" t="s">
        <v>107</v>
      </c>
      <c r="L107" s="50" t="s">
        <v>97</v>
      </c>
    </row>
    <row r="108" spans="1:12" ht="13" customHeight="1" x14ac:dyDescent="0.2">
      <c r="A108" s="41"/>
      <c r="B108" s="51" t="s">
        <v>117</v>
      </c>
      <c r="C108" s="52">
        <f t="shared" ref="C108:I117" si="53">COUNTIF(C$6:C$105,$B108)</f>
        <v>0</v>
      </c>
      <c r="D108" s="52">
        <f t="shared" si="53"/>
        <v>0</v>
      </c>
      <c r="E108" s="52">
        <f t="shared" si="53"/>
        <v>0</v>
      </c>
      <c r="F108" s="52">
        <f t="shared" si="53"/>
        <v>0</v>
      </c>
      <c r="G108" s="52">
        <f t="shared" si="53"/>
        <v>0</v>
      </c>
      <c r="H108" s="52">
        <f t="shared" si="53"/>
        <v>0</v>
      </c>
      <c r="I108" s="52">
        <f t="shared" si="53"/>
        <v>0</v>
      </c>
      <c r="J108" s="53">
        <f t="shared" ref="J108:J144" si="54">SUM(C108:I108)</f>
        <v>0</v>
      </c>
      <c r="K108" s="49">
        <v>5</v>
      </c>
      <c r="L108" s="1" t="s">
        <v>118</v>
      </c>
    </row>
    <row r="109" spans="1:12" ht="13" customHeight="1" x14ac:dyDescent="0.2">
      <c r="A109" s="41"/>
      <c r="B109" s="54" t="s">
        <v>128</v>
      </c>
      <c r="C109" s="52">
        <f t="shared" si="53"/>
        <v>0</v>
      </c>
      <c r="D109" s="52">
        <f t="shared" si="53"/>
        <v>0</v>
      </c>
      <c r="E109" s="52">
        <f t="shared" si="53"/>
        <v>0</v>
      </c>
      <c r="F109" s="52">
        <f t="shared" si="53"/>
        <v>0</v>
      </c>
      <c r="G109" s="52">
        <f t="shared" si="53"/>
        <v>0</v>
      </c>
      <c r="H109" s="52">
        <f t="shared" si="53"/>
        <v>0</v>
      </c>
      <c r="I109" s="52">
        <f t="shared" si="53"/>
        <v>0</v>
      </c>
      <c r="J109" s="53">
        <f t="shared" si="54"/>
        <v>0</v>
      </c>
      <c r="K109" s="49">
        <v>0</v>
      </c>
      <c r="L109" s="1" t="s">
        <v>116</v>
      </c>
    </row>
    <row r="110" spans="1:12" ht="13" customHeight="1" x14ac:dyDescent="0.2">
      <c r="A110" s="41"/>
      <c r="B110" s="55" t="s">
        <v>79</v>
      </c>
      <c r="C110" s="52">
        <f t="shared" si="53"/>
        <v>1</v>
      </c>
      <c r="D110" s="52">
        <f t="shared" si="53"/>
        <v>1</v>
      </c>
      <c r="E110" s="52">
        <f t="shared" si="53"/>
        <v>1</v>
      </c>
      <c r="F110" s="52">
        <f t="shared" si="53"/>
        <v>1</v>
      </c>
      <c r="G110" s="52">
        <f t="shared" si="53"/>
        <v>1</v>
      </c>
      <c r="H110" s="52">
        <f t="shared" si="53"/>
        <v>1</v>
      </c>
      <c r="I110" s="52">
        <f t="shared" si="53"/>
        <v>1</v>
      </c>
      <c r="J110" s="53">
        <f t="shared" si="54"/>
        <v>7</v>
      </c>
      <c r="K110" s="49">
        <v>7</v>
      </c>
      <c r="L110" s="1" t="s">
        <v>34</v>
      </c>
    </row>
    <row r="111" spans="1:12" ht="13" customHeight="1" x14ac:dyDescent="0.2">
      <c r="A111" s="41"/>
      <c r="B111" s="20" t="s">
        <v>150</v>
      </c>
      <c r="C111" s="52">
        <f t="shared" si="53"/>
        <v>1</v>
      </c>
      <c r="D111" s="52">
        <f t="shared" si="53"/>
        <v>1</v>
      </c>
      <c r="E111" s="52">
        <f t="shared" si="53"/>
        <v>1</v>
      </c>
      <c r="F111" s="52">
        <f t="shared" si="53"/>
        <v>1</v>
      </c>
      <c r="G111" s="52">
        <f t="shared" si="53"/>
        <v>0</v>
      </c>
      <c r="H111" s="52">
        <f t="shared" si="53"/>
        <v>1</v>
      </c>
      <c r="I111" s="52">
        <f t="shared" si="53"/>
        <v>1</v>
      </c>
      <c r="J111" s="53">
        <f t="shared" si="54"/>
        <v>6</v>
      </c>
      <c r="K111" s="49">
        <v>7</v>
      </c>
      <c r="L111" s="1" t="s">
        <v>34</v>
      </c>
    </row>
    <row r="112" spans="1:12" ht="13" customHeight="1" x14ac:dyDescent="0.2">
      <c r="A112" s="41"/>
      <c r="B112" s="3" t="s">
        <v>80</v>
      </c>
      <c r="C112" s="52">
        <f t="shared" si="53"/>
        <v>1</v>
      </c>
      <c r="D112" s="52">
        <f t="shared" si="53"/>
        <v>1</v>
      </c>
      <c r="E112" s="52">
        <f t="shared" si="53"/>
        <v>1</v>
      </c>
      <c r="F112" s="52">
        <f t="shared" si="53"/>
        <v>1</v>
      </c>
      <c r="G112" s="52">
        <f t="shared" si="53"/>
        <v>1</v>
      </c>
      <c r="H112" s="52">
        <f t="shared" si="53"/>
        <v>1</v>
      </c>
      <c r="I112" s="52">
        <f t="shared" si="53"/>
        <v>1</v>
      </c>
      <c r="J112" s="53">
        <f t="shared" si="54"/>
        <v>7</v>
      </c>
      <c r="K112" s="49">
        <v>7</v>
      </c>
      <c r="L112" s="1" t="s">
        <v>32</v>
      </c>
    </row>
    <row r="113" spans="1:12" ht="13" customHeight="1" x14ac:dyDescent="0.2">
      <c r="A113" s="41"/>
      <c r="B113" s="4" t="s">
        <v>81</v>
      </c>
      <c r="C113" s="52">
        <f t="shared" si="53"/>
        <v>1</v>
      </c>
      <c r="D113" s="52">
        <f t="shared" si="53"/>
        <v>1</v>
      </c>
      <c r="E113" s="52">
        <f t="shared" si="53"/>
        <v>1</v>
      </c>
      <c r="F113" s="52">
        <f t="shared" si="53"/>
        <v>1</v>
      </c>
      <c r="G113" s="52">
        <f t="shared" si="53"/>
        <v>1</v>
      </c>
      <c r="H113" s="52">
        <f t="shared" si="53"/>
        <v>1</v>
      </c>
      <c r="I113" s="52">
        <f t="shared" si="53"/>
        <v>1</v>
      </c>
      <c r="J113" s="53">
        <f t="shared" si="54"/>
        <v>7</v>
      </c>
      <c r="K113" s="49">
        <v>7</v>
      </c>
      <c r="L113" s="1" t="s">
        <v>36</v>
      </c>
    </row>
    <row r="114" spans="1:12" ht="13" customHeight="1" x14ac:dyDescent="0.2">
      <c r="B114" s="15" t="s">
        <v>154</v>
      </c>
      <c r="C114" s="52">
        <f t="shared" si="53"/>
        <v>1</v>
      </c>
      <c r="D114" s="52">
        <f t="shared" si="53"/>
        <v>0</v>
      </c>
      <c r="E114" s="52">
        <f t="shared" si="53"/>
        <v>0</v>
      </c>
      <c r="F114" s="52">
        <f t="shared" si="53"/>
        <v>1</v>
      </c>
      <c r="G114" s="52">
        <f t="shared" si="53"/>
        <v>1</v>
      </c>
      <c r="H114" s="52">
        <f t="shared" si="53"/>
        <v>0</v>
      </c>
      <c r="I114" s="52">
        <f t="shared" si="53"/>
        <v>0</v>
      </c>
      <c r="J114" s="53">
        <f t="shared" si="54"/>
        <v>3</v>
      </c>
      <c r="K114" s="49">
        <v>7</v>
      </c>
      <c r="L114" s="1" t="s">
        <v>125</v>
      </c>
    </row>
    <row r="115" spans="1:12" ht="13" customHeight="1" x14ac:dyDescent="0.2">
      <c r="A115" s="41"/>
      <c r="B115" s="5" t="s">
        <v>103</v>
      </c>
      <c r="C115" s="52">
        <f t="shared" si="53"/>
        <v>0</v>
      </c>
      <c r="D115" s="52">
        <f t="shared" si="53"/>
        <v>0</v>
      </c>
      <c r="E115" s="52">
        <f t="shared" si="53"/>
        <v>0</v>
      </c>
      <c r="F115" s="52">
        <f t="shared" si="53"/>
        <v>0</v>
      </c>
      <c r="G115" s="52">
        <f t="shared" si="53"/>
        <v>0</v>
      </c>
      <c r="H115" s="52">
        <f t="shared" si="53"/>
        <v>0</v>
      </c>
      <c r="I115" s="52">
        <f t="shared" si="53"/>
        <v>0</v>
      </c>
      <c r="J115" s="53">
        <f t="shared" si="54"/>
        <v>0</v>
      </c>
      <c r="K115" s="49">
        <v>7</v>
      </c>
      <c r="L115" s="1" t="s">
        <v>38</v>
      </c>
    </row>
    <row r="116" spans="1:12" ht="13" customHeight="1" x14ac:dyDescent="0.2">
      <c r="A116" s="41"/>
      <c r="B116" s="14" t="s">
        <v>149</v>
      </c>
      <c r="C116" s="52">
        <f t="shared" si="53"/>
        <v>0</v>
      </c>
      <c r="D116" s="52">
        <f t="shared" si="53"/>
        <v>1</v>
      </c>
      <c r="E116" s="52">
        <f t="shared" si="53"/>
        <v>1</v>
      </c>
      <c r="F116" s="52">
        <f t="shared" si="53"/>
        <v>1</v>
      </c>
      <c r="G116" s="52">
        <f t="shared" si="53"/>
        <v>1</v>
      </c>
      <c r="H116" s="52">
        <f t="shared" si="53"/>
        <v>1</v>
      </c>
      <c r="I116" s="52">
        <f t="shared" si="53"/>
        <v>1</v>
      </c>
      <c r="J116" s="53">
        <f t="shared" si="54"/>
        <v>6</v>
      </c>
      <c r="K116" s="49">
        <v>7</v>
      </c>
      <c r="L116" s="1" t="s">
        <v>34</v>
      </c>
    </row>
    <row r="117" spans="1:12" ht="13" customHeight="1" x14ac:dyDescent="0.2">
      <c r="A117" s="41"/>
      <c r="B117" s="16" t="s">
        <v>122</v>
      </c>
      <c r="C117" s="52">
        <f t="shared" si="53"/>
        <v>1</v>
      </c>
      <c r="D117" s="52">
        <f t="shared" si="53"/>
        <v>1</v>
      </c>
      <c r="E117" s="52">
        <f t="shared" si="53"/>
        <v>1</v>
      </c>
      <c r="F117" s="52">
        <f t="shared" si="53"/>
        <v>1</v>
      </c>
      <c r="G117" s="52">
        <f t="shared" si="53"/>
        <v>1</v>
      </c>
      <c r="H117" s="52">
        <f t="shared" si="53"/>
        <v>1</v>
      </c>
      <c r="I117" s="52">
        <f t="shared" si="53"/>
        <v>1</v>
      </c>
      <c r="J117" s="53">
        <f>SUM(C117:I117)</f>
        <v>7</v>
      </c>
      <c r="K117" s="49">
        <v>7</v>
      </c>
      <c r="L117" s="1" t="s">
        <v>32</v>
      </c>
    </row>
    <row r="118" spans="1:12" ht="13" customHeight="1" x14ac:dyDescent="0.2">
      <c r="A118" s="41"/>
      <c r="B118" s="6" t="s">
        <v>82</v>
      </c>
      <c r="C118" s="52">
        <f t="shared" ref="C118:I127" si="55">COUNTIF(C$6:C$105,$B118)</f>
        <v>2</v>
      </c>
      <c r="D118" s="52">
        <f t="shared" si="55"/>
        <v>2</v>
      </c>
      <c r="E118" s="52">
        <f t="shared" si="55"/>
        <v>2</v>
      </c>
      <c r="F118" s="52">
        <f t="shared" si="55"/>
        <v>2</v>
      </c>
      <c r="G118" s="52">
        <f t="shared" si="55"/>
        <v>2</v>
      </c>
      <c r="H118" s="52">
        <f t="shared" si="55"/>
        <v>2</v>
      </c>
      <c r="I118" s="52">
        <f t="shared" si="55"/>
        <v>2</v>
      </c>
      <c r="J118" s="53">
        <f t="shared" si="54"/>
        <v>14</v>
      </c>
      <c r="K118" s="49">
        <v>14</v>
      </c>
      <c r="L118" s="1" t="s">
        <v>32</v>
      </c>
    </row>
    <row r="119" spans="1:12" ht="13" customHeight="1" x14ac:dyDescent="0.2">
      <c r="A119" s="41"/>
      <c r="B119" s="6" t="s">
        <v>83</v>
      </c>
      <c r="C119" s="52">
        <f t="shared" si="55"/>
        <v>1</v>
      </c>
      <c r="D119" s="52">
        <f t="shared" si="55"/>
        <v>1</v>
      </c>
      <c r="E119" s="52">
        <f t="shared" si="55"/>
        <v>1</v>
      </c>
      <c r="F119" s="52">
        <f t="shared" si="55"/>
        <v>1</v>
      </c>
      <c r="G119" s="52">
        <f t="shared" si="55"/>
        <v>1</v>
      </c>
      <c r="H119" s="52">
        <f t="shared" si="55"/>
        <v>1</v>
      </c>
      <c r="I119" s="52">
        <f t="shared" si="55"/>
        <v>1</v>
      </c>
      <c r="J119" s="53">
        <f t="shared" si="54"/>
        <v>7</v>
      </c>
      <c r="K119" s="49">
        <v>7</v>
      </c>
      <c r="L119" s="1" t="s">
        <v>34</v>
      </c>
    </row>
    <row r="120" spans="1:12" ht="13" customHeight="1" x14ac:dyDescent="0.2">
      <c r="A120" s="41"/>
      <c r="B120" s="6" t="s">
        <v>109</v>
      </c>
      <c r="C120" s="52">
        <f t="shared" si="55"/>
        <v>0</v>
      </c>
      <c r="D120" s="52">
        <f t="shared" si="55"/>
        <v>0</v>
      </c>
      <c r="E120" s="52">
        <f t="shared" si="55"/>
        <v>0</v>
      </c>
      <c r="F120" s="52">
        <f t="shared" si="55"/>
        <v>0</v>
      </c>
      <c r="G120" s="52">
        <f t="shared" si="55"/>
        <v>0</v>
      </c>
      <c r="H120" s="52">
        <f t="shared" si="55"/>
        <v>0</v>
      </c>
      <c r="I120" s="52">
        <f t="shared" si="55"/>
        <v>0</v>
      </c>
      <c r="J120" s="53">
        <f t="shared" si="54"/>
        <v>0</v>
      </c>
      <c r="K120" s="49">
        <v>0</v>
      </c>
      <c r="L120" s="1" t="s">
        <v>126</v>
      </c>
    </row>
    <row r="121" spans="1:12" ht="13" customHeight="1" x14ac:dyDescent="0.2">
      <c r="A121" s="41"/>
      <c r="B121" s="7" t="s">
        <v>84</v>
      </c>
      <c r="C121" s="52">
        <f t="shared" si="55"/>
        <v>3</v>
      </c>
      <c r="D121" s="52">
        <f t="shared" si="55"/>
        <v>3</v>
      </c>
      <c r="E121" s="52">
        <f t="shared" si="55"/>
        <v>3</v>
      </c>
      <c r="F121" s="52">
        <f t="shared" si="55"/>
        <v>3</v>
      </c>
      <c r="G121" s="52">
        <f t="shared" si="55"/>
        <v>3</v>
      </c>
      <c r="H121" s="52">
        <f t="shared" si="55"/>
        <v>3</v>
      </c>
      <c r="I121" s="52">
        <f t="shared" si="55"/>
        <v>3</v>
      </c>
      <c r="J121" s="53">
        <f t="shared" si="54"/>
        <v>21</v>
      </c>
      <c r="K121" s="49">
        <v>21</v>
      </c>
      <c r="L121" s="1" t="s">
        <v>35</v>
      </c>
    </row>
    <row r="122" spans="1:12" ht="13" customHeight="1" x14ac:dyDescent="0.2">
      <c r="A122" s="41"/>
      <c r="B122" s="17" t="s">
        <v>123</v>
      </c>
      <c r="C122" s="52">
        <f t="shared" si="55"/>
        <v>1</v>
      </c>
      <c r="D122" s="52">
        <f t="shared" si="55"/>
        <v>1</v>
      </c>
      <c r="E122" s="52">
        <f t="shared" si="55"/>
        <v>1</v>
      </c>
      <c r="F122" s="52">
        <f t="shared" si="55"/>
        <v>1</v>
      </c>
      <c r="G122" s="52">
        <f t="shared" si="55"/>
        <v>1</v>
      </c>
      <c r="H122" s="52">
        <f t="shared" si="55"/>
        <v>1</v>
      </c>
      <c r="I122" s="52">
        <f t="shared" si="55"/>
        <v>1</v>
      </c>
      <c r="J122" s="53">
        <f>SUM(C122:I122)</f>
        <v>7</v>
      </c>
      <c r="K122" s="49">
        <v>7</v>
      </c>
      <c r="L122" s="1" t="s">
        <v>36</v>
      </c>
    </row>
    <row r="123" spans="1:12" ht="13" customHeight="1" x14ac:dyDescent="0.2">
      <c r="A123" s="41"/>
      <c r="B123" s="7" t="s">
        <v>85</v>
      </c>
      <c r="C123" s="52">
        <f t="shared" si="55"/>
        <v>1</v>
      </c>
      <c r="D123" s="52">
        <f t="shared" si="55"/>
        <v>1</v>
      </c>
      <c r="E123" s="52">
        <f t="shared" si="55"/>
        <v>1</v>
      </c>
      <c r="F123" s="52">
        <f t="shared" si="55"/>
        <v>1</v>
      </c>
      <c r="G123" s="52">
        <f t="shared" si="55"/>
        <v>1</v>
      </c>
      <c r="H123" s="52">
        <f t="shared" si="55"/>
        <v>1</v>
      </c>
      <c r="I123" s="52">
        <f t="shared" si="55"/>
        <v>1</v>
      </c>
      <c r="J123" s="53">
        <f t="shared" si="54"/>
        <v>7</v>
      </c>
      <c r="K123" s="49">
        <v>7</v>
      </c>
      <c r="L123" s="1" t="s">
        <v>36</v>
      </c>
    </row>
    <row r="124" spans="1:12" ht="13" customHeight="1" x14ac:dyDescent="0.2">
      <c r="A124" s="41"/>
      <c r="B124" s="8" t="s">
        <v>110</v>
      </c>
      <c r="C124" s="52">
        <f t="shared" si="55"/>
        <v>1</v>
      </c>
      <c r="D124" s="52">
        <f t="shared" si="55"/>
        <v>1</v>
      </c>
      <c r="E124" s="52">
        <f t="shared" si="55"/>
        <v>1</v>
      </c>
      <c r="F124" s="52">
        <f t="shared" si="55"/>
        <v>1</v>
      </c>
      <c r="G124" s="52">
        <f t="shared" si="55"/>
        <v>1</v>
      </c>
      <c r="H124" s="52">
        <f t="shared" si="55"/>
        <v>1</v>
      </c>
      <c r="I124" s="52">
        <f t="shared" si="55"/>
        <v>1</v>
      </c>
      <c r="J124" s="53">
        <f t="shared" si="54"/>
        <v>7</v>
      </c>
      <c r="K124" s="49">
        <v>7</v>
      </c>
      <c r="L124" s="1" t="s">
        <v>38</v>
      </c>
    </row>
    <row r="125" spans="1:12" ht="13" customHeight="1" x14ac:dyDescent="0.2">
      <c r="A125" s="41"/>
      <c r="B125" s="56" t="s">
        <v>86</v>
      </c>
      <c r="C125" s="52">
        <f t="shared" si="55"/>
        <v>0</v>
      </c>
      <c r="D125" s="52">
        <f t="shared" si="55"/>
        <v>0</v>
      </c>
      <c r="E125" s="52">
        <f t="shared" si="55"/>
        <v>0</v>
      </c>
      <c r="F125" s="52">
        <f t="shared" si="55"/>
        <v>0</v>
      </c>
      <c r="G125" s="52">
        <f t="shared" si="55"/>
        <v>0</v>
      </c>
      <c r="H125" s="52">
        <f t="shared" si="55"/>
        <v>0</v>
      </c>
      <c r="I125" s="52">
        <f t="shared" si="55"/>
        <v>0</v>
      </c>
      <c r="J125" s="53">
        <f t="shared" si="54"/>
        <v>0</v>
      </c>
      <c r="K125" s="49">
        <v>19</v>
      </c>
      <c r="L125" s="1" t="s">
        <v>32</v>
      </c>
    </row>
    <row r="126" spans="1:12" ht="13" customHeight="1" x14ac:dyDescent="0.2">
      <c r="A126" s="41"/>
      <c r="B126" s="56" t="s">
        <v>87</v>
      </c>
      <c r="C126" s="52">
        <f t="shared" si="55"/>
        <v>7</v>
      </c>
      <c r="D126" s="52">
        <f t="shared" si="55"/>
        <v>7</v>
      </c>
      <c r="E126" s="52">
        <f t="shared" si="55"/>
        <v>7</v>
      </c>
      <c r="F126" s="52">
        <f t="shared" si="55"/>
        <v>7</v>
      </c>
      <c r="G126" s="52">
        <f t="shared" si="55"/>
        <v>7</v>
      </c>
      <c r="H126" s="52">
        <f t="shared" si="55"/>
        <v>0</v>
      </c>
      <c r="I126" s="52">
        <f t="shared" si="55"/>
        <v>0</v>
      </c>
      <c r="J126" s="53">
        <f t="shared" si="54"/>
        <v>35</v>
      </c>
      <c r="K126" s="49">
        <v>20</v>
      </c>
      <c r="L126" s="1" t="s">
        <v>116</v>
      </c>
    </row>
    <row r="127" spans="1:12" ht="13" customHeight="1" x14ac:dyDescent="0.2">
      <c r="A127" s="41"/>
      <c r="B127" s="57" t="s">
        <v>88</v>
      </c>
      <c r="C127" s="52">
        <f t="shared" si="55"/>
        <v>0</v>
      </c>
      <c r="D127" s="52">
        <f t="shared" si="55"/>
        <v>0</v>
      </c>
      <c r="E127" s="52">
        <f t="shared" si="55"/>
        <v>0</v>
      </c>
      <c r="F127" s="52">
        <f t="shared" si="55"/>
        <v>0</v>
      </c>
      <c r="G127" s="52">
        <f t="shared" si="55"/>
        <v>0</v>
      </c>
      <c r="H127" s="52">
        <f t="shared" si="55"/>
        <v>0</v>
      </c>
      <c r="I127" s="52">
        <f t="shared" si="55"/>
        <v>0</v>
      </c>
      <c r="J127" s="53">
        <f t="shared" si="54"/>
        <v>0</v>
      </c>
      <c r="K127" s="49">
        <v>6</v>
      </c>
      <c r="L127" s="1" t="s">
        <v>36</v>
      </c>
    </row>
    <row r="128" spans="1:12" ht="13" customHeight="1" x14ac:dyDescent="0.2">
      <c r="A128" s="41"/>
      <c r="B128" s="58" t="s">
        <v>89</v>
      </c>
      <c r="C128" s="52">
        <f t="shared" ref="C128:I133" si="56">COUNTIF(C$6:C$105,$B128)</f>
        <v>1</v>
      </c>
      <c r="D128" s="52">
        <f t="shared" si="56"/>
        <v>1</v>
      </c>
      <c r="E128" s="52">
        <f t="shared" si="56"/>
        <v>0</v>
      </c>
      <c r="F128" s="52">
        <f t="shared" si="56"/>
        <v>0</v>
      </c>
      <c r="G128" s="52">
        <f t="shared" si="56"/>
        <v>1</v>
      </c>
      <c r="H128" s="52">
        <f t="shared" si="56"/>
        <v>0</v>
      </c>
      <c r="I128" s="52">
        <f t="shared" si="56"/>
        <v>0</v>
      </c>
      <c r="J128" s="53">
        <f t="shared" si="54"/>
        <v>3</v>
      </c>
      <c r="K128" s="49">
        <v>5</v>
      </c>
      <c r="L128" s="1" t="s">
        <v>37</v>
      </c>
    </row>
    <row r="129" spans="1:12" ht="13" customHeight="1" x14ac:dyDescent="0.2">
      <c r="A129" s="41"/>
      <c r="B129" s="9" t="s">
        <v>90</v>
      </c>
      <c r="C129" s="52">
        <f t="shared" si="56"/>
        <v>1</v>
      </c>
      <c r="D129" s="52">
        <f t="shared" si="56"/>
        <v>1</v>
      </c>
      <c r="E129" s="52">
        <f t="shared" si="56"/>
        <v>1</v>
      </c>
      <c r="F129" s="52">
        <f t="shared" si="56"/>
        <v>1</v>
      </c>
      <c r="G129" s="52">
        <f t="shared" si="56"/>
        <v>1</v>
      </c>
      <c r="H129" s="52">
        <f t="shared" si="56"/>
        <v>1</v>
      </c>
      <c r="I129" s="52">
        <f t="shared" si="56"/>
        <v>1</v>
      </c>
      <c r="J129" s="53">
        <f t="shared" si="54"/>
        <v>7</v>
      </c>
      <c r="K129" s="49">
        <v>7</v>
      </c>
      <c r="L129" s="1" t="s">
        <v>32</v>
      </c>
    </row>
    <row r="130" spans="1:12" ht="13" customHeight="1" x14ac:dyDescent="0.2">
      <c r="A130" s="41"/>
      <c r="B130" s="9" t="s">
        <v>91</v>
      </c>
      <c r="C130" s="52">
        <f t="shared" si="56"/>
        <v>1</v>
      </c>
      <c r="D130" s="52">
        <f t="shared" si="56"/>
        <v>1</v>
      </c>
      <c r="E130" s="52">
        <f t="shared" si="56"/>
        <v>1</v>
      </c>
      <c r="F130" s="52">
        <f t="shared" si="56"/>
        <v>1</v>
      </c>
      <c r="G130" s="52">
        <f t="shared" si="56"/>
        <v>1</v>
      </c>
      <c r="H130" s="52">
        <f t="shared" si="56"/>
        <v>1</v>
      </c>
      <c r="I130" s="52">
        <f t="shared" si="56"/>
        <v>1</v>
      </c>
      <c r="J130" s="53">
        <f t="shared" si="54"/>
        <v>7</v>
      </c>
      <c r="K130" s="49">
        <v>7</v>
      </c>
      <c r="L130" s="1" t="s">
        <v>32</v>
      </c>
    </row>
    <row r="131" spans="1:12" ht="13" customHeight="1" x14ac:dyDescent="0.2">
      <c r="A131" s="41"/>
      <c r="B131" s="9" t="s">
        <v>92</v>
      </c>
      <c r="C131" s="52">
        <f t="shared" si="56"/>
        <v>1</v>
      </c>
      <c r="D131" s="52">
        <f t="shared" si="56"/>
        <v>1</v>
      </c>
      <c r="E131" s="52">
        <f t="shared" si="56"/>
        <v>1</v>
      </c>
      <c r="F131" s="52">
        <f t="shared" si="56"/>
        <v>1</v>
      </c>
      <c r="G131" s="52">
        <f t="shared" si="56"/>
        <v>1</v>
      </c>
      <c r="H131" s="52">
        <f t="shared" si="56"/>
        <v>1</v>
      </c>
      <c r="I131" s="52">
        <f t="shared" si="56"/>
        <v>1</v>
      </c>
      <c r="J131" s="53">
        <f t="shared" si="54"/>
        <v>7</v>
      </c>
      <c r="K131" s="49">
        <v>7</v>
      </c>
      <c r="L131" s="1" t="s">
        <v>96</v>
      </c>
    </row>
    <row r="132" spans="1:12" ht="13" customHeight="1" x14ac:dyDescent="0.2">
      <c r="A132" s="41"/>
      <c r="B132" s="10" t="s">
        <v>31</v>
      </c>
      <c r="C132" s="52">
        <f t="shared" si="56"/>
        <v>1</v>
      </c>
      <c r="D132" s="52">
        <f t="shared" si="56"/>
        <v>1</v>
      </c>
      <c r="E132" s="52">
        <f t="shared" si="56"/>
        <v>1</v>
      </c>
      <c r="F132" s="52">
        <f t="shared" si="56"/>
        <v>1</v>
      </c>
      <c r="G132" s="52">
        <f t="shared" si="56"/>
        <v>1</v>
      </c>
      <c r="H132" s="52">
        <f t="shared" si="56"/>
        <v>1</v>
      </c>
      <c r="I132" s="52">
        <f t="shared" si="56"/>
        <v>1</v>
      </c>
      <c r="J132" s="53">
        <f t="shared" si="54"/>
        <v>7</v>
      </c>
      <c r="K132" s="49">
        <v>7</v>
      </c>
      <c r="L132" s="1" t="s">
        <v>32</v>
      </c>
    </row>
    <row r="133" spans="1:12" ht="13" customHeight="1" x14ac:dyDescent="0.2">
      <c r="A133" s="41"/>
      <c r="B133" s="11" t="s">
        <v>93</v>
      </c>
      <c r="C133" s="52">
        <f t="shared" si="56"/>
        <v>1</v>
      </c>
      <c r="D133" s="52">
        <f t="shared" si="56"/>
        <v>1</v>
      </c>
      <c r="E133" s="52">
        <f t="shared" si="56"/>
        <v>1</v>
      </c>
      <c r="F133" s="52">
        <f t="shared" si="56"/>
        <v>1</v>
      </c>
      <c r="G133" s="52">
        <f t="shared" si="56"/>
        <v>1</v>
      </c>
      <c r="H133" s="52">
        <f t="shared" si="56"/>
        <v>1</v>
      </c>
      <c r="I133" s="52">
        <f t="shared" si="56"/>
        <v>1</v>
      </c>
      <c r="J133" s="53">
        <f t="shared" si="54"/>
        <v>7</v>
      </c>
      <c r="K133" s="49">
        <v>7</v>
      </c>
      <c r="L133" s="1" t="s">
        <v>32</v>
      </c>
    </row>
    <row r="134" spans="1:12" ht="13" customHeight="1" x14ac:dyDescent="0.2">
      <c r="B134" s="19" t="s">
        <v>137</v>
      </c>
      <c r="C134" s="52">
        <f t="shared" ref="C134:I136" si="57">COUNTIF(C$6:C$113,Actions)</f>
        <v>1</v>
      </c>
      <c r="D134" s="52">
        <f t="shared" si="57"/>
        <v>1</v>
      </c>
      <c r="E134" s="52">
        <f t="shared" si="57"/>
        <v>1</v>
      </c>
      <c r="F134" s="52">
        <f t="shared" si="57"/>
        <v>1</v>
      </c>
      <c r="G134" s="52">
        <f t="shared" si="57"/>
        <v>1</v>
      </c>
      <c r="H134" s="52">
        <f t="shared" si="57"/>
        <v>1</v>
      </c>
      <c r="I134" s="52">
        <f t="shared" si="57"/>
        <v>1</v>
      </c>
      <c r="J134" s="53">
        <f t="shared" si="54"/>
        <v>7</v>
      </c>
      <c r="K134" s="59">
        <v>7</v>
      </c>
      <c r="L134" s="2" t="s">
        <v>32</v>
      </c>
    </row>
    <row r="135" spans="1:12" ht="13" customHeight="1" x14ac:dyDescent="0.2">
      <c r="B135" s="18" t="s">
        <v>139</v>
      </c>
      <c r="C135" s="52">
        <f t="shared" si="57"/>
        <v>1</v>
      </c>
      <c r="D135" s="52">
        <f t="shared" si="57"/>
        <v>1</v>
      </c>
      <c r="E135" s="52">
        <f t="shared" si="57"/>
        <v>1</v>
      </c>
      <c r="F135" s="52">
        <f t="shared" si="57"/>
        <v>1</v>
      </c>
      <c r="G135" s="52">
        <f t="shared" si="57"/>
        <v>1</v>
      </c>
      <c r="H135" s="52">
        <f t="shared" si="57"/>
        <v>1</v>
      </c>
      <c r="I135" s="52">
        <f t="shared" si="57"/>
        <v>1</v>
      </c>
      <c r="J135" s="53">
        <f t="shared" si="54"/>
        <v>7</v>
      </c>
      <c r="K135" s="60">
        <v>7</v>
      </c>
      <c r="L135" s="2" t="s">
        <v>140</v>
      </c>
    </row>
    <row r="136" spans="1:12" ht="13" customHeight="1" x14ac:dyDescent="0.2">
      <c r="B136" s="61" t="s">
        <v>138</v>
      </c>
      <c r="C136" s="52">
        <f t="shared" si="57"/>
        <v>1</v>
      </c>
      <c r="D136" s="52">
        <f t="shared" si="57"/>
        <v>1</v>
      </c>
      <c r="E136" s="52">
        <f t="shared" si="57"/>
        <v>1</v>
      </c>
      <c r="F136" s="52">
        <f t="shared" si="57"/>
        <v>1</v>
      </c>
      <c r="G136" s="52">
        <f t="shared" si="57"/>
        <v>1</v>
      </c>
      <c r="H136" s="52">
        <f t="shared" si="57"/>
        <v>1</v>
      </c>
      <c r="I136" s="52">
        <f t="shared" si="57"/>
        <v>1</v>
      </c>
      <c r="J136" s="53">
        <f t="shared" si="54"/>
        <v>7</v>
      </c>
      <c r="K136" s="62">
        <v>7</v>
      </c>
      <c r="L136" s="2" t="s">
        <v>141</v>
      </c>
    </row>
    <row r="137" spans="1:12" ht="13" customHeight="1" x14ac:dyDescent="0.2">
      <c r="A137" s="41"/>
      <c r="B137" s="12" t="s">
        <v>151</v>
      </c>
      <c r="C137" s="52">
        <f t="shared" ref="C137:I144" si="58">COUNTIF(C$6:C$105,$B137)</f>
        <v>0</v>
      </c>
      <c r="D137" s="52">
        <f t="shared" si="58"/>
        <v>0</v>
      </c>
      <c r="E137" s="52">
        <f t="shared" si="58"/>
        <v>0</v>
      </c>
      <c r="F137" s="52">
        <f t="shared" si="58"/>
        <v>0</v>
      </c>
      <c r="G137" s="52">
        <f t="shared" si="58"/>
        <v>0</v>
      </c>
      <c r="H137" s="52">
        <f t="shared" si="58"/>
        <v>1</v>
      </c>
      <c r="I137" s="52">
        <f t="shared" si="58"/>
        <v>1</v>
      </c>
      <c r="J137" s="53">
        <f t="shared" si="54"/>
        <v>2</v>
      </c>
      <c r="K137" s="59">
        <v>2</v>
      </c>
      <c r="L137" s="2" t="s">
        <v>33</v>
      </c>
    </row>
    <row r="138" spans="1:12" ht="13" customHeight="1" x14ac:dyDescent="0.2">
      <c r="A138" s="41"/>
      <c r="B138" s="12" t="s">
        <v>94</v>
      </c>
      <c r="C138" s="52">
        <f t="shared" si="58"/>
        <v>0</v>
      </c>
      <c r="D138" s="52">
        <f t="shared" si="58"/>
        <v>0</v>
      </c>
      <c r="E138" s="52">
        <f t="shared" si="58"/>
        <v>0</v>
      </c>
      <c r="F138" s="52">
        <f t="shared" si="58"/>
        <v>0</v>
      </c>
      <c r="G138" s="52">
        <f t="shared" si="58"/>
        <v>0</v>
      </c>
      <c r="H138" s="52">
        <f t="shared" si="58"/>
        <v>0</v>
      </c>
      <c r="I138" s="52">
        <f t="shared" si="58"/>
        <v>0</v>
      </c>
      <c r="J138" s="53">
        <f t="shared" si="54"/>
        <v>0</v>
      </c>
      <c r="K138" s="60">
        <v>1</v>
      </c>
      <c r="L138" s="2" t="s">
        <v>33</v>
      </c>
    </row>
    <row r="139" spans="1:12" ht="13" customHeight="1" x14ac:dyDescent="0.2">
      <c r="A139" s="41"/>
      <c r="B139" s="63" t="s">
        <v>152</v>
      </c>
      <c r="C139" s="52">
        <f t="shared" si="58"/>
        <v>1</v>
      </c>
      <c r="D139" s="52">
        <f t="shared" si="58"/>
        <v>1</v>
      </c>
      <c r="E139" s="52">
        <f t="shared" si="58"/>
        <v>1</v>
      </c>
      <c r="F139" s="52">
        <f t="shared" si="58"/>
        <v>1</v>
      </c>
      <c r="G139" s="52">
        <f t="shared" si="58"/>
        <v>1</v>
      </c>
      <c r="H139" s="52">
        <f t="shared" si="58"/>
        <v>0</v>
      </c>
      <c r="I139" s="52">
        <f t="shared" si="58"/>
        <v>0</v>
      </c>
      <c r="J139" s="53">
        <f t="shared" si="54"/>
        <v>5</v>
      </c>
      <c r="K139" s="62">
        <v>5</v>
      </c>
      <c r="L139" s="2" t="s">
        <v>33</v>
      </c>
    </row>
    <row r="140" spans="1:12" ht="13" customHeight="1" x14ac:dyDescent="0.2">
      <c r="A140" s="41"/>
      <c r="B140" s="64" t="s">
        <v>40</v>
      </c>
      <c r="C140" s="52">
        <f t="shared" si="58"/>
        <v>2</v>
      </c>
      <c r="D140" s="52">
        <f t="shared" si="58"/>
        <v>3</v>
      </c>
      <c r="E140" s="52">
        <f t="shared" si="58"/>
        <v>2</v>
      </c>
      <c r="F140" s="52">
        <f t="shared" si="58"/>
        <v>2</v>
      </c>
      <c r="G140" s="52">
        <f t="shared" si="58"/>
        <v>1</v>
      </c>
      <c r="H140" s="52">
        <f t="shared" si="58"/>
        <v>0</v>
      </c>
      <c r="I140" s="52">
        <f t="shared" si="58"/>
        <v>0</v>
      </c>
      <c r="J140" s="53">
        <f t="shared" si="54"/>
        <v>10</v>
      </c>
      <c r="K140" s="65">
        <v>7</v>
      </c>
      <c r="L140" s="13"/>
    </row>
    <row r="141" spans="1:12" ht="13" customHeight="1" x14ac:dyDescent="0.2">
      <c r="A141" s="41"/>
      <c r="B141" s="64" t="s">
        <v>41</v>
      </c>
      <c r="C141" s="52">
        <f t="shared" si="58"/>
        <v>0</v>
      </c>
      <c r="D141" s="52">
        <f t="shared" si="58"/>
        <v>0</v>
      </c>
      <c r="E141" s="52">
        <f t="shared" si="58"/>
        <v>0</v>
      </c>
      <c r="F141" s="52">
        <f t="shared" si="58"/>
        <v>0</v>
      </c>
      <c r="G141" s="52">
        <f t="shared" si="58"/>
        <v>0</v>
      </c>
      <c r="H141" s="52">
        <f t="shared" si="58"/>
        <v>0</v>
      </c>
      <c r="I141" s="52">
        <f t="shared" si="58"/>
        <v>0</v>
      </c>
      <c r="J141" s="53">
        <f t="shared" si="54"/>
        <v>0</v>
      </c>
      <c r="K141" s="65">
        <v>0</v>
      </c>
      <c r="L141" s="13"/>
    </row>
    <row r="142" spans="1:12" ht="13" customHeight="1" x14ac:dyDescent="0.2">
      <c r="A142" s="41"/>
      <c r="B142" s="66" t="s">
        <v>95</v>
      </c>
      <c r="C142" s="52">
        <f t="shared" si="58"/>
        <v>3</v>
      </c>
      <c r="D142" s="52">
        <f t="shared" si="58"/>
        <v>1</v>
      </c>
      <c r="E142" s="52">
        <f t="shared" si="58"/>
        <v>1</v>
      </c>
      <c r="F142" s="52">
        <f t="shared" si="58"/>
        <v>1</v>
      </c>
      <c r="G142" s="52">
        <f t="shared" si="58"/>
        <v>2</v>
      </c>
      <c r="H142" s="52">
        <f t="shared" si="58"/>
        <v>18</v>
      </c>
      <c r="I142" s="52">
        <f t="shared" si="58"/>
        <v>21</v>
      </c>
      <c r="J142" s="53">
        <f t="shared" si="54"/>
        <v>47</v>
      </c>
      <c r="K142" s="65">
        <v>25</v>
      </c>
      <c r="L142" s="13"/>
    </row>
    <row r="143" spans="1:12" ht="13" customHeight="1" x14ac:dyDescent="0.2">
      <c r="A143" s="41"/>
      <c r="B143" s="67" t="s">
        <v>99</v>
      </c>
      <c r="C143" s="52">
        <f t="shared" si="58"/>
        <v>2</v>
      </c>
      <c r="D143" s="52">
        <f t="shared" si="58"/>
        <v>2</v>
      </c>
      <c r="E143" s="52">
        <f t="shared" si="58"/>
        <v>4</v>
      </c>
      <c r="F143" s="52">
        <f t="shared" si="58"/>
        <v>4</v>
      </c>
      <c r="G143" s="52">
        <f t="shared" si="58"/>
        <v>3</v>
      </c>
      <c r="H143" s="52">
        <f t="shared" si="58"/>
        <v>0</v>
      </c>
      <c r="I143" s="52">
        <f t="shared" si="58"/>
        <v>0</v>
      </c>
      <c r="J143" s="53">
        <f t="shared" si="54"/>
        <v>15</v>
      </c>
      <c r="K143" s="65">
        <v>0</v>
      </c>
      <c r="L143" s="13"/>
    </row>
    <row r="144" spans="1:12" ht="13" customHeight="1" x14ac:dyDescent="0.2">
      <c r="A144" s="41"/>
      <c r="B144" s="67" t="s">
        <v>100</v>
      </c>
      <c r="C144" s="52">
        <f t="shared" si="58"/>
        <v>1</v>
      </c>
      <c r="D144" s="52">
        <f t="shared" si="58"/>
        <v>0</v>
      </c>
      <c r="E144" s="52">
        <f t="shared" si="58"/>
        <v>0</v>
      </c>
      <c r="F144" s="52">
        <f t="shared" si="58"/>
        <v>0</v>
      </c>
      <c r="G144" s="52">
        <f t="shared" si="58"/>
        <v>0</v>
      </c>
      <c r="H144" s="52">
        <f t="shared" si="58"/>
        <v>0</v>
      </c>
      <c r="I144" s="52">
        <f t="shared" si="58"/>
        <v>0</v>
      </c>
      <c r="J144" s="53">
        <f t="shared" si="54"/>
        <v>1</v>
      </c>
      <c r="K144" s="65">
        <v>0</v>
      </c>
      <c r="L144" s="13" t="s">
        <v>101</v>
      </c>
    </row>
    <row r="145" spans="1:10" ht="13" customHeight="1" x14ac:dyDescent="0.2">
      <c r="A145" s="41"/>
      <c r="B145" s="68"/>
      <c r="C145" s="69">
        <f t="shared" ref="C145:I145" si="59">SUM(C108:C139)-SUM(C125:C128)-C108</f>
        <v>24</v>
      </c>
      <c r="D145" s="69">
        <f t="shared" si="59"/>
        <v>24</v>
      </c>
      <c r="E145" s="69">
        <f t="shared" si="59"/>
        <v>24</v>
      </c>
      <c r="F145" s="69">
        <f t="shared" si="59"/>
        <v>25</v>
      </c>
      <c r="G145" s="69">
        <f t="shared" si="59"/>
        <v>24</v>
      </c>
      <c r="H145" s="69">
        <f t="shared" si="59"/>
        <v>24</v>
      </c>
      <c r="I145" s="69">
        <f t="shared" si="59"/>
        <v>24</v>
      </c>
      <c r="J145" s="69">
        <f>SUM(J108:J139)</f>
        <v>207</v>
      </c>
    </row>
  </sheetData>
  <mergeCells count="102">
    <mergeCell ref="B82:B83"/>
    <mergeCell ref="J82:J83"/>
    <mergeCell ref="B84:B85"/>
    <mergeCell ref="J84:J85"/>
    <mergeCell ref="B68:B69"/>
    <mergeCell ref="J68:J69"/>
    <mergeCell ref="B78:B79"/>
    <mergeCell ref="J78:J79"/>
    <mergeCell ref="B80:B81"/>
    <mergeCell ref="J80:J81"/>
    <mergeCell ref="B72:B73"/>
    <mergeCell ref="J72:J73"/>
    <mergeCell ref="B70:B71"/>
    <mergeCell ref="J70:J71"/>
    <mergeCell ref="B76:B77"/>
    <mergeCell ref="J76:J77"/>
    <mergeCell ref="B74:B75"/>
    <mergeCell ref="J74:J75"/>
    <mergeCell ref="B86:B87"/>
    <mergeCell ref="J86:J87"/>
    <mergeCell ref="B104:B105"/>
    <mergeCell ref="J104:J105"/>
    <mergeCell ref="B98:B99"/>
    <mergeCell ref="J98:J99"/>
    <mergeCell ref="B100:B101"/>
    <mergeCell ref="J100:J101"/>
    <mergeCell ref="B102:B103"/>
    <mergeCell ref="J102:J103"/>
    <mergeCell ref="B92:B93"/>
    <mergeCell ref="J92:J93"/>
    <mergeCell ref="B94:B95"/>
    <mergeCell ref="J94:J95"/>
    <mergeCell ref="B96:B97"/>
    <mergeCell ref="J96:J97"/>
    <mergeCell ref="B88:B89"/>
    <mergeCell ref="J88:J89"/>
    <mergeCell ref="B90:B91"/>
    <mergeCell ref="J90:J91"/>
    <mergeCell ref="B58:B59"/>
    <mergeCell ref="J58:J59"/>
    <mergeCell ref="B60:B61"/>
    <mergeCell ref="J60:J61"/>
    <mergeCell ref="B62:B63"/>
    <mergeCell ref="J62:J63"/>
    <mergeCell ref="B64:B65"/>
    <mergeCell ref="J64:J65"/>
    <mergeCell ref="B66:B67"/>
    <mergeCell ref="J66:J67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</mergeCells>
  <conditionalFormatting sqref="C145:I145">
    <cfRule type="cellIs" dxfId="3547" priority="1232" operator="lessThan">
      <formula>22</formula>
    </cfRule>
  </conditionalFormatting>
  <conditionalFormatting sqref="J115:J116 J118:J121 J123:J133 J108:J113">
    <cfRule type="cellIs" dxfId="3546" priority="1231" operator="notEqual">
      <formula>$K108</formula>
    </cfRule>
  </conditionalFormatting>
  <conditionalFormatting sqref="J137">
    <cfRule type="expression" dxfId="3545" priority="1230">
      <formula>$J$137+$J$138&lt;$K$137</formula>
    </cfRule>
  </conditionalFormatting>
  <conditionalFormatting sqref="J138">
    <cfRule type="expression" dxfId="3544" priority="1229">
      <formula>$J$137+$J$138&lt;$K$137</formula>
    </cfRule>
  </conditionalFormatting>
  <conditionalFormatting sqref="J140:J144">
    <cfRule type="cellIs" dxfId="3543" priority="1228" operator="notEqual">
      <formula>$K140</formula>
    </cfRule>
  </conditionalFormatting>
  <conditionalFormatting sqref="C91:I91">
    <cfRule type="expression" dxfId="3542" priority="1227">
      <formula>C91=$B$114</formula>
    </cfRule>
  </conditionalFormatting>
  <conditionalFormatting sqref="J114">
    <cfRule type="cellIs" dxfId="3541" priority="1226" operator="notEqual">
      <formula>$K114</formula>
    </cfRule>
  </conditionalFormatting>
  <conditionalFormatting sqref="C77:I77">
    <cfRule type="expression" dxfId="3540" priority="1224">
      <formula>C77=$B$114</formula>
    </cfRule>
  </conditionalFormatting>
  <conditionalFormatting sqref="C77:I77">
    <cfRule type="expression" dxfId="3539" priority="1225">
      <formula>C77=$B$109</formula>
    </cfRule>
  </conditionalFormatting>
  <conditionalFormatting sqref="J117">
    <cfRule type="cellIs" dxfId="3538" priority="1223" operator="notEqual">
      <formula>$K117</formula>
    </cfRule>
  </conditionalFormatting>
  <conditionalFormatting sqref="J122">
    <cfRule type="cellIs" dxfId="3537" priority="1222" operator="notEqual">
      <formula>$K122</formula>
    </cfRule>
  </conditionalFormatting>
  <conditionalFormatting sqref="H50">
    <cfRule type="expression" dxfId="3536" priority="1220">
      <formula>H50=$B$114</formula>
    </cfRule>
  </conditionalFormatting>
  <conditionalFormatting sqref="H50">
    <cfRule type="expression" dxfId="3535" priority="1221">
      <formula>H50=$B$109</formula>
    </cfRule>
  </conditionalFormatting>
  <conditionalFormatting sqref="C36">
    <cfRule type="expression" dxfId="3534" priority="1218">
      <formula>C36=$B$114</formula>
    </cfRule>
  </conditionalFormatting>
  <conditionalFormatting sqref="C36">
    <cfRule type="expression" dxfId="3533" priority="1219">
      <formula>C36=$B$109</formula>
    </cfRule>
  </conditionalFormatting>
  <conditionalFormatting sqref="C92:F92 C97:I97 C86:I87 I48 C66:I83 C89:I89 C91:I91 C90:G90 C96:G96 C99:I99 C98:G98 C104:I105 C50:I63 C6:I47">
    <cfRule type="expression" dxfId="3532" priority="1234">
      <formula>C6=$B$128</formula>
    </cfRule>
    <cfRule type="expression" dxfId="3531" priority="1235">
      <formula>C6=$B$126</formula>
    </cfRule>
    <cfRule type="expression" dxfId="3530" priority="1236">
      <formula>C6=$B$122</formula>
    </cfRule>
    <cfRule type="expression" dxfId="3529" priority="1237">
      <formula>C6=$B$117</formula>
    </cfRule>
    <cfRule type="expression" dxfId="3528" priority="1238">
      <formula>C6=$B$114</formula>
    </cfRule>
    <cfRule type="expression" dxfId="3527" priority="1239">
      <formula>C6=$B$111</formula>
    </cfRule>
    <cfRule type="expression" dxfId="3526" priority="1240">
      <formula>C6=$B$114</formula>
    </cfRule>
    <cfRule type="expression" dxfId="3525" priority="1241">
      <formula>C6=$B$144</formula>
    </cfRule>
    <cfRule type="expression" dxfId="3524" priority="1242">
      <formula>C6=$B$116</formula>
    </cfRule>
    <cfRule type="expression" dxfId="3523" priority="1243">
      <formula>C6=$B$144</formula>
    </cfRule>
    <cfRule type="expression" dxfId="3522" priority="1244">
      <formula>C6=$B$143</formula>
    </cfRule>
    <cfRule type="expression" dxfId="3521" priority="1245">
      <formula>C6=$B$142</formula>
    </cfRule>
    <cfRule type="expression" dxfId="3520" priority="1246">
      <formula>C6=$B$141</formula>
    </cfRule>
    <cfRule type="expression" dxfId="3519" priority="1247">
      <formula>C6=$B$140</formula>
    </cfRule>
    <cfRule type="expression" dxfId="3518" priority="1248">
      <formula>C6=$B$139</formula>
    </cfRule>
    <cfRule type="expression" dxfId="3517" priority="1249">
      <formula>C6=$B$138</formula>
    </cfRule>
    <cfRule type="expression" dxfId="3516" priority="1250">
      <formula>C6=$B$137</formula>
    </cfRule>
    <cfRule type="expression" dxfId="3515" priority="1251">
      <formula>C6=$B$133</formula>
    </cfRule>
    <cfRule type="expression" dxfId="3514" priority="1252">
      <formula>C6=$B$132</formula>
    </cfRule>
    <cfRule type="expression" dxfId="3513" priority="1253">
      <formula>C6=$B$131</formula>
    </cfRule>
    <cfRule type="expression" dxfId="3512" priority="1254">
      <formula>C6=$B$130</formula>
    </cfRule>
    <cfRule type="expression" dxfId="3511" priority="1255">
      <formula>C6=$B$129</formula>
    </cfRule>
    <cfRule type="expression" dxfId="3510" priority="1256" stopIfTrue="1">
      <formula>C6=$B$128</formula>
    </cfRule>
    <cfRule type="expression" dxfId="3509" priority="1257">
      <formula>C6=$B$127</formula>
    </cfRule>
    <cfRule type="expression" dxfId="3508" priority="1258" stopIfTrue="1">
      <formula>C6=$B$126</formula>
    </cfRule>
    <cfRule type="expression" dxfId="3507" priority="1259">
      <formula>C6=$B$125</formula>
    </cfRule>
    <cfRule type="expression" dxfId="3506" priority="1260">
      <formula>C6=$B$124</formula>
    </cfRule>
    <cfRule type="expression" dxfId="3505" priority="1261">
      <formula>C6=$B$123</formula>
    </cfRule>
    <cfRule type="expression" dxfId="3504" priority="1262" stopIfTrue="1">
      <formula>C6=$B$121</formula>
    </cfRule>
    <cfRule type="expression" dxfId="3503" priority="1263" stopIfTrue="1">
      <formula>C6=$B$120</formula>
    </cfRule>
    <cfRule type="expression" dxfId="3502" priority="1264" stopIfTrue="1">
      <formula>C6=$B$119</formula>
    </cfRule>
    <cfRule type="expression" dxfId="3501" priority="1265">
      <formula>C6=$B$118</formula>
    </cfRule>
    <cfRule type="expression" dxfId="3500" priority="1266">
      <formula>C6=$B$115</formula>
    </cfRule>
    <cfRule type="expression" dxfId="3499" priority="1267" stopIfTrue="1">
      <formula>C6=$B$113</formula>
    </cfRule>
    <cfRule type="expression" dxfId="3498" priority="1268">
      <formula>C6=$B$112</formula>
    </cfRule>
    <cfRule type="expression" dxfId="3497" priority="1269">
      <formula>C6=$B$111</formula>
    </cfRule>
    <cfRule type="expression" dxfId="3496" priority="1270">
      <formula>C6=$B$110</formula>
    </cfRule>
    <cfRule type="expression" dxfId="3495" priority="1271">
      <formula>C6=$B$108</formula>
    </cfRule>
    <cfRule type="expression" dxfId="3494" priority="1272" stopIfTrue="1">
      <formula>C6=$B$109</formula>
    </cfRule>
    <cfRule type="expression" dxfId="3493" priority="1273" stopIfTrue="1">
      <formula>C$5=TODAY()</formula>
    </cfRule>
  </conditionalFormatting>
  <conditionalFormatting sqref="J139">
    <cfRule type="cellIs" dxfId="3492" priority="1217" operator="notEqual">
      <formula>$K139</formula>
    </cfRule>
  </conditionalFormatting>
  <conditionalFormatting sqref="C100:I103 H22:I22 C48:I49 C93:I95 H30:I30 H42:I42 C38:D38 C46 C70:I70 C84:I85 C50 H44:I44 H56:I56 H72:I72 G92:I92 C64:I65 D28 C22 H24">
    <cfRule type="expression" dxfId="3491" priority="1176">
      <formula>C22=$B$143</formula>
    </cfRule>
    <cfRule type="expression" dxfId="3490" priority="1177">
      <formula>C22=$B$128</formula>
    </cfRule>
    <cfRule type="expression" dxfId="3489" priority="1178">
      <formula>C22=$B$126</formula>
    </cfRule>
    <cfRule type="expression" dxfId="3488" priority="1179">
      <formula>C22=$B$122</formula>
    </cfRule>
    <cfRule type="expression" dxfId="3487" priority="1180">
      <formula>C22=$B$117</formula>
    </cfRule>
    <cfRule type="expression" dxfId="3486" priority="1181">
      <formula>C22=$B$114</formula>
    </cfRule>
    <cfRule type="expression" dxfId="3485" priority="1182">
      <formula>C22=$B$111</formula>
    </cfRule>
    <cfRule type="expression" dxfId="3484" priority="1183">
      <formula>C22=$B$114</formula>
    </cfRule>
    <cfRule type="expression" dxfId="3483" priority="1184">
      <formula>C22=$B$144</formula>
    </cfRule>
    <cfRule type="expression" dxfId="3482" priority="1185">
      <formula>C22=$B$116</formula>
    </cfRule>
    <cfRule type="expression" dxfId="3481" priority="1186">
      <formula>C22=$B$144</formula>
    </cfRule>
    <cfRule type="expression" dxfId="3480" priority="1187">
      <formula>C22=$B$143</formula>
    </cfRule>
    <cfRule type="expression" dxfId="3479" priority="1188">
      <formula>C22=$B$142</formula>
    </cfRule>
    <cfRule type="expression" dxfId="3478" priority="1189">
      <formula>C22=$B$141</formula>
    </cfRule>
    <cfRule type="expression" dxfId="3477" priority="1190">
      <formula>C22=$B$140</formula>
    </cfRule>
    <cfRule type="expression" dxfId="3476" priority="1191">
      <formula>C22=$B$139</formula>
    </cfRule>
    <cfRule type="expression" dxfId="3475" priority="1192">
      <formula>C22=$B$138</formula>
    </cfRule>
    <cfRule type="expression" dxfId="3474" priority="1193">
      <formula>C22=$B$137</formula>
    </cfRule>
    <cfRule type="expression" dxfId="3473" priority="1194">
      <formula>C22=$B$133</formula>
    </cfRule>
    <cfRule type="expression" dxfId="3472" priority="1195">
      <formula>C22=$B$132</formula>
    </cfRule>
    <cfRule type="expression" dxfId="3471" priority="1196">
      <formula>C22=$B$131</formula>
    </cfRule>
    <cfRule type="expression" dxfId="3470" priority="1197">
      <formula>C22=$B$130</formula>
    </cfRule>
    <cfRule type="expression" dxfId="3469" priority="1198">
      <formula>C22=$B$129</formula>
    </cfRule>
    <cfRule type="expression" dxfId="3468" priority="1199" stopIfTrue="1">
      <formula>C22=$B$128</formula>
    </cfRule>
    <cfRule type="expression" dxfId="3467" priority="1200">
      <formula>C22=$B$127</formula>
    </cfRule>
    <cfRule type="expression" dxfId="3466" priority="1201" stopIfTrue="1">
      <formula>C22=$B$126</formula>
    </cfRule>
    <cfRule type="expression" dxfId="3465" priority="1202">
      <formula>C22=$B$125</formula>
    </cfRule>
    <cfRule type="expression" dxfId="3464" priority="1203">
      <formula>C22=$B$124</formula>
    </cfRule>
    <cfRule type="expression" dxfId="3463" priority="1204">
      <formula>C22=$B$123</formula>
    </cfRule>
    <cfRule type="expression" dxfId="3462" priority="1205" stopIfTrue="1">
      <formula>C22=$B$121</formula>
    </cfRule>
    <cfRule type="expression" dxfId="3461" priority="1206" stopIfTrue="1">
      <formula>C22=$B$120</formula>
    </cfRule>
    <cfRule type="expression" dxfId="3460" priority="1207" stopIfTrue="1">
      <formula>C22=$B$119</formula>
    </cfRule>
    <cfRule type="expression" dxfId="3459" priority="1208">
      <formula>C22=$B$118</formula>
    </cfRule>
    <cfRule type="expression" dxfId="3458" priority="1209">
      <formula>C22=$B$115</formula>
    </cfRule>
    <cfRule type="expression" dxfId="3457" priority="1210" stopIfTrue="1">
      <formula>C22=$B$113</formula>
    </cfRule>
    <cfRule type="expression" dxfId="3456" priority="1211">
      <formula>C22=$B$112</formula>
    </cfRule>
    <cfRule type="expression" dxfId="3455" priority="1212">
      <formula>C22=$B$111</formula>
    </cfRule>
    <cfRule type="expression" dxfId="3454" priority="1213">
      <formula>C22=$B$110</formula>
    </cfRule>
    <cfRule type="expression" dxfId="3453" priority="1214">
      <formula>C22=$B$108</formula>
    </cfRule>
    <cfRule type="expression" dxfId="3452" priority="1215" stopIfTrue="1">
      <formula>C22=$B$109</formula>
    </cfRule>
    <cfRule type="expression" dxfId="3451" priority="1216" stopIfTrue="1">
      <formula>C$5=TODAY()</formula>
    </cfRule>
  </conditionalFormatting>
  <conditionalFormatting sqref="H48">
    <cfRule type="expression" dxfId="3450" priority="1174">
      <formula>H48=$B$114</formula>
    </cfRule>
  </conditionalFormatting>
  <conditionalFormatting sqref="H48">
    <cfRule type="expression" dxfId="3449" priority="1175">
      <formula>H48=$B$109</formula>
    </cfRule>
  </conditionalFormatting>
  <conditionalFormatting sqref="H94">
    <cfRule type="expression" dxfId="3448" priority="1170">
      <formula>H94=$B$114</formula>
    </cfRule>
  </conditionalFormatting>
  <conditionalFormatting sqref="H94">
    <cfRule type="expression" dxfId="3447" priority="1171">
      <formula>H94=$B$109</formula>
    </cfRule>
  </conditionalFormatting>
  <conditionalFormatting sqref="C76 C97:I97 C77:I83 E76:I76 C86:I87 C59:I63 C6:I37 C46 H58:I58 I48 C66:I75 C89:I89 C91:I91 C90:G90 C96:G96 C99:I99 C98:G98 C104:I105 C50:I57 C38:F38">
    <cfRule type="expression" dxfId="3446" priority="1233">
      <formula>C6=$B$143</formula>
    </cfRule>
  </conditionalFormatting>
  <conditionalFormatting sqref="C85:I87 C94:I95 G92:I92 H58:I58 C59:I83 C89:I89 C91:I91 C90:G90 C97:I97 C96:G96 C99:I103 C98:G98 C6:I57">
    <cfRule type="expression" dxfId="3445" priority="1167">
      <formula>C6=$B$135</formula>
    </cfRule>
    <cfRule type="expression" dxfId="3444" priority="1168">
      <formula>C6=$B$136</formula>
    </cfRule>
    <cfRule type="expression" dxfId="3443" priority="1169">
      <formula>C6=$B$134</formula>
    </cfRule>
  </conditionalFormatting>
  <conditionalFormatting sqref="H92">
    <cfRule type="expression" dxfId="3442" priority="1165">
      <formula>H92=$B$114</formula>
    </cfRule>
  </conditionalFormatting>
  <conditionalFormatting sqref="H92">
    <cfRule type="expression" dxfId="3441" priority="1166">
      <formula>H92=$B$109</formula>
    </cfRule>
  </conditionalFormatting>
  <conditionalFormatting sqref="C93:I93">
    <cfRule type="expression" dxfId="3440" priority="1162">
      <formula>C93=$B$135</formula>
    </cfRule>
    <cfRule type="expression" dxfId="3439" priority="1163">
      <formula>C93=$B$136</formula>
    </cfRule>
    <cfRule type="expression" dxfId="3438" priority="1164">
      <formula>C93=$B$134</formula>
    </cfRule>
  </conditionalFormatting>
  <conditionalFormatting sqref="C92:F92">
    <cfRule type="expression" dxfId="3437" priority="1161">
      <formula>C92=$B$143</formula>
    </cfRule>
  </conditionalFormatting>
  <conditionalFormatting sqref="C92:F92">
    <cfRule type="expression" dxfId="3436" priority="1158">
      <formula>C92=$B$135</formula>
    </cfRule>
    <cfRule type="expression" dxfId="3435" priority="1159">
      <formula>C92=$B$136</formula>
    </cfRule>
    <cfRule type="expression" dxfId="3434" priority="1160">
      <formula>C92=$B$134</formula>
    </cfRule>
  </conditionalFormatting>
  <conditionalFormatting sqref="J136">
    <cfRule type="cellIs" dxfId="3433" priority="1157" operator="notEqual">
      <formula>$K136</formula>
    </cfRule>
  </conditionalFormatting>
  <conditionalFormatting sqref="C58">
    <cfRule type="expression" dxfId="3432" priority="1151">
      <formula>C58=$B$143</formula>
    </cfRule>
  </conditionalFormatting>
  <conditionalFormatting sqref="C58">
    <cfRule type="expression" dxfId="3431" priority="1148">
      <formula>C58=$B$135</formula>
    </cfRule>
    <cfRule type="expression" dxfId="3430" priority="1149">
      <formula>C58=$B$136</formula>
    </cfRule>
    <cfRule type="expression" dxfId="3429" priority="1150">
      <formula>C58=$B$134</formula>
    </cfRule>
  </conditionalFormatting>
  <conditionalFormatting sqref="J134">
    <cfRule type="cellIs" dxfId="3428" priority="1147" operator="notEqual">
      <formula>$K134</formula>
    </cfRule>
  </conditionalFormatting>
  <conditionalFormatting sqref="A6:A104">
    <cfRule type="cellIs" dxfId="3427" priority="1145" operator="lessThan">
      <formula>5</formula>
    </cfRule>
    <cfRule type="cellIs" dxfId="3426" priority="1146" operator="greaterThanOrEqual">
      <formula>5</formula>
    </cfRule>
  </conditionalFormatting>
  <conditionalFormatting sqref="J135">
    <cfRule type="cellIs" dxfId="3425" priority="1144" operator="notEqual">
      <formula>$K135</formula>
    </cfRule>
  </conditionalFormatting>
  <conditionalFormatting sqref="H42:I42">
    <cfRule type="expression" dxfId="3424" priority="1103">
      <formula>H42=$B$143</formula>
    </cfRule>
  </conditionalFormatting>
  <conditionalFormatting sqref="I46">
    <cfRule type="expression" dxfId="3423" priority="1102">
      <formula>I46=$B$143</formula>
    </cfRule>
  </conditionalFormatting>
  <conditionalFormatting sqref="C46">
    <cfRule type="expression" dxfId="3422" priority="1061">
      <formula>C46=$B$143</formula>
    </cfRule>
  </conditionalFormatting>
  <conditionalFormatting sqref="H30:I30">
    <cfRule type="expression" dxfId="3421" priority="1020">
      <formula>H30=$B$143</formula>
    </cfRule>
  </conditionalFormatting>
  <conditionalFormatting sqref="D58:I58">
    <cfRule type="expression" dxfId="3420" priority="979">
      <formula>D58=$B$143</formula>
    </cfRule>
  </conditionalFormatting>
  <conditionalFormatting sqref="D58:I58">
    <cfRule type="expression" dxfId="3419" priority="976">
      <formula>D58=$B$135</formula>
    </cfRule>
    <cfRule type="expression" dxfId="3418" priority="977">
      <formula>D58=$B$136</formula>
    </cfRule>
    <cfRule type="expression" dxfId="3417" priority="978">
      <formula>D58=$B$134</formula>
    </cfRule>
  </conditionalFormatting>
  <conditionalFormatting sqref="H70">
    <cfRule type="expression" dxfId="3416" priority="933">
      <formula>H70=$B$114</formula>
    </cfRule>
  </conditionalFormatting>
  <conditionalFormatting sqref="H70">
    <cfRule type="expression" dxfId="3415" priority="934">
      <formula>H70=$B$109</formula>
    </cfRule>
  </conditionalFormatting>
  <conditionalFormatting sqref="H64">
    <cfRule type="expression" dxfId="3414" priority="799">
      <formula>H64=$B$114</formula>
    </cfRule>
  </conditionalFormatting>
  <conditionalFormatting sqref="H64">
    <cfRule type="expression" dxfId="3413" priority="800">
      <formula>H64=$B$109</formula>
    </cfRule>
  </conditionalFormatting>
  <conditionalFormatting sqref="C84:I84">
    <cfRule type="expression" dxfId="3412" priority="755">
      <formula>C84=$B$135</formula>
    </cfRule>
    <cfRule type="expression" dxfId="3411" priority="756">
      <formula>C84=$B$136</formula>
    </cfRule>
    <cfRule type="expression" dxfId="3410" priority="757">
      <formula>C84=$B$134</formula>
    </cfRule>
  </conditionalFormatting>
  <conditionalFormatting sqref="C58:I58">
    <cfRule type="expression" dxfId="3409" priority="754">
      <formula>C58=$B$143</formula>
    </cfRule>
  </conditionalFormatting>
  <conditionalFormatting sqref="C58:I58">
    <cfRule type="expression" dxfId="3408" priority="751">
      <formula>C58=$B$135</formula>
    </cfRule>
    <cfRule type="expression" dxfId="3407" priority="752">
      <formula>C58=$B$136</formula>
    </cfRule>
    <cfRule type="expression" dxfId="3406" priority="753">
      <formula>C58=$B$134</formula>
    </cfRule>
  </conditionalFormatting>
  <conditionalFormatting sqref="C58:I58">
    <cfRule type="expression" dxfId="3405" priority="750">
      <formula>C58=$B$143</formula>
    </cfRule>
  </conditionalFormatting>
  <conditionalFormatting sqref="C58:I58">
    <cfRule type="expression" dxfId="3404" priority="747">
      <formula>C58=$B$135</formula>
    </cfRule>
    <cfRule type="expression" dxfId="3403" priority="748">
      <formula>C58=$B$136</formula>
    </cfRule>
    <cfRule type="expression" dxfId="3402" priority="749">
      <formula>C58=$B$134</formula>
    </cfRule>
  </conditionalFormatting>
  <conditionalFormatting sqref="F58:I58">
    <cfRule type="expression" dxfId="3401" priority="746">
      <formula>F58=$B$143</formula>
    </cfRule>
  </conditionalFormatting>
  <conditionalFormatting sqref="F58:I58">
    <cfRule type="expression" dxfId="3400" priority="743">
      <formula>F58=$B$135</formula>
    </cfRule>
    <cfRule type="expression" dxfId="3399" priority="744">
      <formula>F58=$B$136</formula>
    </cfRule>
    <cfRule type="expression" dxfId="3398" priority="745">
      <formula>F58=$B$134</formula>
    </cfRule>
  </conditionalFormatting>
  <conditionalFormatting sqref="C50">
    <cfRule type="expression" dxfId="3397" priority="701">
      <formula>C50=$B$143</formula>
    </cfRule>
  </conditionalFormatting>
  <conditionalFormatting sqref="C58:I58">
    <cfRule type="expression" dxfId="3396" priority="700">
      <formula>C58=$B$143</formula>
    </cfRule>
  </conditionalFormatting>
  <conditionalFormatting sqref="C58:I58">
    <cfRule type="expression" dxfId="3395" priority="697">
      <formula>C58=$B$135</formula>
    </cfRule>
    <cfRule type="expression" dxfId="3394" priority="698">
      <formula>C58=$B$136</formula>
    </cfRule>
    <cfRule type="expression" dxfId="3393" priority="699">
      <formula>C58=$B$134</formula>
    </cfRule>
  </conditionalFormatting>
  <conditionalFormatting sqref="H46:I46">
    <cfRule type="expression" dxfId="3392" priority="696">
      <formula>H46=$B$143</formula>
    </cfRule>
  </conditionalFormatting>
  <conditionalFormatting sqref="C46">
    <cfRule type="expression" dxfId="3391" priority="695">
      <formula>C46=$B$143</formula>
    </cfRule>
  </conditionalFormatting>
  <conditionalFormatting sqref="F40:I40">
    <cfRule type="expression" dxfId="3390" priority="694">
      <formula>F40=$B$143</formula>
    </cfRule>
  </conditionalFormatting>
  <conditionalFormatting sqref="G44:I44">
    <cfRule type="expression" dxfId="3389" priority="693">
      <formula>G44=$B$143</formula>
    </cfRule>
  </conditionalFormatting>
  <conditionalFormatting sqref="H56:I56">
    <cfRule type="expression" dxfId="3388" priority="651">
      <formula>H56=$B$143</formula>
    </cfRule>
  </conditionalFormatting>
  <conditionalFormatting sqref="H72:I72">
    <cfRule type="expression" dxfId="3387" priority="609">
      <formula>H72=$B$143</formula>
    </cfRule>
  </conditionalFormatting>
  <conditionalFormatting sqref="D76">
    <cfRule type="expression" dxfId="3386" priority="527">
      <formula>D76=$B$143</formula>
    </cfRule>
  </conditionalFormatting>
  <conditionalFormatting sqref="E104:G104">
    <cfRule type="expression" dxfId="3385" priority="476">
      <formula>E104=$B$135</formula>
    </cfRule>
    <cfRule type="expression" dxfId="3384" priority="477">
      <formula>E104=$B$136</formula>
    </cfRule>
    <cfRule type="expression" dxfId="3383" priority="478">
      <formula>E104=$B$134</formula>
    </cfRule>
  </conditionalFormatting>
  <conditionalFormatting sqref="G98">
    <cfRule type="expression" dxfId="3382" priority="435">
      <formula>G98=$B$143</formula>
    </cfRule>
    <cfRule type="expression" dxfId="3381" priority="436">
      <formula>G98=$B$128</formula>
    </cfRule>
    <cfRule type="expression" dxfId="3380" priority="437">
      <formula>G98=$B$126</formula>
    </cfRule>
    <cfRule type="expression" dxfId="3379" priority="438">
      <formula>G98=$B$122</formula>
    </cfRule>
    <cfRule type="expression" dxfId="3378" priority="439">
      <formula>G98=$B$117</formula>
    </cfRule>
    <cfRule type="expression" dxfId="3377" priority="440">
      <formula>G98=$B$114</formula>
    </cfRule>
    <cfRule type="expression" dxfId="3376" priority="441">
      <formula>G98=$B$111</formula>
    </cfRule>
    <cfRule type="expression" dxfId="3375" priority="442">
      <formula>G98=$B$114</formula>
    </cfRule>
    <cfRule type="expression" dxfId="3374" priority="443">
      <formula>G98=$B$144</formula>
    </cfRule>
    <cfRule type="expression" dxfId="3373" priority="444">
      <formula>G98=$B$116</formula>
    </cfRule>
    <cfRule type="expression" dxfId="3372" priority="445">
      <formula>G98=$B$144</formula>
    </cfRule>
    <cfRule type="expression" dxfId="3371" priority="446">
      <formula>G98=$B$143</formula>
    </cfRule>
    <cfRule type="expression" dxfId="3370" priority="447">
      <formula>G98=$B$142</formula>
    </cfRule>
    <cfRule type="expression" dxfId="3369" priority="448">
      <formula>G98=$B$141</formula>
    </cfRule>
    <cfRule type="expression" dxfId="3368" priority="449">
      <formula>G98=$B$140</formula>
    </cfRule>
    <cfRule type="expression" dxfId="3367" priority="450">
      <formula>G98=$B$139</formula>
    </cfRule>
    <cfRule type="expression" dxfId="3366" priority="451">
      <formula>G98=$B$138</formula>
    </cfRule>
    <cfRule type="expression" dxfId="3365" priority="452">
      <formula>G98=$B$137</formula>
    </cfRule>
    <cfRule type="expression" dxfId="3364" priority="453">
      <formula>G98=$B$133</formula>
    </cfRule>
    <cfRule type="expression" dxfId="3363" priority="454">
      <formula>G98=$B$132</formula>
    </cfRule>
    <cfRule type="expression" dxfId="3362" priority="455">
      <formula>G98=$B$131</formula>
    </cfRule>
    <cfRule type="expression" dxfId="3361" priority="456">
      <formula>G98=$B$130</formula>
    </cfRule>
    <cfRule type="expression" dxfId="3360" priority="457">
      <formula>G98=$B$129</formula>
    </cfRule>
    <cfRule type="expression" dxfId="3359" priority="458" stopIfTrue="1">
      <formula>G98=$B$128</formula>
    </cfRule>
    <cfRule type="expression" dxfId="3358" priority="459">
      <formula>G98=$B$127</formula>
    </cfRule>
    <cfRule type="expression" dxfId="3357" priority="460" stopIfTrue="1">
      <formula>G98=$B$126</formula>
    </cfRule>
    <cfRule type="expression" dxfId="3356" priority="461">
      <formula>G98=$B$125</formula>
    </cfRule>
    <cfRule type="expression" dxfId="3355" priority="462">
      <formula>G98=$B$124</formula>
    </cfRule>
    <cfRule type="expression" dxfId="3354" priority="463">
      <formula>G98=$B$123</formula>
    </cfRule>
    <cfRule type="expression" dxfId="3353" priority="464" stopIfTrue="1">
      <formula>G98=$B$121</formula>
    </cfRule>
    <cfRule type="expression" dxfId="3352" priority="465" stopIfTrue="1">
      <formula>G98=$B$120</formula>
    </cfRule>
    <cfRule type="expression" dxfId="3351" priority="466" stopIfTrue="1">
      <formula>G98=$B$119</formula>
    </cfRule>
    <cfRule type="expression" dxfId="3350" priority="467">
      <formula>G98=$B$118</formula>
    </cfRule>
    <cfRule type="expression" dxfId="3349" priority="468">
      <formula>G98=$B$115</formula>
    </cfRule>
    <cfRule type="expression" dxfId="3348" priority="469" stopIfTrue="1">
      <formula>G98=$B$113</formula>
    </cfRule>
    <cfRule type="expression" dxfId="3347" priority="470">
      <formula>G98=$B$112</formula>
    </cfRule>
    <cfRule type="expression" dxfId="3346" priority="471">
      <formula>G98=$B$111</formula>
    </cfRule>
    <cfRule type="expression" dxfId="3345" priority="472">
      <formula>G98=$B$110</formula>
    </cfRule>
    <cfRule type="expression" dxfId="3344" priority="473">
      <formula>G98=$B$108</formula>
    </cfRule>
    <cfRule type="expression" dxfId="3343" priority="474" stopIfTrue="1">
      <formula>G98=$B$109</formula>
    </cfRule>
    <cfRule type="expression" dxfId="3342" priority="475" stopIfTrue="1">
      <formula>G$5=TODAY()</formula>
    </cfRule>
  </conditionalFormatting>
  <conditionalFormatting sqref="G64">
    <cfRule type="expression" dxfId="3341" priority="306">
      <formula>G64=$B$135</formula>
    </cfRule>
    <cfRule type="expression" dxfId="3340" priority="307">
      <formula>G64=$B$136</formula>
    </cfRule>
    <cfRule type="expression" dxfId="3339" priority="308">
      <formula>G64=$B$134</formula>
    </cfRule>
  </conditionalFormatting>
  <conditionalFormatting sqref="C40">
    <cfRule type="expression" dxfId="3338" priority="305">
      <formula>C40=$B$143</formula>
    </cfRule>
  </conditionalFormatting>
  <conditionalFormatting sqref="G44:I44">
    <cfRule type="expression" dxfId="3337" priority="304">
      <formula>G44=$B$143</formula>
    </cfRule>
  </conditionalFormatting>
  <conditionalFormatting sqref="C58">
    <cfRule type="expression" dxfId="3336" priority="263">
      <formula>C58=$B$143</formula>
    </cfRule>
  </conditionalFormatting>
  <conditionalFormatting sqref="C58">
    <cfRule type="expression" dxfId="3335" priority="260">
      <formula>C58=$B$135</formula>
    </cfRule>
    <cfRule type="expression" dxfId="3334" priority="261">
      <formula>C58=$B$136</formula>
    </cfRule>
    <cfRule type="expression" dxfId="3333" priority="262">
      <formula>C58=$B$134</formula>
    </cfRule>
  </conditionalFormatting>
  <conditionalFormatting sqref="H90:I90 C88:I88">
    <cfRule type="expression" dxfId="3332" priority="219">
      <formula>C88=$B$143</formula>
    </cfRule>
    <cfRule type="expression" dxfId="3331" priority="220">
      <formula>C88=$B$128</formula>
    </cfRule>
    <cfRule type="expression" dxfId="3330" priority="221">
      <formula>C88=$B$126</formula>
    </cfRule>
    <cfRule type="expression" dxfId="3329" priority="222">
      <formula>C88=$B$122</formula>
    </cfRule>
    <cfRule type="expression" dxfId="3328" priority="223">
      <formula>C88=$B$117</formula>
    </cfRule>
    <cfRule type="expression" dxfId="3327" priority="224">
      <formula>C88=$B$114</formula>
    </cfRule>
    <cfRule type="expression" dxfId="3326" priority="225">
      <formula>C88=$B$111</formula>
    </cfRule>
    <cfRule type="expression" dxfId="3325" priority="226">
      <formula>C88=$B$114</formula>
    </cfRule>
    <cfRule type="expression" dxfId="3324" priority="227">
      <formula>C88=$B$144</formula>
    </cfRule>
    <cfRule type="expression" dxfId="3323" priority="228">
      <formula>C88=$B$116</formula>
    </cfRule>
    <cfRule type="expression" dxfId="3322" priority="229">
      <formula>C88=$B$144</formula>
    </cfRule>
    <cfRule type="expression" dxfId="3321" priority="230">
      <formula>C88=$B$143</formula>
    </cfRule>
    <cfRule type="expression" dxfId="3320" priority="231">
      <formula>C88=$B$142</formula>
    </cfRule>
    <cfRule type="expression" dxfId="3319" priority="232">
      <formula>C88=$B$141</formula>
    </cfRule>
    <cfRule type="expression" dxfId="3318" priority="233">
      <formula>C88=$B$140</formula>
    </cfRule>
    <cfRule type="expression" dxfId="3317" priority="234">
      <formula>C88=$B$139</formula>
    </cfRule>
    <cfRule type="expression" dxfId="3316" priority="235">
      <formula>C88=$B$138</formula>
    </cfRule>
    <cfRule type="expression" dxfId="3315" priority="236">
      <formula>C88=$B$137</formula>
    </cfRule>
    <cfRule type="expression" dxfId="3314" priority="237">
      <formula>C88=$B$133</formula>
    </cfRule>
    <cfRule type="expression" dxfId="3313" priority="238">
      <formula>C88=$B$132</formula>
    </cfRule>
    <cfRule type="expression" dxfId="3312" priority="239">
      <formula>C88=$B$131</formula>
    </cfRule>
    <cfRule type="expression" dxfId="3311" priority="240">
      <formula>C88=$B$130</formula>
    </cfRule>
    <cfRule type="expression" dxfId="3310" priority="241">
      <formula>C88=$B$129</formula>
    </cfRule>
    <cfRule type="expression" dxfId="3309" priority="242" stopIfTrue="1">
      <formula>C88=$B$128</formula>
    </cfRule>
    <cfRule type="expression" dxfId="3308" priority="243">
      <formula>C88=$B$127</formula>
    </cfRule>
    <cfRule type="expression" dxfId="3307" priority="244" stopIfTrue="1">
      <formula>C88=$B$126</formula>
    </cfRule>
    <cfRule type="expression" dxfId="3306" priority="245">
      <formula>C88=$B$125</formula>
    </cfRule>
    <cfRule type="expression" dxfId="3305" priority="246">
      <formula>C88=$B$124</formula>
    </cfRule>
    <cfRule type="expression" dxfId="3304" priority="247">
      <formula>C88=$B$123</formula>
    </cfRule>
    <cfRule type="expression" dxfId="3303" priority="248" stopIfTrue="1">
      <formula>C88=$B$121</formula>
    </cfRule>
    <cfRule type="expression" dxfId="3302" priority="249" stopIfTrue="1">
      <formula>C88=$B$120</formula>
    </cfRule>
    <cfRule type="expression" dxfId="3301" priority="250" stopIfTrue="1">
      <formula>C88=$B$119</formula>
    </cfRule>
    <cfRule type="expression" dxfId="3300" priority="251">
      <formula>C88=$B$118</formula>
    </cfRule>
    <cfRule type="expression" dxfId="3299" priority="252">
      <formula>C88=$B$115</formula>
    </cfRule>
    <cfRule type="expression" dxfId="3298" priority="253" stopIfTrue="1">
      <formula>C88=$B$113</formula>
    </cfRule>
    <cfRule type="expression" dxfId="3297" priority="254">
      <formula>C88=$B$112</formula>
    </cfRule>
    <cfRule type="expression" dxfId="3296" priority="255">
      <formula>C88=$B$111</formula>
    </cfRule>
    <cfRule type="expression" dxfId="3295" priority="256">
      <formula>C88=$B$110</formula>
    </cfRule>
    <cfRule type="expression" dxfId="3294" priority="257">
      <formula>C88=$B$108</formula>
    </cfRule>
    <cfRule type="expression" dxfId="3293" priority="258" stopIfTrue="1">
      <formula>C88=$B$109</formula>
    </cfRule>
    <cfRule type="expression" dxfId="3292" priority="259" stopIfTrue="1">
      <formula>C$5=TODAY()</formula>
    </cfRule>
  </conditionalFormatting>
  <conditionalFormatting sqref="H90:I90 C88:I88">
    <cfRule type="expression" dxfId="3291" priority="216">
      <formula>C88=$B$135</formula>
    </cfRule>
    <cfRule type="expression" dxfId="3290" priority="217">
      <formula>C88=$B$136</formula>
    </cfRule>
    <cfRule type="expression" dxfId="3289" priority="218">
      <formula>C88=$B$134</formula>
    </cfRule>
  </conditionalFormatting>
  <conditionalFormatting sqref="H52:I52">
    <cfRule type="expression" dxfId="3288" priority="175">
      <formula>H52=$B$143</formula>
    </cfRule>
    <cfRule type="expression" dxfId="3287" priority="176">
      <formula>H52=$B$128</formula>
    </cfRule>
    <cfRule type="expression" dxfId="3286" priority="177">
      <formula>H52=$B$126</formula>
    </cfRule>
    <cfRule type="expression" dxfId="3285" priority="178">
      <formula>H52=$B$122</formula>
    </cfRule>
    <cfRule type="expression" dxfId="3284" priority="179">
      <formula>H52=$B$117</formula>
    </cfRule>
    <cfRule type="expression" dxfId="3283" priority="180">
      <formula>H52=$B$114</formula>
    </cfRule>
    <cfRule type="expression" dxfId="3282" priority="181">
      <formula>H52=$B$111</formula>
    </cfRule>
    <cfRule type="expression" dxfId="3281" priority="182">
      <formula>H52=$B$114</formula>
    </cfRule>
    <cfRule type="expression" dxfId="3280" priority="183">
      <formula>H52=$B$144</formula>
    </cfRule>
    <cfRule type="expression" dxfId="3279" priority="184">
      <formula>H52=$B$116</formula>
    </cfRule>
    <cfRule type="expression" dxfId="3278" priority="185">
      <formula>H52=$B$144</formula>
    </cfRule>
    <cfRule type="expression" dxfId="3277" priority="186">
      <formula>H52=$B$143</formula>
    </cfRule>
    <cfRule type="expression" dxfId="3276" priority="187">
      <formula>H52=$B$142</formula>
    </cfRule>
    <cfRule type="expression" dxfId="3275" priority="188">
      <formula>H52=$B$141</formula>
    </cfRule>
    <cfRule type="expression" dxfId="3274" priority="189">
      <formula>H52=$B$140</formula>
    </cfRule>
    <cfRule type="expression" dxfId="3273" priority="190">
      <formula>H52=$B$139</formula>
    </cfRule>
    <cfRule type="expression" dxfId="3272" priority="191">
      <formula>H52=$B$138</formula>
    </cfRule>
    <cfRule type="expression" dxfId="3271" priority="192">
      <formula>H52=$B$137</formula>
    </cfRule>
    <cfRule type="expression" dxfId="3270" priority="193">
      <formula>H52=$B$133</formula>
    </cfRule>
    <cfRule type="expression" dxfId="3269" priority="194">
      <formula>H52=$B$132</formula>
    </cfRule>
    <cfRule type="expression" dxfId="3268" priority="195">
      <formula>H52=$B$131</formula>
    </cfRule>
    <cfRule type="expression" dxfId="3267" priority="196">
      <formula>H52=$B$130</formula>
    </cfRule>
    <cfRule type="expression" dxfId="3266" priority="197">
      <formula>H52=$B$129</formula>
    </cfRule>
    <cfRule type="expression" dxfId="3265" priority="198" stopIfTrue="1">
      <formula>H52=$B$128</formula>
    </cfRule>
    <cfRule type="expression" dxfId="3264" priority="199">
      <formula>H52=$B$127</formula>
    </cfRule>
    <cfRule type="expression" dxfId="3263" priority="200" stopIfTrue="1">
      <formula>H52=$B$126</formula>
    </cfRule>
    <cfRule type="expression" dxfId="3262" priority="201">
      <formula>H52=$B$125</formula>
    </cfRule>
    <cfRule type="expression" dxfId="3261" priority="202">
      <formula>H52=$B$124</formula>
    </cfRule>
    <cfRule type="expression" dxfId="3260" priority="203">
      <formula>H52=$B$123</formula>
    </cfRule>
    <cfRule type="expression" dxfId="3259" priority="204" stopIfTrue="1">
      <formula>H52=$B$121</formula>
    </cfRule>
    <cfRule type="expression" dxfId="3258" priority="205" stopIfTrue="1">
      <formula>H52=$B$120</formula>
    </cfRule>
    <cfRule type="expression" dxfId="3257" priority="206" stopIfTrue="1">
      <formula>H52=$B$119</formula>
    </cfRule>
    <cfRule type="expression" dxfId="3256" priority="207">
      <formula>H52=$B$118</formula>
    </cfRule>
    <cfRule type="expression" dxfId="3255" priority="208">
      <formula>H52=$B$115</formula>
    </cfRule>
    <cfRule type="expression" dxfId="3254" priority="209" stopIfTrue="1">
      <formula>H52=$B$113</formula>
    </cfRule>
    <cfRule type="expression" dxfId="3253" priority="210">
      <formula>H52=$B$112</formula>
    </cfRule>
    <cfRule type="expression" dxfId="3252" priority="211">
      <formula>H52=$B$111</formula>
    </cfRule>
    <cfRule type="expression" dxfId="3251" priority="212">
      <formula>H52=$B$110</formula>
    </cfRule>
    <cfRule type="expression" dxfId="3250" priority="213">
      <formula>H52=$B$108</formula>
    </cfRule>
    <cfRule type="expression" dxfId="3249" priority="214" stopIfTrue="1">
      <formula>H52=$B$109</formula>
    </cfRule>
    <cfRule type="expression" dxfId="3248" priority="215" stopIfTrue="1">
      <formula>H$5=TODAY()</formula>
    </cfRule>
  </conditionalFormatting>
  <conditionalFormatting sqref="H52:I52">
    <cfRule type="expression" dxfId="3247" priority="174">
      <formula>H52=$B$143</formula>
    </cfRule>
  </conditionalFormatting>
  <conditionalFormatting sqref="H54:I54">
    <cfRule type="expression" dxfId="3246" priority="133">
      <formula>H54=$B$143</formula>
    </cfRule>
    <cfRule type="expression" dxfId="3245" priority="134">
      <formula>H54=$B$128</formula>
    </cfRule>
    <cfRule type="expression" dxfId="3244" priority="135">
      <formula>H54=$B$126</formula>
    </cfRule>
    <cfRule type="expression" dxfId="3243" priority="136">
      <formula>H54=$B$122</formula>
    </cfRule>
    <cfRule type="expression" dxfId="3242" priority="137">
      <formula>H54=$B$117</formula>
    </cfRule>
    <cfRule type="expression" dxfId="3241" priority="138">
      <formula>H54=$B$114</formula>
    </cfRule>
    <cfRule type="expression" dxfId="3240" priority="139">
      <formula>H54=$B$111</formula>
    </cfRule>
    <cfRule type="expression" dxfId="3239" priority="140">
      <formula>H54=$B$114</formula>
    </cfRule>
    <cfRule type="expression" dxfId="3238" priority="141">
      <formula>H54=$B$144</formula>
    </cfRule>
    <cfRule type="expression" dxfId="3237" priority="142">
      <formula>H54=$B$116</formula>
    </cfRule>
    <cfRule type="expression" dxfId="3236" priority="143">
      <formula>H54=$B$144</formula>
    </cfRule>
    <cfRule type="expression" dxfId="3235" priority="144">
      <formula>H54=$B$143</formula>
    </cfRule>
    <cfRule type="expression" dxfId="3234" priority="145">
      <formula>H54=$B$142</formula>
    </cfRule>
    <cfRule type="expression" dxfId="3233" priority="146">
      <formula>H54=$B$141</formula>
    </cfRule>
    <cfRule type="expression" dxfId="3232" priority="147">
      <formula>H54=$B$140</formula>
    </cfRule>
    <cfRule type="expression" dxfId="3231" priority="148">
      <formula>H54=$B$139</formula>
    </cfRule>
    <cfRule type="expression" dxfId="3230" priority="149">
      <formula>H54=$B$138</formula>
    </cfRule>
    <cfRule type="expression" dxfId="3229" priority="150">
      <formula>H54=$B$137</formula>
    </cfRule>
    <cfRule type="expression" dxfId="3228" priority="151">
      <formula>H54=$B$133</formula>
    </cfRule>
    <cfRule type="expression" dxfId="3227" priority="152">
      <formula>H54=$B$132</formula>
    </cfRule>
    <cfRule type="expression" dxfId="3226" priority="153">
      <formula>H54=$B$131</formula>
    </cfRule>
    <cfRule type="expression" dxfId="3225" priority="154">
      <formula>H54=$B$130</formula>
    </cfRule>
    <cfRule type="expression" dxfId="3224" priority="155">
      <formula>H54=$B$129</formula>
    </cfRule>
    <cfRule type="expression" dxfId="3223" priority="156" stopIfTrue="1">
      <formula>H54=$B$128</formula>
    </cfRule>
    <cfRule type="expression" dxfId="3222" priority="157">
      <formula>H54=$B$127</formula>
    </cfRule>
    <cfRule type="expression" dxfId="3221" priority="158" stopIfTrue="1">
      <formula>H54=$B$126</formula>
    </cfRule>
    <cfRule type="expression" dxfId="3220" priority="159">
      <formula>H54=$B$125</formula>
    </cfRule>
    <cfRule type="expression" dxfId="3219" priority="160">
      <formula>H54=$B$124</formula>
    </cfRule>
    <cfRule type="expression" dxfId="3218" priority="161">
      <formula>H54=$B$123</formula>
    </cfRule>
    <cfRule type="expression" dxfId="3217" priority="162" stopIfTrue="1">
      <formula>H54=$B$121</formula>
    </cfRule>
    <cfRule type="expression" dxfId="3216" priority="163" stopIfTrue="1">
      <formula>H54=$B$120</formula>
    </cfRule>
    <cfRule type="expression" dxfId="3215" priority="164" stopIfTrue="1">
      <formula>H54=$B$119</formula>
    </cfRule>
    <cfRule type="expression" dxfId="3214" priority="165">
      <formula>H54=$B$118</formula>
    </cfRule>
    <cfRule type="expression" dxfId="3213" priority="166">
      <formula>H54=$B$115</formula>
    </cfRule>
    <cfRule type="expression" dxfId="3212" priority="167" stopIfTrue="1">
      <formula>H54=$B$113</formula>
    </cfRule>
    <cfRule type="expression" dxfId="3211" priority="168">
      <formula>H54=$B$112</formula>
    </cfRule>
    <cfRule type="expression" dxfId="3210" priority="169">
      <formula>H54=$B$111</formula>
    </cfRule>
    <cfRule type="expression" dxfId="3209" priority="170">
      <formula>H54=$B$110</formula>
    </cfRule>
    <cfRule type="expression" dxfId="3208" priority="171">
      <formula>H54=$B$108</formula>
    </cfRule>
    <cfRule type="expression" dxfId="3207" priority="172" stopIfTrue="1">
      <formula>H54=$B$109</formula>
    </cfRule>
    <cfRule type="expression" dxfId="3206" priority="173" stopIfTrue="1">
      <formula>H$5=TODAY()</formula>
    </cfRule>
  </conditionalFormatting>
  <conditionalFormatting sqref="H54:I54">
    <cfRule type="expression" dxfId="3205" priority="132">
      <formula>H54=$B$143</formula>
    </cfRule>
  </conditionalFormatting>
  <conditionalFormatting sqref="G38:I38">
    <cfRule type="expression" dxfId="3204" priority="131">
      <formula>G38=$B$143</formula>
    </cfRule>
  </conditionalFormatting>
  <conditionalFormatting sqref="G38:I38">
    <cfRule type="expression" dxfId="3203" priority="90">
      <formula>G38=$B$143</formula>
    </cfRule>
    <cfRule type="expression" dxfId="3202" priority="91">
      <formula>G38=$B$128</formula>
    </cfRule>
    <cfRule type="expression" dxfId="3201" priority="92">
      <formula>G38=$B$126</formula>
    </cfRule>
    <cfRule type="expression" dxfId="3200" priority="93">
      <formula>G38=$B$122</formula>
    </cfRule>
    <cfRule type="expression" dxfId="3199" priority="94">
      <formula>G38=$B$117</formula>
    </cfRule>
    <cfRule type="expression" dxfId="3198" priority="95">
      <formula>G38=$B$114</formula>
    </cfRule>
    <cfRule type="expression" dxfId="3197" priority="96">
      <formula>G38=$B$111</formula>
    </cfRule>
    <cfRule type="expression" dxfId="3196" priority="97">
      <formula>G38=$B$114</formula>
    </cfRule>
    <cfRule type="expression" dxfId="3195" priority="98">
      <formula>G38=$B$144</formula>
    </cfRule>
    <cfRule type="expression" dxfId="3194" priority="99">
      <formula>G38=$B$116</formula>
    </cfRule>
    <cfRule type="expression" dxfId="3193" priority="100">
      <formula>G38=$B$144</formula>
    </cfRule>
    <cfRule type="expression" dxfId="3192" priority="101">
      <formula>G38=$B$143</formula>
    </cfRule>
    <cfRule type="expression" dxfId="3191" priority="102">
      <formula>G38=$B$142</formula>
    </cfRule>
    <cfRule type="expression" dxfId="3190" priority="103">
      <formula>G38=$B$141</formula>
    </cfRule>
    <cfRule type="expression" dxfId="3189" priority="104">
      <formula>G38=$B$140</formula>
    </cfRule>
    <cfRule type="expression" dxfId="3188" priority="105">
      <formula>G38=$B$139</formula>
    </cfRule>
    <cfRule type="expression" dxfId="3187" priority="106">
      <formula>G38=$B$138</formula>
    </cfRule>
    <cfRule type="expression" dxfId="3186" priority="107">
      <formula>G38=$B$137</formula>
    </cfRule>
    <cfRule type="expression" dxfId="3185" priority="108">
      <formula>G38=$B$133</formula>
    </cfRule>
    <cfRule type="expression" dxfId="3184" priority="109">
      <formula>G38=$B$132</formula>
    </cfRule>
    <cfRule type="expression" dxfId="3183" priority="110">
      <formula>G38=$B$131</formula>
    </cfRule>
    <cfRule type="expression" dxfId="3182" priority="111">
      <formula>G38=$B$130</formula>
    </cfRule>
    <cfRule type="expression" dxfId="3181" priority="112">
      <formula>G38=$B$129</formula>
    </cfRule>
    <cfRule type="expression" dxfId="3180" priority="113" stopIfTrue="1">
      <formula>G38=$B$128</formula>
    </cfRule>
    <cfRule type="expression" dxfId="3179" priority="114">
      <formula>G38=$B$127</formula>
    </cfRule>
    <cfRule type="expression" dxfId="3178" priority="115" stopIfTrue="1">
      <formula>G38=$B$126</formula>
    </cfRule>
    <cfRule type="expression" dxfId="3177" priority="116">
      <formula>G38=$B$125</formula>
    </cfRule>
    <cfRule type="expression" dxfId="3176" priority="117">
      <formula>G38=$B$124</formula>
    </cfRule>
    <cfRule type="expression" dxfId="3175" priority="118">
      <formula>G38=$B$123</formula>
    </cfRule>
    <cfRule type="expression" dxfId="3174" priority="119" stopIfTrue="1">
      <formula>G38=$B$121</formula>
    </cfRule>
    <cfRule type="expression" dxfId="3173" priority="120" stopIfTrue="1">
      <formula>G38=$B$120</formula>
    </cfRule>
    <cfRule type="expression" dxfId="3172" priority="121" stopIfTrue="1">
      <formula>G38=$B$119</formula>
    </cfRule>
    <cfRule type="expression" dxfId="3171" priority="122">
      <formula>G38=$B$118</formula>
    </cfRule>
    <cfRule type="expression" dxfId="3170" priority="123">
      <formula>G38=$B$115</formula>
    </cfRule>
    <cfRule type="expression" dxfId="3169" priority="124" stopIfTrue="1">
      <formula>G38=$B$113</formula>
    </cfRule>
    <cfRule type="expression" dxfId="3168" priority="125">
      <formula>G38=$B$112</formula>
    </cfRule>
    <cfRule type="expression" dxfId="3167" priority="126">
      <formula>G38=$B$111</formula>
    </cfRule>
    <cfRule type="expression" dxfId="3166" priority="127">
      <formula>G38=$B$110</formula>
    </cfRule>
    <cfRule type="expression" dxfId="3165" priority="128">
      <formula>G38=$B$108</formula>
    </cfRule>
    <cfRule type="expression" dxfId="3164" priority="129" stopIfTrue="1">
      <formula>G38=$B$109</formula>
    </cfRule>
    <cfRule type="expression" dxfId="3163" priority="130" stopIfTrue="1">
      <formula>G$5=TODAY()</formula>
    </cfRule>
  </conditionalFormatting>
  <conditionalFormatting sqref="G38:I38">
    <cfRule type="expression" dxfId="3162" priority="89">
      <formula>G38=$B$143</formula>
    </cfRule>
  </conditionalFormatting>
  <conditionalFormatting sqref="H96:I96">
    <cfRule type="expression" dxfId="3161" priority="48">
      <formula>H96=$B$143</formula>
    </cfRule>
    <cfRule type="expression" dxfId="3160" priority="49">
      <formula>H96=$B$128</formula>
    </cfRule>
    <cfRule type="expression" dxfId="3159" priority="50">
      <formula>H96=$B$126</formula>
    </cfRule>
    <cfRule type="expression" dxfId="3158" priority="51">
      <formula>H96=$B$122</formula>
    </cfRule>
    <cfRule type="expression" dxfId="3157" priority="52">
      <formula>H96=$B$117</formula>
    </cfRule>
    <cfRule type="expression" dxfId="3156" priority="53">
      <formula>H96=$B$114</formula>
    </cfRule>
    <cfRule type="expression" dxfId="3155" priority="54">
      <formula>H96=$B$111</formula>
    </cfRule>
    <cfRule type="expression" dxfId="3154" priority="55">
      <formula>H96=$B$114</formula>
    </cfRule>
    <cfRule type="expression" dxfId="3153" priority="56">
      <formula>H96=$B$144</formula>
    </cfRule>
    <cfRule type="expression" dxfId="3152" priority="57">
      <formula>H96=$B$116</formula>
    </cfRule>
    <cfRule type="expression" dxfId="3151" priority="58">
      <formula>H96=$B$144</formula>
    </cfRule>
    <cfRule type="expression" dxfId="3150" priority="59">
      <formula>H96=$B$143</formula>
    </cfRule>
    <cfRule type="expression" dxfId="3149" priority="60">
      <formula>H96=$B$142</formula>
    </cfRule>
    <cfRule type="expression" dxfId="3148" priority="61">
      <formula>H96=$B$141</formula>
    </cfRule>
    <cfRule type="expression" dxfId="3147" priority="62">
      <formula>H96=$B$140</formula>
    </cfRule>
    <cfRule type="expression" dxfId="3146" priority="63">
      <formula>H96=$B$139</formula>
    </cfRule>
    <cfRule type="expression" dxfId="3145" priority="64">
      <formula>H96=$B$138</formula>
    </cfRule>
    <cfRule type="expression" dxfId="3144" priority="65">
      <formula>H96=$B$137</formula>
    </cfRule>
    <cfRule type="expression" dxfId="3143" priority="66">
      <formula>H96=$B$133</formula>
    </cfRule>
    <cfRule type="expression" dxfId="3142" priority="67">
      <formula>H96=$B$132</formula>
    </cfRule>
    <cfRule type="expression" dxfId="3141" priority="68">
      <formula>H96=$B$131</formula>
    </cfRule>
    <cfRule type="expression" dxfId="3140" priority="69">
      <formula>H96=$B$130</formula>
    </cfRule>
    <cfRule type="expression" dxfId="3139" priority="70">
      <formula>H96=$B$129</formula>
    </cfRule>
    <cfRule type="expression" dxfId="3138" priority="71" stopIfTrue="1">
      <formula>H96=$B$128</formula>
    </cfRule>
    <cfRule type="expression" dxfId="3137" priority="72">
      <formula>H96=$B$127</formula>
    </cfRule>
    <cfRule type="expression" dxfId="3136" priority="73" stopIfTrue="1">
      <formula>H96=$B$126</formula>
    </cfRule>
    <cfRule type="expression" dxfId="3135" priority="74">
      <formula>H96=$B$125</formula>
    </cfRule>
    <cfRule type="expression" dxfId="3134" priority="75">
      <formula>H96=$B$124</formula>
    </cfRule>
    <cfRule type="expression" dxfId="3133" priority="76">
      <formula>H96=$B$123</formula>
    </cfRule>
    <cfRule type="expression" dxfId="3132" priority="77" stopIfTrue="1">
      <formula>H96=$B$121</formula>
    </cfRule>
    <cfRule type="expression" dxfId="3131" priority="78" stopIfTrue="1">
      <formula>H96=$B$120</formula>
    </cfRule>
    <cfRule type="expression" dxfId="3130" priority="79" stopIfTrue="1">
      <formula>H96=$B$119</formula>
    </cfRule>
    <cfRule type="expression" dxfId="3129" priority="80">
      <formula>H96=$B$118</formula>
    </cfRule>
    <cfRule type="expression" dxfId="3128" priority="81">
      <formula>H96=$B$115</formula>
    </cfRule>
    <cfRule type="expression" dxfId="3127" priority="82" stopIfTrue="1">
      <formula>H96=$B$113</formula>
    </cfRule>
    <cfRule type="expression" dxfId="3126" priority="83">
      <formula>H96=$B$112</formula>
    </cfRule>
    <cfRule type="expression" dxfId="3125" priority="84">
      <formula>H96=$B$111</formula>
    </cfRule>
    <cfRule type="expression" dxfId="3124" priority="85">
      <formula>H96=$B$110</formula>
    </cfRule>
    <cfRule type="expression" dxfId="3123" priority="86">
      <formula>H96=$B$108</formula>
    </cfRule>
    <cfRule type="expression" dxfId="3122" priority="87" stopIfTrue="1">
      <formula>H96=$B$109</formula>
    </cfRule>
    <cfRule type="expression" dxfId="3121" priority="88" stopIfTrue="1">
      <formula>H$5=TODAY()</formula>
    </cfRule>
  </conditionalFormatting>
  <conditionalFormatting sqref="H96:I96">
    <cfRule type="expression" dxfId="3120" priority="45">
      <formula>H96=$B$135</formula>
    </cfRule>
    <cfRule type="expression" dxfId="3119" priority="46">
      <formula>H96=$B$136</formula>
    </cfRule>
    <cfRule type="expression" dxfId="3118" priority="47">
      <formula>H96=$B$134</formula>
    </cfRule>
  </conditionalFormatting>
  <conditionalFormatting sqref="H98:I98">
    <cfRule type="expression" dxfId="3117" priority="4">
      <formula>H98=$B$143</formula>
    </cfRule>
    <cfRule type="expression" dxfId="3116" priority="5">
      <formula>H98=$B$128</formula>
    </cfRule>
    <cfRule type="expression" dxfId="3115" priority="6">
      <formula>H98=$B$126</formula>
    </cfRule>
    <cfRule type="expression" dxfId="3114" priority="7">
      <formula>H98=$B$122</formula>
    </cfRule>
    <cfRule type="expression" dxfId="3113" priority="8">
      <formula>H98=$B$117</formula>
    </cfRule>
    <cfRule type="expression" dxfId="3112" priority="9">
      <formula>H98=$B$114</formula>
    </cfRule>
    <cfRule type="expression" dxfId="3111" priority="10">
      <formula>H98=$B$111</formula>
    </cfRule>
    <cfRule type="expression" dxfId="3110" priority="11">
      <formula>H98=$B$114</formula>
    </cfRule>
    <cfRule type="expression" dxfId="3109" priority="12">
      <formula>H98=$B$144</formula>
    </cfRule>
    <cfRule type="expression" dxfId="3108" priority="13">
      <formula>H98=$B$116</formula>
    </cfRule>
    <cfRule type="expression" dxfId="3107" priority="14">
      <formula>H98=$B$144</formula>
    </cfRule>
    <cfRule type="expression" dxfId="3106" priority="15">
      <formula>H98=$B$143</formula>
    </cfRule>
    <cfRule type="expression" dxfId="3105" priority="16">
      <formula>H98=$B$142</formula>
    </cfRule>
    <cfRule type="expression" dxfId="3104" priority="17">
      <formula>H98=$B$141</formula>
    </cfRule>
    <cfRule type="expression" dxfId="3103" priority="18">
      <formula>H98=$B$140</formula>
    </cfRule>
    <cfRule type="expression" dxfId="3102" priority="19">
      <formula>H98=$B$139</formula>
    </cfRule>
    <cfRule type="expression" dxfId="3101" priority="20">
      <formula>H98=$B$138</formula>
    </cfRule>
    <cfRule type="expression" dxfId="3100" priority="21">
      <formula>H98=$B$137</formula>
    </cfRule>
    <cfRule type="expression" dxfId="3099" priority="22">
      <formula>H98=$B$133</formula>
    </cfRule>
    <cfRule type="expression" dxfId="3098" priority="23">
      <formula>H98=$B$132</formula>
    </cfRule>
    <cfRule type="expression" dxfId="3097" priority="24">
      <formula>H98=$B$131</formula>
    </cfRule>
    <cfRule type="expression" dxfId="3096" priority="25">
      <formula>H98=$B$130</formula>
    </cfRule>
    <cfRule type="expression" dxfId="3095" priority="26">
      <formula>H98=$B$129</formula>
    </cfRule>
    <cfRule type="expression" dxfId="3094" priority="27" stopIfTrue="1">
      <formula>H98=$B$128</formula>
    </cfRule>
    <cfRule type="expression" dxfId="3093" priority="28">
      <formula>H98=$B$127</formula>
    </cfRule>
    <cfRule type="expression" dxfId="3092" priority="29" stopIfTrue="1">
      <formula>H98=$B$126</formula>
    </cfRule>
    <cfRule type="expression" dxfId="3091" priority="30">
      <formula>H98=$B$125</formula>
    </cfRule>
    <cfRule type="expression" dxfId="3090" priority="31">
      <formula>H98=$B$124</formula>
    </cfRule>
    <cfRule type="expression" dxfId="3089" priority="32">
      <formula>H98=$B$123</formula>
    </cfRule>
    <cfRule type="expression" dxfId="3088" priority="33" stopIfTrue="1">
      <formula>H98=$B$121</formula>
    </cfRule>
    <cfRule type="expression" dxfId="3087" priority="34" stopIfTrue="1">
      <formula>H98=$B$120</formula>
    </cfRule>
    <cfRule type="expression" dxfId="3086" priority="35" stopIfTrue="1">
      <formula>H98=$B$119</formula>
    </cfRule>
    <cfRule type="expression" dxfId="3085" priority="36">
      <formula>H98=$B$118</formula>
    </cfRule>
    <cfRule type="expression" dxfId="3084" priority="37">
      <formula>H98=$B$115</formula>
    </cfRule>
    <cfRule type="expression" dxfId="3083" priority="38" stopIfTrue="1">
      <formula>H98=$B$113</formula>
    </cfRule>
    <cfRule type="expression" dxfId="3082" priority="39">
      <formula>H98=$B$112</formula>
    </cfRule>
    <cfRule type="expression" dxfId="3081" priority="40">
      <formula>H98=$B$111</formula>
    </cfRule>
    <cfRule type="expression" dxfId="3080" priority="41">
      <formula>H98=$B$110</formula>
    </cfRule>
    <cfRule type="expression" dxfId="3079" priority="42">
      <formula>H98=$B$108</formula>
    </cfRule>
    <cfRule type="expression" dxfId="3078" priority="43" stopIfTrue="1">
      <formula>H98=$B$109</formula>
    </cfRule>
    <cfRule type="expression" dxfId="3077" priority="44" stopIfTrue="1">
      <formula>H$5=TODAY()</formula>
    </cfRule>
  </conditionalFormatting>
  <conditionalFormatting sqref="H98:I98">
    <cfRule type="expression" dxfId="3076" priority="1">
      <formula>H98=$B$135</formula>
    </cfRule>
    <cfRule type="expression" dxfId="3075" priority="2">
      <formula>H98=$B$136</formula>
    </cfRule>
    <cfRule type="expression" dxfId="3074" priority="3">
      <formula>H98=$B$134</formula>
    </cfRule>
  </conditionalFormatting>
  <dataValidations count="1">
    <dataValidation type="list" allowBlank="1" showInputMessage="1" showErrorMessage="1" sqref="C72:I72 C28:I28 C16:I16 C82:I82 C46:I46 C100:I100 C40:I40 C52:I52 C92:I92 C24:I24 C54:I54 C50:I50 C88:I88 C48:I48 C70:I70 C90:I90 C14:I14 C8:I8 C10:I10 C58:I58 C56:I56 C12:I12 C6:I6 C32:I32 C42:I42 C18:I18 C104:I104 C84:I84 C62:I62 C74:I74 C38:I38 C78:I78 C22:I22 C68:I68 C20:I20 C26:I26 C36:I36 C34:I34 C30:I30 C96:I96 C86:I86 C66:I66 C76:I76 C80:I80 C44:I44 C60:I60 C94:I94 C102:I102 C64:I64 C98:I98" xr:uid="{00000000-0002-0000-06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6"/>
  <dimension ref="A1:L149"/>
  <sheetViews>
    <sheetView zoomScale="140" zoomScaleNormal="140" zoomScalePageLayoutView="125" workbookViewId="0">
      <pane ySplit="5" topLeftCell="A61" activePane="bottomLeft" state="frozen"/>
      <selection pane="bottomLeft" activeCell="E70" sqref="E70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COUNTIF(C6:C107,$B$127)+COUNTIF(C6:C107,$B$128)+COUNTIF(C6:C107,$B$129)+COUNTIF(C6:C107,$B$130)</f>
        <v>7</v>
      </c>
      <c r="D1" s="22">
        <f t="shared" si="0"/>
        <v>7</v>
      </c>
      <c r="E1" s="22">
        <f t="shared" si="0"/>
        <v>7</v>
      </c>
      <c r="F1" s="22">
        <f t="shared" si="0"/>
        <v>7</v>
      </c>
      <c r="G1" s="22">
        <f t="shared" si="0"/>
        <v>7</v>
      </c>
      <c r="H1" s="22">
        <f t="shared" si="0"/>
        <v>0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43150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164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43150</v>
      </c>
      <c r="D5" s="33">
        <f t="shared" ref="D5:I5" si="1">C5+1</f>
        <v>43151</v>
      </c>
      <c r="E5" s="33">
        <f t="shared" si="1"/>
        <v>43152</v>
      </c>
      <c r="F5" s="33">
        <f t="shared" si="1"/>
        <v>43153</v>
      </c>
      <c r="G5" s="33">
        <f t="shared" si="1"/>
        <v>43154</v>
      </c>
      <c r="H5" s="33">
        <f t="shared" si="1"/>
        <v>43155</v>
      </c>
      <c r="I5" s="33">
        <f t="shared" si="1"/>
        <v>43156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7-(COUNTIF(C6:I6,"")+COUNTIF(C6:I6,$B$144))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IF(ISBLANK(C6),"",VLOOKUP(C6,$B$110:$L$146,11,0))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7-(COUNTIF(C8:I8,"")+COUNTIF(C8:I8,$B$144))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IF(ISBLANK(C8),"",VLOOKUP(C8,$B$110:$L$146,11,0))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7-(COUNTIF(C10:I10,"")+COUNTIF(C10:I10,$B$144))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IF(ISBLANK(C10),"",VLOOKUP(C10,$B$110:$L$146,11,0))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7-(COUNTIF(C12:I12,"")+COUNTIF(C12:I12,$B$144))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IF(ISBLANK(C12),"",VLOOKUP(C12,$B$110:$L$146,11,0))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7-(COUNTIF(C14:I14,"")+COUNTIF(C14:I14,$B$144))</f>
        <v>5</v>
      </c>
      <c r="B14" s="178" t="s">
        <v>5</v>
      </c>
      <c r="C14" s="36" t="s">
        <v>40</v>
      </c>
      <c r="D14" s="36" t="s">
        <v>40</v>
      </c>
      <c r="E14" s="36" t="s">
        <v>40</v>
      </c>
      <c r="F14" s="36" t="s">
        <v>40</v>
      </c>
      <c r="G14" s="36" t="s">
        <v>40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>
        <f t="shared" ref="C15:I15" si="6">IF(ISBLANK(C14),"",VLOOKUP(C14,$B$110:$L$146,11,0))</f>
        <v>0</v>
      </c>
      <c r="D15" s="37">
        <f t="shared" si="6"/>
        <v>0</v>
      </c>
      <c r="E15" s="37">
        <f t="shared" si="6"/>
        <v>0</v>
      </c>
      <c r="F15" s="37">
        <f t="shared" si="6"/>
        <v>0</v>
      </c>
      <c r="G15" s="37">
        <f t="shared" si="6"/>
        <v>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7-(COUNTIF(C16:I16,"")+COUNTIF(C16:I16,$B$144))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IF(ISBLANK(C16),"",VLOOKUP(C16,$B$110:$L$146,11,0))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7-(COUNTIF(C18:I18,"")+COUNTIF(C18:I18,$B$144))</f>
        <v>5</v>
      </c>
      <c r="B18" s="186" t="s">
        <v>7</v>
      </c>
      <c r="C18" s="38" t="s">
        <v>89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IF(ISBLANK(C18),"",VLOOKUP(C18,$B$110:$L$146,11,0))</f>
        <v>18H00-22H00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7-(COUNTIF(C20:I20,"")+COUNTIF(C20:I20,$B$144))</f>
        <v>4</v>
      </c>
      <c r="B20" s="178" t="s">
        <v>111</v>
      </c>
      <c r="C20" s="36" t="s">
        <v>79</v>
      </c>
      <c r="D20" s="36"/>
      <c r="E20" s="36"/>
      <c r="F20" s="36" t="s">
        <v>152</v>
      </c>
      <c r="G20" s="36"/>
      <c r="H20" s="36" t="s">
        <v>84</v>
      </c>
      <c r="I20" s="36" t="s">
        <v>149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IF(ISBLANK(C20),"",VLOOKUP(C20,$B$110:$L$146,11,0))</f>
        <v>09H00-17H30</v>
      </c>
      <c r="D21" s="37" t="str">
        <f t="shared" si="9"/>
        <v/>
      </c>
      <c r="E21" s="37" t="str">
        <f t="shared" si="9"/>
        <v/>
      </c>
      <c r="F21" s="37" t="str">
        <f t="shared" si="9"/>
        <v>08H30-17H00</v>
      </c>
      <c r="G21" s="37" t="str">
        <f t="shared" si="9"/>
        <v/>
      </c>
      <c r="H21" s="37" t="str">
        <f t="shared" si="9"/>
        <v>13H30-22H00</v>
      </c>
      <c r="I21" s="37" t="str">
        <f t="shared" si="9"/>
        <v>09H00-17H30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7-(COUNTIF(C22:I22,"")+COUNTIF(C22:I22,$B$144))</f>
        <v>5</v>
      </c>
      <c r="B22" s="193" t="s">
        <v>3</v>
      </c>
      <c r="C22" s="36" t="s">
        <v>84</v>
      </c>
      <c r="D22" s="36" t="s">
        <v>92</v>
      </c>
      <c r="E22" s="36"/>
      <c r="F22" s="36" t="s">
        <v>137</v>
      </c>
      <c r="G22" s="36"/>
      <c r="H22" s="36" t="s">
        <v>82</v>
      </c>
      <c r="I22" s="36" t="s">
        <v>123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IF(ISBLANK(C22),"",VLOOKUP(C22,$B$110:$L$146,11,0))</f>
        <v>13H30-22H00</v>
      </c>
      <c r="D23" s="37" t="str">
        <f t="shared" si="10"/>
        <v>10H00-18H30</v>
      </c>
      <c r="E23" s="37" t="str">
        <f t="shared" si="10"/>
        <v/>
      </c>
      <c r="F23" s="37" t="str">
        <f t="shared" si="10"/>
        <v>06H00-14H30</v>
      </c>
      <c r="G23" s="37" t="str">
        <f t="shared" si="10"/>
        <v/>
      </c>
      <c r="H23" s="37" t="str">
        <f t="shared" si="10"/>
        <v>06H00-14H30</v>
      </c>
      <c r="I23" s="37" t="str">
        <f t="shared" si="10"/>
        <v>14H30-23H00</v>
      </c>
      <c r="J23" s="181"/>
      <c r="K23" s="139"/>
    </row>
    <row r="24" spans="1:12" s="39" customFormat="1" ht="13" customHeight="1" thickTop="1" x14ac:dyDescent="0.2">
      <c r="A24" s="21">
        <f>7-(COUNTIF(C24:I24,"")+COUNTIF(C24:I24,$B$144))</f>
        <v>4</v>
      </c>
      <c r="B24" s="195" t="s">
        <v>8</v>
      </c>
      <c r="C24" s="36" t="s">
        <v>90</v>
      </c>
      <c r="D24" s="36" t="s">
        <v>82</v>
      </c>
      <c r="E24" s="36"/>
      <c r="F24" s="36" t="s">
        <v>123</v>
      </c>
      <c r="G24" s="36" t="s">
        <v>149</v>
      </c>
      <c r="H24" s="36" t="s">
        <v>95</v>
      </c>
      <c r="I24" s="36" t="s">
        <v>95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 t="str">
        <f t="shared" ref="C25:I25" si="11">IF(ISBLANK(C24),"",VLOOKUP(C24,$B$110:$L$146,11,0))</f>
        <v>06H00-14H30</v>
      </c>
      <c r="D25" s="37" t="str">
        <f t="shared" si="11"/>
        <v>06H00-14H30</v>
      </c>
      <c r="E25" s="37" t="str">
        <f t="shared" si="11"/>
        <v/>
      </c>
      <c r="F25" s="37" t="str">
        <f t="shared" si="11"/>
        <v>14H30-23H00</v>
      </c>
      <c r="G25" s="37" t="str">
        <f t="shared" si="11"/>
        <v>09H00-17H30</v>
      </c>
      <c r="H25" s="37">
        <f t="shared" si="11"/>
        <v>0</v>
      </c>
      <c r="I25" s="37">
        <f t="shared" si="11"/>
        <v>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7-(COUNTIF(C26:I26,"")+COUNTIF(C26:I26,$B$144))</f>
        <v>5</v>
      </c>
      <c r="B26" s="178" t="s">
        <v>9</v>
      </c>
      <c r="C26" s="36"/>
      <c r="D26" s="36" t="s">
        <v>82</v>
      </c>
      <c r="E26" s="36" t="s">
        <v>137</v>
      </c>
      <c r="F26" s="36" t="s">
        <v>139</v>
      </c>
      <c r="G26" s="36"/>
      <c r="H26" s="36" t="s">
        <v>83</v>
      </c>
      <c r="I26" s="36" t="s">
        <v>79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IF(ISBLANK(C26),"",VLOOKUP(C26,$B$110:$L$146,11,0))</f>
        <v/>
      </c>
      <c r="D27" s="37" t="str">
        <f t="shared" si="12"/>
        <v>06H00-14H30</v>
      </c>
      <c r="E27" s="37" t="str">
        <f t="shared" si="12"/>
        <v>06H00-14H30</v>
      </c>
      <c r="F27" s="37" t="str">
        <f t="shared" si="12"/>
        <v>14H00-22H30</v>
      </c>
      <c r="G27" s="37" t="str">
        <f t="shared" si="12"/>
        <v/>
      </c>
      <c r="H27" s="37" t="str">
        <f t="shared" si="12"/>
        <v>09H00-17H30</v>
      </c>
      <c r="I27" s="37" t="str">
        <f t="shared" si="12"/>
        <v>09H00-17H30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7-(COUNTIF(C28:I28,"")+COUNTIF(C28:I28,$B$144))</f>
        <v>5</v>
      </c>
      <c r="B28" s="178" t="s">
        <v>10</v>
      </c>
      <c r="C28" s="36" t="s">
        <v>84</v>
      </c>
      <c r="D28" s="36"/>
      <c r="E28" s="36" t="s">
        <v>31</v>
      </c>
      <c r="F28" s="36" t="s">
        <v>82</v>
      </c>
      <c r="G28" s="36" t="s">
        <v>85</v>
      </c>
      <c r="H28" s="36"/>
      <c r="I28" s="36" t="s">
        <v>80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IF(ISBLANK(C28),"",VLOOKUP(C28,$B$110:$L$146,11,0))</f>
        <v>13H30-22H00</v>
      </c>
      <c r="D29" s="37" t="str">
        <f t="shared" si="13"/>
        <v/>
      </c>
      <c r="E29" s="37" t="str">
        <f t="shared" si="13"/>
        <v>06H00-14H30</v>
      </c>
      <c r="F29" s="37" t="str">
        <f t="shared" si="13"/>
        <v>06H00-14H30</v>
      </c>
      <c r="G29" s="37" t="str">
        <f t="shared" si="13"/>
        <v>14H30-23H00</v>
      </c>
      <c r="H29" s="37" t="str">
        <f t="shared" si="13"/>
        <v/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7-(COUNTIF(C30:I30,"")+COUNTIF(C30:I30,$B$144))</f>
        <v>5</v>
      </c>
      <c r="B30" s="178" t="s">
        <v>11</v>
      </c>
      <c r="C30" s="36" t="s">
        <v>149</v>
      </c>
      <c r="D30" s="36"/>
      <c r="E30" s="36" t="s">
        <v>92</v>
      </c>
      <c r="F30" s="36" t="s">
        <v>84</v>
      </c>
      <c r="G30" s="36"/>
      <c r="H30" s="36" t="s">
        <v>79</v>
      </c>
      <c r="I30" s="36" t="s">
        <v>81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IF(ISBLANK(C30),"",VLOOKUP(C30,$B$110:$L$146,11,0))</f>
        <v>09H00-17H30</v>
      </c>
      <c r="D31" s="37" t="str">
        <f t="shared" si="14"/>
        <v/>
      </c>
      <c r="E31" s="37" t="str">
        <f t="shared" si="14"/>
        <v>10H00-18H30</v>
      </c>
      <c r="F31" s="37" t="str">
        <f t="shared" si="14"/>
        <v>13H30-22H00</v>
      </c>
      <c r="G31" s="37" t="str">
        <f t="shared" si="14"/>
        <v/>
      </c>
      <c r="H31" s="37" t="str">
        <f t="shared" si="14"/>
        <v>09H00-17H30</v>
      </c>
      <c r="I31" s="37" t="str">
        <f t="shared" si="14"/>
        <v>14H30-23H00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7-(COUNTIF(C32:I32,"")+COUNTIF(C32:I32,$B$144))</f>
        <v>5</v>
      </c>
      <c r="B32" s="201" t="s">
        <v>12</v>
      </c>
      <c r="C32" s="36" t="s">
        <v>40</v>
      </c>
      <c r="D32" s="36" t="s">
        <v>40</v>
      </c>
      <c r="E32" s="36" t="s">
        <v>40</v>
      </c>
      <c r="F32" s="36" t="s">
        <v>40</v>
      </c>
      <c r="G32" s="36" t="s">
        <v>40</v>
      </c>
      <c r="H32" s="36" t="s">
        <v>95</v>
      </c>
      <c r="I32" s="36" t="s">
        <v>95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>
        <f t="shared" ref="C33:I33" si="15">IF(ISBLANK(C32),"",VLOOKUP(C32,$B$110:$L$146,11,0))</f>
        <v>0</v>
      </c>
      <c r="D33" s="37">
        <f t="shared" si="15"/>
        <v>0</v>
      </c>
      <c r="E33" s="37">
        <f t="shared" si="15"/>
        <v>0</v>
      </c>
      <c r="F33" s="37">
        <f t="shared" si="15"/>
        <v>0</v>
      </c>
      <c r="G33" s="37">
        <f t="shared" si="15"/>
        <v>0</v>
      </c>
      <c r="H33" s="37">
        <f t="shared" si="15"/>
        <v>0</v>
      </c>
      <c r="I33" s="37">
        <f t="shared" si="15"/>
        <v>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7-(COUNTIF(C34:I34,"")+COUNTIF(C34:I34,$B$144))</f>
        <v>3</v>
      </c>
      <c r="B34" s="193" t="s">
        <v>13</v>
      </c>
      <c r="C34" s="36" t="s">
        <v>137</v>
      </c>
      <c r="D34" s="36"/>
      <c r="E34" s="36" t="s">
        <v>152</v>
      </c>
      <c r="F34" s="36"/>
      <c r="G34" s="36" t="s">
        <v>154</v>
      </c>
      <c r="H34" s="36" t="s">
        <v>95</v>
      </c>
      <c r="I34" s="36" t="s">
        <v>95</v>
      </c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4"/>
      <c r="C35" s="37" t="str">
        <f t="shared" ref="C35:I35" si="16">IF(ISBLANK(C34),"",VLOOKUP(C34,$B$110:$L$146,11,0))</f>
        <v>06H00-14H30</v>
      </c>
      <c r="D35" s="37" t="str">
        <f t="shared" si="16"/>
        <v/>
      </c>
      <c r="E35" s="37" t="str">
        <f t="shared" si="16"/>
        <v>08H30-17H00</v>
      </c>
      <c r="F35" s="37" t="str">
        <f t="shared" si="16"/>
        <v/>
      </c>
      <c r="G35" s="37" t="str">
        <f t="shared" si="16"/>
        <v>13H00-21H30</v>
      </c>
      <c r="H35" s="37">
        <f t="shared" si="16"/>
        <v>0</v>
      </c>
      <c r="I35" s="37">
        <f t="shared" si="16"/>
        <v>0</v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7-(COUNTIF(C36:I36,"")+COUNTIF(C36:I36,$B$144))</f>
        <v>5</v>
      </c>
      <c r="B36" s="199" t="s">
        <v>43</v>
      </c>
      <c r="C36" s="36" t="s">
        <v>91</v>
      </c>
      <c r="D36" s="36"/>
      <c r="E36" s="36" t="s">
        <v>139</v>
      </c>
      <c r="F36" s="36"/>
      <c r="G36" s="36" t="s">
        <v>122</v>
      </c>
      <c r="H36" s="36" t="s">
        <v>82</v>
      </c>
      <c r="I36" s="36" t="s">
        <v>82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 t="str">
        <f t="shared" ref="C37:I37" si="17">IF(ISBLANK(C36),"",VLOOKUP(C36,$B$110:$L$146,11,0))</f>
        <v>06H00-14H30</v>
      </c>
      <c r="D37" s="37" t="str">
        <f t="shared" si="17"/>
        <v/>
      </c>
      <c r="E37" s="37" t="str">
        <f t="shared" si="17"/>
        <v>14H00-22H30</v>
      </c>
      <c r="F37" s="37" t="str">
        <f t="shared" si="17"/>
        <v/>
      </c>
      <c r="G37" s="37" t="str">
        <f t="shared" si="17"/>
        <v>06H00-14H30</v>
      </c>
      <c r="H37" s="37" t="str">
        <f t="shared" si="17"/>
        <v>06H00-14H30</v>
      </c>
      <c r="I37" s="37" t="str">
        <f t="shared" si="17"/>
        <v>06H00-14H30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7-(COUNTIF(C38:I38,"")+COUNTIF(C38:I38,$B$144))</f>
        <v>4</v>
      </c>
      <c r="B38" s="178" t="s">
        <v>14</v>
      </c>
      <c r="C38" s="36"/>
      <c r="D38" s="35"/>
      <c r="E38" s="36" t="s">
        <v>91</v>
      </c>
      <c r="F38" s="36" t="s">
        <v>80</v>
      </c>
      <c r="G38" s="36" t="s">
        <v>82</v>
      </c>
      <c r="H38" s="36" t="s">
        <v>123</v>
      </c>
      <c r="I38" s="36"/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IF(ISBLANK(C38),"",VLOOKUP(C38,$B$110:$L$146,11,0))</f>
        <v/>
      </c>
      <c r="D39" s="37" t="str">
        <f t="shared" si="18"/>
        <v/>
      </c>
      <c r="E39" s="37" t="str">
        <f t="shared" si="18"/>
        <v>06H00-14H30</v>
      </c>
      <c r="F39" s="37" t="str">
        <f t="shared" si="18"/>
        <v>06H00-14H30</v>
      </c>
      <c r="G39" s="37" t="str">
        <f t="shared" si="18"/>
        <v>06H00-14H30</v>
      </c>
      <c r="H39" s="37" t="str">
        <f t="shared" si="18"/>
        <v>14H30-23H00</v>
      </c>
      <c r="I39" s="37" t="str">
        <f t="shared" si="18"/>
        <v/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7-(COUNTIF(C40:I40,"")+COUNTIF(C40:I40,$B$144))</f>
        <v>5</v>
      </c>
      <c r="B40" s="201" t="s">
        <v>15</v>
      </c>
      <c r="C40" s="36" t="s">
        <v>152</v>
      </c>
      <c r="D40" s="36"/>
      <c r="E40" s="36" t="s">
        <v>153</v>
      </c>
      <c r="F40" s="36"/>
      <c r="G40" s="36" t="s">
        <v>79</v>
      </c>
      <c r="H40" s="36" t="s">
        <v>110</v>
      </c>
      <c r="I40" s="36" t="s">
        <v>153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IF(ISBLANK(C40),"",VLOOKUP(C40,$B$110:$L$146,11,0))</f>
        <v>08H30-17H00</v>
      </c>
      <c r="D41" s="37" t="str">
        <f t="shared" si="19"/>
        <v/>
      </c>
      <c r="E41" s="37" t="str">
        <f t="shared" si="19"/>
        <v>22H00-06H30</v>
      </c>
      <c r="F41" s="37" t="str">
        <f t="shared" si="19"/>
        <v/>
      </c>
      <c r="G41" s="37" t="str">
        <f t="shared" si="19"/>
        <v>09H00-17H30</v>
      </c>
      <c r="H41" s="37" t="str">
        <f t="shared" si="19"/>
        <v>21H45-06H15</v>
      </c>
      <c r="I41" s="37" t="str">
        <f t="shared" si="19"/>
        <v>22H00-06H30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7-(COUNTIF(C42:I42,"")+COUNTIF(C42:I42,$B$144))</f>
        <v>5</v>
      </c>
      <c r="B42" s="186" t="s">
        <v>119</v>
      </c>
      <c r="C42" s="38" t="s">
        <v>84</v>
      </c>
      <c r="D42" s="36"/>
      <c r="E42" s="36" t="s">
        <v>93</v>
      </c>
      <c r="F42" s="38" t="s">
        <v>85</v>
      </c>
      <c r="G42" s="36" t="s">
        <v>92</v>
      </c>
      <c r="H42" s="36"/>
      <c r="I42" s="36" t="s">
        <v>91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IF(ISBLANK(C42),"",VLOOKUP(C42,$B$110:$L$146,11,0))</f>
        <v>13H30-22H00</v>
      </c>
      <c r="D43" s="43" t="str">
        <f t="shared" si="20"/>
        <v/>
      </c>
      <c r="E43" s="43" t="str">
        <f t="shared" si="20"/>
        <v>06H00-14H30</v>
      </c>
      <c r="F43" s="43" t="str">
        <f t="shared" si="20"/>
        <v>14H30-23H00</v>
      </c>
      <c r="G43" s="43" t="str">
        <f t="shared" si="20"/>
        <v>10H00-18H30</v>
      </c>
      <c r="H43" s="43" t="str">
        <f t="shared" si="20"/>
        <v/>
      </c>
      <c r="I43" s="43" t="str">
        <f t="shared" si="20"/>
        <v>06H00-14H30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7-(COUNTIF(C44:I44,"")+COUNTIF(C44:I44,$B$144))</f>
        <v>5</v>
      </c>
      <c r="B44" s="178" t="s">
        <v>16</v>
      </c>
      <c r="C44" s="36" t="s">
        <v>82</v>
      </c>
      <c r="D44" s="36" t="s">
        <v>123</v>
      </c>
      <c r="E44" s="36"/>
      <c r="F44" s="36" t="s">
        <v>31</v>
      </c>
      <c r="G44" s="36" t="s">
        <v>93</v>
      </c>
      <c r="H44" s="36"/>
      <c r="I44" s="36" t="s">
        <v>150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IF(ISBLANK(C44),"",VLOOKUP(C44,$B$110:$L$146,11,0))</f>
        <v>06H00-14H30</v>
      </c>
      <c r="D45" s="37" t="str">
        <f t="shared" si="21"/>
        <v>14H30-23H00</v>
      </c>
      <c r="E45" s="37" t="str">
        <f t="shared" si="21"/>
        <v/>
      </c>
      <c r="F45" s="37" t="str">
        <f t="shared" si="21"/>
        <v>06H00-14H30</v>
      </c>
      <c r="G45" s="37" t="str">
        <f t="shared" si="21"/>
        <v>06H00-14H30</v>
      </c>
      <c r="H45" s="37" t="str">
        <f t="shared" si="21"/>
        <v/>
      </c>
      <c r="I45" s="37" t="str">
        <f t="shared" si="21"/>
        <v>09H00-17H30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7-(COUNTIF(C46:I46,"")+COUNTIF(C46:I46,$B$144))</f>
        <v>5</v>
      </c>
      <c r="B46" s="178" t="s">
        <v>102</v>
      </c>
      <c r="C46" s="36"/>
      <c r="D46" s="36" t="s">
        <v>152</v>
      </c>
      <c r="E46" s="36" t="s">
        <v>122</v>
      </c>
      <c r="F46" s="36" t="s">
        <v>154</v>
      </c>
      <c r="G46" s="36" t="s">
        <v>95</v>
      </c>
      <c r="H46" s="36" t="s">
        <v>40</v>
      </c>
      <c r="I46" s="36" t="s">
        <v>40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 t="str">
        <f t="shared" ref="C47:I47" si="22">IF(ISBLANK(C46),"",VLOOKUP(C46,$B$110:$L$146,11,0))</f>
        <v/>
      </c>
      <c r="D47" s="37" t="str">
        <f t="shared" si="22"/>
        <v>08H30-17H00</v>
      </c>
      <c r="E47" s="37" t="str">
        <f t="shared" si="22"/>
        <v>06H00-14H30</v>
      </c>
      <c r="F47" s="37" t="str">
        <f t="shared" si="22"/>
        <v>13H00-21H30</v>
      </c>
      <c r="G47" s="37">
        <f t="shared" si="22"/>
        <v>0</v>
      </c>
      <c r="H47" s="37">
        <f t="shared" si="22"/>
        <v>0</v>
      </c>
      <c r="I47" s="37">
        <f t="shared" si="22"/>
        <v>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7-(COUNTIF(C48:I48,"")+COUNTIF(C48:I48,$B$144))</f>
        <v>5</v>
      </c>
      <c r="B48" s="178" t="s">
        <v>132</v>
      </c>
      <c r="C48" s="36" t="s">
        <v>82</v>
      </c>
      <c r="D48" s="36" t="s">
        <v>150</v>
      </c>
      <c r="E48" s="36" t="s">
        <v>84</v>
      </c>
      <c r="F48" s="36" t="s">
        <v>149</v>
      </c>
      <c r="G48" s="36" t="s">
        <v>139</v>
      </c>
      <c r="H48" s="36" t="s">
        <v>95</v>
      </c>
      <c r="I48" s="36" t="s">
        <v>95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IF(ISBLANK(C48),"",VLOOKUP(C48,$B$110:$L$146,11,0))</f>
        <v>06H00-14H30</v>
      </c>
      <c r="D49" s="37" t="str">
        <f t="shared" si="23"/>
        <v>09H00-17H30</v>
      </c>
      <c r="E49" s="37" t="str">
        <f t="shared" si="23"/>
        <v>13H30-22H00</v>
      </c>
      <c r="F49" s="37" t="str">
        <f t="shared" si="23"/>
        <v>09H00-17H30</v>
      </c>
      <c r="G49" s="37" t="str">
        <f t="shared" si="23"/>
        <v>14H00-22H30</v>
      </c>
      <c r="H49" s="37">
        <f t="shared" si="23"/>
        <v>0</v>
      </c>
      <c r="I49" s="37">
        <f t="shared" si="23"/>
        <v>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7-(COUNTIF(C50:I50,"")+COUNTIF(C50:I50,$B$144))</f>
        <v>5</v>
      </c>
      <c r="B50" s="201" t="s">
        <v>17</v>
      </c>
      <c r="C50" s="36" t="s">
        <v>95</v>
      </c>
      <c r="D50" s="36" t="s">
        <v>137</v>
      </c>
      <c r="E50" s="36" t="s">
        <v>80</v>
      </c>
      <c r="F50" s="36"/>
      <c r="G50" s="36" t="s">
        <v>84</v>
      </c>
      <c r="H50" s="36" t="s">
        <v>149</v>
      </c>
      <c r="I50" s="36" t="s">
        <v>139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>
        <f t="shared" ref="C51:I51" si="24">IF(ISBLANK(C50),"",VLOOKUP(C50,$B$110:$L$146,11,0))</f>
        <v>0</v>
      </c>
      <c r="D51" s="37" t="str">
        <f t="shared" si="24"/>
        <v>06H00-14H30</v>
      </c>
      <c r="E51" s="37" t="str">
        <f t="shared" si="24"/>
        <v>06H00-14H30</v>
      </c>
      <c r="F51" s="37" t="str">
        <f t="shared" si="24"/>
        <v/>
      </c>
      <c r="G51" s="37" t="str">
        <f t="shared" si="24"/>
        <v>13H30-22H00</v>
      </c>
      <c r="H51" s="37" t="str">
        <f t="shared" si="24"/>
        <v>09H00-17H30</v>
      </c>
      <c r="I51" s="37" t="str">
        <f t="shared" si="24"/>
        <v>14H00-22H30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7-(COUNTIF(C52:I52,"")+COUNTIF(C52:I52,$B$144))</f>
        <v>5</v>
      </c>
      <c r="B52" s="178" t="s">
        <v>127</v>
      </c>
      <c r="C52" s="36" t="s">
        <v>99</v>
      </c>
      <c r="D52" s="36" t="s">
        <v>95</v>
      </c>
      <c r="E52" s="36" t="s">
        <v>95</v>
      </c>
      <c r="F52" s="36" t="s">
        <v>91</v>
      </c>
      <c r="G52" s="36" t="s">
        <v>31</v>
      </c>
      <c r="H52" s="36" t="s">
        <v>150</v>
      </c>
      <c r="I52" s="36" t="s">
        <v>85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>
        <f t="shared" ref="C53:I53" si="25">IF(ISBLANK(C52),"",VLOOKUP(C52,$B$110:$L$146,11,0))</f>
        <v>0</v>
      </c>
      <c r="D53" s="37">
        <f t="shared" si="25"/>
        <v>0</v>
      </c>
      <c r="E53" s="37">
        <f t="shared" si="25"/>
        <v>0</v>
      </c>
      <c r="F53" s="37" t="str">
        <f t="shared" si="25"/>
        <v>06H00-14H30</v>
      </c>
      <c r="G53" s="37" t="str">
        <f t="shared" si="25"/>
        <v>06H00-14H30</v>
      </c>
      <c r="H53" s="37" t="str">
        <f t="shared" si="25"/>
        <v>09H00-17H30</v>
      </c>
      <c r="I53" s="37" t="str">
        <f t="shared" si="25"/>
        <v>14H30-23H00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7-(COUNTIF(C54:I54,"")+COUNTIF(C54:I54,$B$144))</f>
        <v>4</v>
      </c>
      <c r="B54" s="201" t="s">
        <v>18</v>
      </c>
      <c r="C54" s="36"/>
      <c r="D54" s="36" t="s">
        <v>110</v>
      </c>
      <c r="E54" s="36"/>
      <c r="F54" s="36" t="s">
        <v>153</v>
      </c>
      <c r="G54" s="36"/>
      <c r="H54" s="36" t="s">
        <v>139</v>
      </c>
      <c r="I54" s="36" t="s">
        <v>84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 t="str">
        <f t="shared" ref="C55:I55" si="26">IF(ISBLANK(C54),"",VLOOKUP(C54,$B$110:$L$146,11,0))</f>
        <v/>
      </c>
      <c r="D55" s="37" t="str">
        <f t="shared" si="26"/>
        <v>21H45-06H15</v>
      </c>
      <c r="E55" s="37" t="str">
        <f t="shared" si="26"/>
        <v/>
      </c>
      <c r="F55" s="37" t="str">
        <f t="shared" si="26"/>
        <v>22H00-06H30</v>
      </c>
      <c r="G55" s="37" t="str">
        <f t="shared" si="26"/>
        <v/>
      </c>
      <c r="H55" s="37" t="str">
        <f t="shared" si="26"/>
        <v>14H00-22H30</v>
      </c>
      <c r="I55" s="37" t="str">
        <f t="shared" si="26"/>
        <v>13H30-22H00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7-(COUNTIF(C56:I56,"")+COUNTIF(C56:I56,$B$144))</f>
        <v>5</v>
      </c>
      <c r="B56" s="178" t="s">
        <v>19</v>
      </c>
      <c r="C56" s="36" t="s">
        <v>150</v>
      </c>
      <c r="D56" s="36" t="s">
        <v>31</v>
      </c>
      <c r="E56" s="36"/>
      <c r="F56" s="36"/>
      <c r="G56" s="36" t="s">
        <v>84</v>
      </c>
      <c r="H56" s="36" t="s">
        <v>81</v>
      </c>
      <c r="I56" s="36" t="s">
        <v>92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IF(ISBLANK(C56),"",VLOOKUP(C56,$B$110:$L$146,11,0))</f>
        <v>09H00-17H30</v>
      </c>
      <c r="D57" s="37" t="str">
        <f t="shared" si="27"/>
        <v>06H00-14H30</v>
      </c>
      <c r="E57" s="37" t="str">
        <f t="shared" si="27"/>
        <v/>
      </c>
      <c r="F57" s="37" t="str">
        <f t="shared" si="27"/>
        <v/>
      </c>
      <c r="G57" s="37" t="str">
        <f t="shared" si="27"/>
        <v>13H30-22H00</v>
      </c>
      <c r="H57" s="37" t="str">
        <f t="shared" si="27"/>
        <v>14H30-23H00</v>
      </c>
      <c r="I57" s="37" t="str">
        <f t="shared" si="27"/>
        <v>10H00-18H30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7-(COUNTIF(C58:I58,"")+COUNTIF(C58:I58,$B$144))</f>
        <v>5</v>
      </c>
      <c r="B58" s="178" t="s">
        <v>20</v>
      </c>
      <c r="C58" s="36"/>
      <c r="D58" s="36" t="s">
        <v>90</v>
      </c>
      <c r="E58" s="36" t="s">
        <v>85</v>
      </c>
      <c r="F58" s="36" t="s">
        <v>150</v>
      </c>
      <c r="G58" s="36"/>
      <c r="H58" s="36" t="s">
        <v>93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IF(ISBLANK(C58),"",VLOOKUP(C58,$B$110:$L$146,11,0))</f>
        <v/>
      </c>
      <c r="D59" s="38" t="str">
        <f t="shared" si="28"/>
        <v>06H00-14H30</v>
      </c>
      <c r="E59" s="38" t="str">
        <f t="shared" si="28"/>
        <v>14H30-23H00</v>
      </c>
      <c r="F59" s="38" t="str">
        <f t="shared" si="28"/>
        <v>09H00-17H30</v>
      </c>
      <c r="G59" s="38" t="str">
        <f t="shared" si="28"/>
        <v/>
      </c>
      <c r="H59" s="38" t="str">
        <f t="shared" si="28"/>
        <v>06H00-14H30</v>
      </c>
      <c r="I59" s="38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7-(COUNTIF(C60:I60,"")+COUNTIF(C60:I60,$B$144))</f>
        <v>5</v>
      </c>
      <c r="B60" s="193" t="s">
        <v>133</v>
      </c>
      <c r="C60" s="36" t="s">
        <v>95</v>
      </c>
      <c r="D60" s="36" t="s">
        <v>93</v>
      </c>
      <c r="E60" s="36" t="s">
        <v>82</v>
      </c>
      <c r="F60" s="36" t="s">
        <v>81</v>
      </c>
      <c r="G60" s="36" t="s">
        <v>150</v>
      </c>
      <c r="H60" s="36"/>
      <c r="I60" s="36" t="s">
        <v>82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>
        <f t="shared" ref="C61:I61" si="29">IF(ISBLANK(C60),"",VLOOKUP(C60,$B$110:$L$146,11,0))</f>
        <v>0</v>
      </c>
      <c r="D61" s="37" t="str">
        <f t="shared" si="29"/>
        <v>06H00-14H30</v>
      </c>
      <c r="E61" s="37" t="str">
        <f t="shared" si="29"/>
        <v>06H00-14H30</v>
      </c>
      <c r="F61" s="37" t="str">
        <f t="shared" si="29"/>
        <v>14H30-23H00</v>
      </c>
      <c r="G61" s="37" t="str">
        <f t="shared" si="29"/>
        <v>09H00-17H30</v>
      </c>
      <c r="H61" s="37" t="str">
        <f t="shared" si="29"/>
        <v/>
      </c>
      <c r="I61" s="37" t="str">
        <f t="shared" si="29"/>
        <v>06H00-14H30</v>
      </c>
      <c r="J61" s="181"/>
      <c r="K61" s="139"/>
    </row>
    <row r="62" spans="1:12" s="39" customFormat="1" ht="13" customHeight="1" thickTop="1" x14ac:dyDescent="0.2">
      <c r="A62" s="21">
        <f>7-(COUNTIF(C62:I62,"")+COUNTIF(C62:I62,$B$144))</f>
        <v>5</v>
      </c>
      <c r="B62" s="178" t="s">
        <v>21</v>
      </c>
      <c r="C62" s="36" t="s">
        <v>122</v>
      </c>
      <c r="D62" s="36" t="s">
        <v>153</v>
      </c>
      <c r="E62" s="36" t="s">
        <v>110</v>
      </c>
      <c r="F62" s="36"/>
      <c r="G62" s="36"/>
      <c r="H62" s="36" t="s">
        <v>91</v>
      </c>
      <c r="I62" s="36" t="s">
        <v>110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IF(ISBLANK(C62),"",VLOOKUP(C62,$B$110:$L$146,11,0))</f>
        <v>06H00-14H30</v>
      </c>
      <c r="D63" s="37" t="str">
        <f t="shared" si="30"/>
        <v>22H00-06H30</v>
      </c>
      <c r="E63" s="37" t="str">
        <f t="shared" si="30"/>
        <v>21H45-06H15</v>
      </c>
      <c r="F63" s="37" t="str">
        <f t="shared" si="30"/>
        <v/>
      </c>
      <c r="G63" s="37" t="str">
        <f t="shared" si="30"/>
        <v/>
      </c>
      <c r="H63" s="37" t="str">
        <f t="shared" si="30"/>
        <v>06H00-14H30</v>
      </c>
      <c r="I63" s="37" t="str">
        <f t="shared" si="30"/>
        <v>21H45-06H15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7-(COUNTIF(C64:I64,"")+COUNTIF(C64:I64,$B$144))</f>
        <v>5</v>
      </c>
      <c r="B64" s="193" t="s">
        <v>131</v>
      </c>
      <c r="C64" s="38" t="s">
        <v>110</v>
      </c>
      <c r="D64" s="36"/>
      <c r="E64" s="36" t="s">
        <v>150</v>
      </c>
      <c r="F64" s="36" t="s">
        <v>93</v>
      </c>
      <c r="G64" s="36" t="s">
        <v>110</v>
      </c>
      <c r="H64" s="36" t="s">
        <v>153</v>
      </c>
      <c r="I64" s="36" t="s">
        <v>95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IF(ISBLANK(C64),"",VLOOKUP(C64,$B$110:$L$146,11,0))</f>
        <v>21H45-06H15</v>
      </c>
      <c r="D65" s="37" t="str">
        <f t="shared" si="31"/>
        <v/>
      </c>
      <c r="E65" s="37" t="str">
        <f t="shared" si="31"/>
        <v>09H00-17H30</v>
      </c>
      <c r="F65" s="37" t="str">
        <f t="shared" si="31"/>
        <v>06H00-14H30</v>
      </c>
      <c r="G65" s="37" t="str">
        <f t="shared" si="31"/>
        <v>21H45-06H15</v>
      </c>
      <c r="H65" s="37" t="str">
        <f t="shared" si="31"/>
        <v>22H00-06H30</v>
      </c>
      <c r="I65" s="37">
        <f t="shared" si="31"/>
        <v>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7-(COUNTIF(C66:I66,"")+COUNTIF(C66:I66,$B$144))</f>
        <v>5</v>
      </c>
      <c r="B66" s="178" t="s">
        <v>124</v>
      </c>
      <c r="C66" s="36" t="s">
        <v>80</v>
      </c>
      <c r="D66" s="36" t="s">
        <v>85</v>
      </c>
      <c r="E66" s="36"/>
      <c r="F66" s="36"/>
      <c r="G66" s="36" t="s">
        <v>84</v>
      </c>
      <c r="H66" s="35" t="s">
        <v>92</v>
      </c>
      <c r="I66" s="35" t="s">
        <v>90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IF(ISBLANK(C66),"",VLOOKUP(C66,$B$110:$L$146,11,0))</f>
        <v>06H00-14H30</v>
      </c>
      <c r="D67" s="37" t="str">
        <f t="shared" si="32"/>
        <v>14H30-23H00</v>
      </c>
      <c r="E67" s="37" t="str">
        <f t="shared" si="32"/>
        <v/>
      </c>
      <c r="F67" s="37" t="str">
        <f t="shared" si="32"/>
        <v/>
      </c>
      <c r="G67" s="37" t="str">
        <f t="shared" si="32"/>
        <v>13H30-22H00</v>
      </c>
      <c r="H67" s="37" t="str">
        <f t="shared" si="32"/>
        <v>10H00-18H30</v>
      </c>
      <c r="I67" s="37" t="str">
        <f t="shared" si="32"/>
        <v>06H00-14H30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7-(COUNTIF(C68:I68,"")+COUNTIF(C68:I68,$B$144))</f>
        <v>5</v>
      </c>
      <c r="B68" s="186" t="s">
        <v>146</v>
      </c>
      <c r="C68" s="38" t="s">
        <v>85</v>
      </c>
      <c r="D68" s="36" t="s">
        <v>84</v>
      </c>
      <c r="E68" s="36"/>
      <c r="F68" s="36"/>
      <c r="G68" s="36" t="s">
        <v>90</v>
      </c>
      <c r="H68" s="36" t="s">
        <v>80</v>
      </c>
      <c r="I68" s="36" t="s">
        <v>137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IF(ISBLANK(C68),"",VLOOKUP(C68,$B$110:$L$146,11,0))</f>
        <v>14H30-23H00</v>
      </c>
      <c r="D69" s="37" t="str">
        <f t="shared" si="33"/>
        <v>13H30-22H00</v>
      </c>
      <c r="E69" s="37" t="str">
        <f t="shared" si="33"/>
        <v/>
      </c>
      <c r="F69" s="37" t="str">
        <f t="shared" si="33"/>
        <v/>
      </c>
      <c r="G69" s="37" t="str">
        <f t="shared" si="33"/>
        <v>06H00-14H30</v>
      </c>
      <c r="H69" s="37" t="str">
        <f t="shared" si="33"/>
        <v>06H00-14H30</v>
      </c>
      <c r="I69" s="37" t="str">
        <f t="shared" si="33"/>
        <v>06H00-14H30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7-(COUNTIF(C70:I70,"")+COUNTIF(C70:I70,$B$144))</f>
        <v>5</v>
      </c>
      <c r="B70" s="178" t="s">
        <v>104</v>
      </c>
      <c r="C70" s="38" t="s">
        <v>92</v>
      </c>
      <c r="D70" s="36" t="s">
        <v>81</v>
      </c>
      <c r="E70" s="36"/>
      <c r="F70" s="36" t="s">
        <v>84</v>
      </c>
      <c r="G70" s="36"/>
      <c r="H70" s="36" t="s">
        <v>122</v>
      </c>
      <c r="I70" s="36" t="s">
        <v>93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IF(ISBLANK(C70),"",VLOOKUP(C70,$B$110:$L$146,11,0))</f>
        <v>10H00-18H30</v>
      </c>
      <c r="D71" s="37" t="str">
        <f t="shared" si="34"/>
        <v>14H30-23H00</v>
      </c>
      <c r="E71" s="37" t="str">
        <f t="shared" si="34"/>
        <v/>
      </c>
      <c r="F71" s="37" t="str">
        <f t="shared" si="34"/>
        <v>13H30-22H00</v>
      </c>
      <c r="G71" s="37" t="str">
        <f t="shared" si="34"/>
        <v/>
      </c>
      <c r="H71" s="37" t="str">
        <f t="shared" si="34"/>
        <v>06H00-14H30</v>
      </c>
      <c r="I71" s="37" t="str">
        <f t="shared" si="34"/>
        <v>06H00-14H30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7-(COUNTIF(C72:I72,"")+COUNTIF(C72:I72,$B$144))</f>
        <v>5</v>
      </c>
      <c r="B72" s="178" t="s">
        <v>22</v>
      </c>
      <c r="C72" s="36" t="s">
        <v>99</v>
      </c>
      <c r="D72" s="36" t="s">
        <v>99</v>
      </c>
      <c r="E72" s="36" t="s">
        <v>99</v>
      </c>
      <c r="F72" s="36" t="s">
        <v>99</v>
      </c>
      <c r="G72" s="36" t="s">
        <v>99</v>
      </c>
      <c r="H72" s="36" t="s">
        <v>95</v>
      </c>
      <c r="I72" s="36" t="s">
        <v>95</v>
      </c>
      <c r="J72" s="180" t="s">
        <v>67</v>
      </c>
      <c r="K72" s="139">
        <v>3</v>
      </c>
      <c r="L72" s="40"/>
    </row>
    <row r="73" spans="1:12" s="39" customFormat="1" ht="13" customHeight="1" thickBot="1" x14ac:dyDescent="0.25">
      <c r="B73" s="179"/>
      <c r="C73" s="37">
        <f t="shared" ref="C73:I73" si="35">IF(ISBLANK(C72),"",VLOOKUP(C72,$B$110:$L$146,11,0))</f>
        <v>0</v>
      </c>
      <c r="D73" s="37">
        <f t="shared" si="35"/>
        <v>0</v>
      </c>
      <c r="E73" s="37">
        <f t="shared" si="35"/>
        <v>0</v>
      </c>
      <c r="F73" s="37">
        <f t="shared" si="35"/>
        <v>0</v>
      </c>
      <c r="G73" s="37">
        <f t="shared" si="35"/>
        <v>0</v>
      </c>
      <c r="H73" s="37">
        <f t="shared" si="35"/>
        <v>0</v>
      </c>
      <c r="I73" s="37">
        <f t="shared" si="35"/>
        <v>0</v>
      </c>
      <c r="J73" s="181" t="s">
        <v>68</v>
      </c>
      <c r="K73" s="139"/>
      <c r="L73" s="40"/>
    </row>
    <row r="74" spans="1:12" s="39" customFormat="1" ht="13" customHeight="1" thickTop="1" x14ac:dyDescent="0.2">
      <c r="A74" s="21">
        <f>7-(COUNTIF(C74:I74,"")+COUNTIF(C74:I74,$B$144))</f>
        <v>5</v>
      </c>
      <c r="B74" s="201" t="s">
        <v>23</v>
      </c>
      <c r="C74" s="36"/>
      <c r="D74" s="36" t="s">
        <v>139</v>
      </c>
      <c r="E74" s="36" t="s">
        <v>149</v>
      </c>
      <c r="F74" s="36" t="s">
        <v>122</v>
      </c>
      <c r="G74" s="36"/>
      <c r="H74" s="36" t="s">
        <v>137</v>
      </c>
      <c r="I74" s="36" t="s">
        <v>84</v>
      </c>
      <c r="J74" s="180" t="s">
        <v>68</v>
      </c>
      <c r="K74" s="139">
        <v>5</v>
      </c>
      <c r="L74" s="40"/>
    </row>
    <row r="75" spans="1:12" s="39" customFormat="1" ht="13" customHeight="1" thickBot="1" x14ac:dyDescent="0.25">
      <c r="B75" s="196"/>
      <c r="C75" s="37" t="str">
        <f t="shared" ref="C75:I75" si="36">IF(ISBLANK(C74),"",VLOOKUP(C74,$B$110:$L$146,11,0))</f>
        <v/>
      </c>
      <c r="D75" s="37" t="str">
        <f t="shared" si="36"/>
        <v>14H00-22H30</v>
      </c>
      <c r="E75" s="37" t="str">
        <f t="shared" si="36"/>
        <v>09H00-17H30</v>
      </c>
      <c r="F75" s="37" t="str">
        <f t="shared" si="36"/>
        <v>06H00-14H30</v>
      </c>
      <c r="G75" s="37" t="str">
        <f t="shared" si="36"/>
        <v/>
      </c>
      <c r="H75" s="37" t="str">
        <f t="shared" si="36"/>
        <v>06H00-14H30</v>
      </c>
      <c r="I75" s="37" t="str">
        <f t="shared" si="36"/>
        <v>13H30-22H00</v>
      </c>
      <c r="J75" s="181" t="s">
        <v>69</v>
      </c>
      <c r="K75" s="139"/>
      <c r="L75" s="40"/>
    </row>
    <row r="76" spans="1:12" s="39" customFormat="1" ht="13" customHeight="1" thickTop="1" x14ac:dyDescent="0.2">
      <c r="A76" s="21">
        <f>7-(COUNTIF(C76:I76,"")+COUNTIF(C76:I76,$B$144))</f>
        <v>4</v>
      </c>
      <c r="B76" s="193" t="s">
        <v>120</v>
      </c>
      <c r="C76" s="36"/>
      <c r="D76" s="36" t="s">
        <v>149</v>
      </c>
      <c r="E76" s="36" t="s">
        <v>82</v>
      </c>
      <c r="F76" s="36" t="s">
        <v>90</v>
      </c>
      <c r="G76" s="36" t="s">
        <v>123</v>
      </c>
      <c r="H76" s="36" t="s">
        <v>95</v>
      </c>
      <c r="I76" s="36" t="s">
        <v>95</v>
      </c>
      <c r="J76" s="180" t="s">
        <v>121</v>
      </c>
      <c r="K76" s="139">
        <v>4</v>
      </c>
      <c r="L76" s="40"/>
    </row>
    <row r="77" spans="1:12" s="39" customFormat="1" ht="13" customHeight="1" thickBot="1" x14ac:dyDescent="0.25">
      <c r="B77" s="194"/>
      <c r="C77" s="37" t="str">
        <f t="shared" ref="C77:I77" si="37">IF(ISBLANK(C76),"",VLOOKUP(C76,$B$110:$L$146,11,0))</f>
        <v/>
      </c>
      <c r="D77" s="37" t="str">
        <f t="shared" si="37"/>
        <v>09H00-17H30</v>
      </c>
      <c r="E77" s="37" t="str">
        <f t="shared" si="37"/>
        <v>06H00-14H30</v>
      </c>
      <c r="F77" s="37" t="str">
        <f t="shared" si="37"/>
        <v>06H00-14H30</v>
      </c>
      <c r="G77" s="37" t="str">
        <f t="shared" si="37"/>
        <v>14H30-23H00</v>
      </c>
      <c r="H77" s="37">
        <f t="shared" si="37"/>
        <v>0</v>
      </c>
      <c r="I77" s="37">
        <f t="shared" si="37"/>
        <v>0</v>
      </c>
      <c r="J77" s="181" t="s">
        <v>63</v>
      </c>
      <c r="K77" s="139"/>
      <c r="L77" s="40"/>
    </row>
    <row r="78" spans="1:12" s="39" customFormat="1" ht="13" customHeight="1" thickTop="1" x14ac:dyDescent="0.2">
      <c r="A78" s="21">
        <f>7-(COUNTIF(C78:I78,"")+COUNTIF(C78:I78,$B$144))</f>
        <v>5</v>
      </c>
      <c r="B78" s="178" t="s">
        <v>113</v>
      </c>
      <c r="C78" s="36" t="s">
        <v>139</v>
      </c>
      <c r="D78" s="36"/>
      <c r="E78" s="36" t="s">
        <v>84</v>
      </c>
      <c r="F78" s="36" t="s">
        <v>92</v>
      </c>
      <c r="G78" s="36" t="s">
        <v>82</v>
      </c>
      <c r="H78" s="36"/>
      <c r="I78" s="36" t="s">
        <v>31</v>
      </c>
      <c r="J78" s="180" t="s">
        <v>45</v>
      </c>
      <c r="K78" s="139">
        <v>5</v>
      </c>
      <c r="L78" s="40"/>
    </row>
    <row r="79" spans="1:12" s="39" customFormat="1" ht="13" customHeight="1" thickBot="1" x14ac:dyDescent="0.25">
      <c r="B79" s="202"/>
      <c r="C79" s="37" t="str">
        <f t="shared" ref="C79:I79" si="38">IF(ISBLANK(C78),"",VLOOKUP(C78,$B$110:$L$146,11,0))</f>
        <v>14H00-22H30</v>
      </c>
      <c r="D79" s="37" t="str">
        <f t="shared" si="38"/>
        <v/>
      </c>
      <c r="E79" s="37" t="str">
        <f t="shared" si="38"/>
        <v>13H30-22H00</v>
      </c>
      <c r="F79" s="37" t="str">
        <f t="shared" si="38"/>
        <v>10H00-18H30</v>
      </c>
      <c r="G79" s="37" t="str">
        <f t="shared" si="38"/>
        <v>06H00-14H30</v>
      </c>
      <c r="H79" s="37" t="str">
        <f t="shared" si="38"/>
        <v/>
      </c>
      <c r="I79" s="37" t="str">
        <f t="shared" si="38"/>
        <v>06H00-14H30</v>
      </c>
      <c r="J79" s="181" t="s">
        <v>44</v>
      </c>
      <c r="K79" s="139"/>
      <c r="L79" s="40"/>
    </row>
    <row r="80" spans="1:12" s="39" customFormat="1" ht="13" customHeight="1" thickTop="1" x14ac:dyDescent="0.2">
      <c r="A80" s="21">
        <f>7-(COUNTIF(C80:I80,"")+COUNTIF(C80:I80,$B$144))</f>
        <v>5</v>
      </c>
      <c r="B80" s="207" t="s">
        <v>25</v>
      </c>
      <c r="C80" s="36" t="s">
        <v>31</v>
      </c>
      <c r="D80" s="36"/>
      <c r="E80" s="36" t="s">
        <v>123</v>
      </c>
      <c r="F80" s="36" t="s">
        <v>83</v>
      </c>
      <c r="G80" s="36" t="s">
        <v>137</v>
      </c>
      <c r="H80" s="36" t="s">
        <v>154</v>
      </c>
      <c r="I80" s="36" t="s">
        <v>95</v>
      </c>
      <c r="J80" s="180" t="s">
        <v>70</v>
      </c>
      <c r="K80" s="139">
        <v>5</v>
      </c>
      <c r="L80" s="40"/>
    </row>
    <row r="81" spans="1:12" s="39" customFormat="1" ht="13" customHeight="1" thickBot="1" x14ac:dyDescent="0.25">
      <c r="B81" s="208"/>
      <c r="C81" s="38" t="str">
        <f t="shared" ref="C81:I81" si="39">IF(ISBLANK(C80),"",VLOOKUP(C80,$B$110:$L$146,11,0))</f>
        <v>06H00-14H30</v>
      </c>
      <c r="D81" s="38" t="str">
        <f t="shared" si="39"/>
        <v/>
      </c>
      <c r="E81" s="38" t="str">
        <f t="shared" si="39"/>
        <v>14H30-23H00</v>
      </c>
      <c r="F81" s="38" t="str">
        <f t="shared" si="39"/>
        <v>09H00-17H30</v>
      </c>
      <c r="G81" s="38" t="str">
        <f t="shared" si="39"/>
        <v>06H00-14H30</v>
      </c>
      <c r="H81" s="38" t="str">
        <f t="shared" si="39"/>
        <v>13H00-21H30</v>
      </c>
      <c r="I81" s="38">
        <f t="shared" si="39"/>
        <v>0</v>
      </c>
      <c r="J81" s="188" t="s">
        <v>71</v>
      </c>
      <c r="K81" s="139"/>
      <c r="L81" s="40"/>
    </row>
    <row r="82" spans="1:12" s="39" customFormat="1" ht="13" customHeight="1" thickTop="1" x14ac:dyDescent="0.2">
      <c r="A82" s="21">
        <f>7-(COUNTIF(C82:I82,"")+COUNTIF(C82:I82,$B$144))</f>
        <v>5</v>
      </c>
      <c r="B82" s="178" t="s">
        <v>105</v>
      </c>
      <c r="C82" s="36"/>
      <c r="D82" s="36" t="s">
        <v>80</v>
      </c>
      <c r="E82" s="36" t="s">
        <v>84</v>
      </c>
      <c r="F82" s="36" t="s">
        <v>79</v>
      </c>
      <c r="G82" s="36" t="s">
        <v>152</v>
      </c>
      <c r="H82" s="36" t="s">
        <v>151</v>
      </c>
      <c r="I82" s="36" t="s">
        <v>95</v>
      </c>
      <c r="J82" s="180" t="s">
        <v>71</v>
      </c>
      <c r="K82" s="139">
        <v>5</v>
      </c>
      <c r="L82" s="40"/>
    </row>
    <row r="83" spans="1:12" s="39" customFormat="1" ht="13" customHeight="1" thickBot="1" x14ac:dyDescent="0.25">
      <c r="B83" s="179"/>
      <c r="C83" s="37" t="str">
        <f t="shared" ref="C83:I83" si="40">IF(ISBLANK(C82),"",VLOOKUP(C82,$B$110:$L$146,11,0))</f>
        <v/>
      </c>
      <c r="D83" s="37" t="str">
        <f t="shared" si="40"/>
        <v>06H00-14H30</v>
      </c>
      <c r="E83" s="37" t="str">
        <f t="shared" si="40"/>
        <v>13H30-22H00</v>
      </c>
      <c r="F83" s="37" t="str">
        <f t="shared" si="40"/>
        <v>09H00-17H30</v>
      </c>
      <c r="G83" s="37" t="str">
        <f t="shared" si="40"/>
        <v>08H30-17H00</v>
      </c>
      <c r="H83" s="37" t="str">
        <f t="shared" si="40"/>
        <v>08H30-17H00</v>
      </c>
      <c r="I83" s="37">
        <f t="shared" si="40"/>
        <v>0</v>
      </c>
      <c r="J83" s="181" t="s">
        <v>72</v>
      </c>
      <c r="K83" s="139"/>
      <c r="L83" s="40"/>
    </row>
    <row r="84" spans="1:12" s="39" customFormat="1" ht="13" customHeight="1" thickTop="1" x14ac:dyDescent="0.2">
      <c r="A84" s="21">
        <f>7-(COUNTIF(C84:I84,"")+COUNTIF(C84:I84,$B$144))</f>
        <v>5</v>
      </c>
      <c r="B84" s="178" t="s">
        <v>143</v>
      </c>
      <c r="C84" s="36" t="s">
        <v>123</v>
      </c>
      <c r="D84" s="36" t="s">
        <v>84</v>
      </c>
      <c r="E84" s="36"/>
      <c r="F84" s="36" t="s">
        <v>82</v>
      </c>
      <c r="G84" s="36" t="s">
        <v>80</v>
      </c>
      <c r="H84" s="36" t="s">
        <v>90</v>
      </c>
      <c r="I84" s="36"/>
      <c r="J84" s="180" t="s">
        <v>142</v>
      </c>
      <c r="K84" s="139">
        <v>4</v>
      </c>
      <c r="L84" s="40"/>
    </row>
    <row r="85" spans="1:12" ht="13" customHeight="1" thickBot="1" x14ac:dyDescent="0.25">
      <c r="A85" s="41"/>
      <c r="B85" s="179"/>
      <c r="C85" s="37" t="str">
        <f t="shared" ref="C85:I85" si="41">IF(ISBLANK(C84),"",VLOOKUP(C84,$B$110:$L$146,11,0))</f>
        <v>14H30-23H00</v>
      </c>
      <c r="D85" s="37" t="str">
        <f t="shared" si="41"/>
        <v>13H30-22H00</v>
      </c>
      <c r="E85" s="37" t="str">
        <f t="shared" si="41"/>
        <v/>
      </c>
      <c r="F85" s="37" t="str">
        <f t="shared" si="41"/>
        <v>06H00-14H30</v>
      </c>
      <c r="G85" s="37" t="str">
        <f t="shared" si="41"/>
        <v>06H00-14H30</v>
      </c>
      <c r="H85" s="37" t="str">
        <f t="shared" si="41"/>
        <v>06H00-14H30</v>
      </c>
      <c r="I85" s="37" t="str">
        <f t="shared" si="41"/>
        <v/>
      </c>
      <c r="J85" s="181" t="s">
        <v>57</v>
      </c>
      <c r="K85" s="139"/>
    </row>
    <row r="86" spans="1:12" s="39" customFormat="1" ht="13" customHeight="1" thickTop="1" x14ac:dyDescent="0.2">
      <c r="A86" s="21">
        <f>7-(COUNTIF(C86:I86,"")+COUNTIF(C86:I86,$B$144))</f>
        <v>5</v>
      </c>
      <c r="B86" s="201" t="s">
        <v>26</v>
      </c>
      <c r="C86" s="36" t="s">
        <v>154</v>
      </c>
      <c r="D86" s="36" t="s">
        <v>79</v>
      </c>
      <c r="E86" s="36" t="s">
        <v>40</v>
      </c>
      <c r="F86" s="36" t="s">
        <v>40</v>
      </c>
      <c r="G86" s="36" t="s">
        <v>40</v>
      </c>
      <c r="H86" s="36" t="s">
        <v>95</v>
      </c>
      <c r="I86" s="36" t="s">
        <v>95</v>
      </c>
      <c r="J86" s="180" t="s">
        <v>72</v>
      </c>
      <c r="K86" s="139">
        <v>5</v>
      </c>
      <c r="L86" s="40"/>
    </row>
    <row r="87" spans="1:12" s="39" customFormat="1" ht="13" customHeight="1" thickBot="1" x14ac:dyDescent="0.25">
      <c r="B87" s="196"/>
      <c r="C87" s="37" t="str">
        <f t="shared" ref="C87:I87" si="42">IF(ISBLANK(C86),"",VLOOKUP(C86,$B$110:$L$146,11,0))</f>
        <v>13H00-21H30</v>
      </c>
      <c r="D87" s="37" t="str">
        <f t="shared" si="42"/>
        <v>09H00-17H30</v>
      </c>
      <c r="E87" s="37">
        <f t="shared" si="42"/>
        <v>0</v>
      </c>
      <c r="F87" s="37">
        <f t="shared" si="42"/>
        <v>0</v>
      </c>
      <c r="G87" s="37">
        <f t="shared" si="42"/>
        <v>0</v>
      </c>
      <c r="H87" s="37">
        <f t="shared" si="42"/>
        <v>0</v>
      </c>
      <c r="I87" s="37">
        <f t="shared" si="42"/>
        <v>0</v>
      </c>
      <c r="J87" s="181" t="s">
        <v>73</v>
      </c>
      <c r="K87" s="139"/>
      <c r="L87" s="40"/>
    </row>
    <row r="88" spans="1:12" s="39" customFormat="1" ht="13" customHeight="1" thickTop="1" x14ac:dyDescent="0.2">
      <c r="A88" s="21">
        <f>7-(COUNTIF(C88:I88,"")+COUNTIF(C88:I88,$B$144))</f>
        <v>5</v>
      </c>
      <c r="B88" s="201" t="s">
        <v>27</v>
      </c>
      <c r="C88" s="36"/>
      <c r="D88" s="36" t="s">
        <v>122</v>
      </c>
      <c r="E88" s="36" t="s">
        <v>90</v>
      </c>
      <c r="F88" s="36" t="s">
        <v>84</v>
      </c>
      <c r="G88" s="36" t="s">
        <v>83</v>
      </c>
      <c r="H88" s="35" t="s">
        <v>85</v>
      </c>
      <c r="I88" s="35"/>
      <c r="J88" s="180" t="s">
        <v>74</v>
      </c>
      <c r="K88" s="139">
        <v>5</v>
      </c>
      <c r="L88" s="40"/>
    </row>
    <row r="89" spans="1:12" s="39" customFormat="1" ht="13" customHeight="1" thickBot="1" x14ac:dyDescent="0.25">
      <c r="B89" s="196"/>
      <c r="C89" s="37" t="str">
        <f t="shared" ref="C89:I89" si="43">IF(ISBLANK(C88),"",VLOOKUP(C88,$B$110:$L$146,11,0))</f>
        <v/>
      </c>
      <c r="D89" s="37" t="str">
        <f t="shared" si="43"/>
        <v>06H00-14H30</v>
      </c>
      <c r="E89" s="37" t="str">
        <f t="shared" si="43"/>
        <v>06H00-14H30</v>
      </c>
      <c r="F89" s="37" t="str">
        <f t="shared" si="43"/>
        <v>13H30-22H00</v>
      </c>
      <c r="G89" s="37" t="str">
        <f t="shared" si="43"/>
        <v>09H00-17H30</v>
      </c>
      <c r="H89" s="37" t="str">
        <f t="shared" si="43"/>
        <v>14H30-23H00</v>
      </c>
      <c r="I89" s="37" t="str">
        <f t="shared" si="43"/>
        <v/>
      </c>
      <c r="J89" s="181" t="s">
        <v>75</v>
      </c>
      <c r="K89" s="139"/>
      <c r="L89" s="40"/>
    </row>
    <row r="90" spans="1:12" s="39" customFormat="1" ht="13" customHeight="1" thickTop="1" x14ac:dyDescent="0.2">
      <c r="A90" s="21">
        <f>7-(COUNTIF(C90:I90,"")+COUNTIF(C90:I90,$B$144))</f>
        <v>5</v>
      </c>
      <c r="B90" s="193" t="s">
        <v>115</v>
      </c>
      <c r="C90" s="38" t="s">
        <v>93</v>
      </c>
      <c r="D90" s="36" t="s">
        <v>83</v>
      </c>
      <c r="E90" s="36" t="s">
        <v>83</v>
      </c>
      <c r="F90" s="38"/>
      <c r="G90" s="38" t="s">
        <v>81</v>
      </c>
      <c r="H90" s="36" t="s">
        <v>84</v>
      </c>
      <c r="I90" s="38" t="s">
        <v>95</v>
      </c>
      <c r="J90" s="188" t="s">
        <v>63</v>
      </c>
      <c r="K90" s="139">
        <v>5</v>
      </c>
      <c r="L90" s="40"/>
    </row>
    <row r="91" spans="1:12" s="39" customFormat="1" ht="13" customHeight="1" thickBot="1" x14ac:dyDescent="0.25">
      <c r="B91" s="206"/>
      <c r="C91" s="43" t="str">
        <f t="shared" ref="C91:I91" si="44">IF(ISBLANK(C90),"",VLOOKUP(C90,$B$110:$L$146,11,0))</f>
        <v>06H00-14H30</v>
      </c>
      <c r="D91" s="43" t="str">
        <f t="shared" si="44"/>
        <v>09H00-17H30</v>
      </c>
      <c r="E91" s="43" t="str">
        <f t="shared" si="44"/>
        <v>09H00-17H30</v>
      </c>
      <c r="F91" s="43" t="str">
        <f t="shared" si="44"/>
        <v/>
      </c>
      <c r="G91" s="43" t="str">
        <f t="shared" si="44"/>
        <v>14H30-23H00</v>
      </c>
      <c r="H91" s="43" t="str">
        <f t="shared" si="44"/>
        <v>13H30-22H00</v>
      </c>
      <c r="I91" s="43">
        <f t="shared" si="44"/>
        <v>0</v>
      </c>
      <c r="J91" s="203"/>
      <c r="K91" s="139"/>
      <c r="L91" s="40"/>
    </row>
    <row r="92" spans="1:12" s="39" customFormat="1" ht="13" customHeight="1" thickTop="1" x14ac:dyDescent="0.2">
      <c r="A92" s="21">
        <f>7-(COUNTIF(C92:I92,"")+COUNTIF(C92:I92,$B$144))</f>
        <v>5</v>
      </c>
      <c r="B92" s="178" t="s">
        <v>148</v>
      </c>
      <c r="C92" s="36" t="s">
        <v>99</v>
      </c>
      <c r="D92" s="36" t="s">
        <v>99</v>
      </c>
      <c r="E92" s="36" t="s">
        <v>99</v>
      </c>
      <c r="F92" s="36" t="s">
        <v>99</v>
      </c>
      <c r="G92" s="36" t="s">
        <v>99</v>
      </c>
      <c r="H92" s="36" t="s">
        <v>95</v>
      </c>
      <c r="I92" s="36" t="s">
        <v>95</v>
      </c>
      <c r="J92" s="180" t="s">
        <v>144</v>
      </c>
      <c r="K92" s="139">
        <v>4</v>
      </c>
      <c r="L92" s="40"/>
    </row>
    <row r="93" spans="1:12" ht="13" customHeight="1" thickBot="1" x14ac:dyDescent="0.25">
      <c r="A93" s="41"/>
      <c r="B93" s="179"/>
      <c r="C93" s="37">
        <f t="shared" ref="C93:I93" si="45">IF(ISBLANK(C92),"",VLOOKUP(C92,$B$110:$L$146,11,0))</f>
        <v>0</v>
      </c>
      <c r="D93" s="37">
        <f t="shared" si="45"/>
        <v>0</v>
      </c>
      <c r="E93" s="37">
        <f t="shared" si="45"/>
        <v>0</v>
      </c>
      <c r="F93" s="37">
        <f t="shared" si="45"/>
        <v>0</v>
      </c>
      <c r="G93" s="37">
        <f t="shared" si="45"/>
        <v>0</v>
      </c>
      <c r="H93" s="37">
        <f t="shared" si="45"/>
        <v>0</v>
      </c>
      <c r="I93" s="37">
        <f t="shared" si="45"/>
        <v>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7-(COUNTIF(C94:I94,"")+COUNTIF(C94:I94,$B$144))</f>
        <v>5</v>
      </c>
      <c r="B94" s="178" t="s">
        <v>147</v>
      </c>
      <c r="C94" s="36" t="s">
        <v>81</v>
      </c>
      <c r="D94" s="36" t="s">
        <v>84</v>
      </c>
      <c r="E94" s="36"/>
      <c r="F94" s="36"/>
      <c r="G94" s="36" t="s">
        <v>91</v>
      </c>
      <c r="H94" s="36" t="s">
        <v>31</v>
      </c>
      <c r="I94" s="36" t="s">
        <v>122</v>
      </c>
      <c r="J94" s="180" t="s">
        <v>145</v>
      </c>
      <c r="K94" s="139">
        <v>4</v>
      </c>
      <c r="L94" s="40"/>
    </row>
    <row r="95" spans="1:12" ht="13" customHeight="1" thickBot="1" x14ac:dyDescent="0.25">
      <c r="A95" s="41"/>
      <c r="B95" s="179"/>
      <c r="C95" s="37" t="str">
        <f t="shared" ref="C95:I95" si="46">IF(ISBLANK(C94),"",VLOOKUP(C94,$B$110:$L$146,11,0))</f>
        <v>14H30-23H00</v>
      </c>
      <c r="D95" s="37" t="str">
        <f t="shared" si="46"/>
        <v>13H30-22H00</v>
      </c>
      <c r="E95" s="37" t="str">
        <f t="shared" si="46"/>
        <v/>
      </c>
      <c r="F95" s="37" t="str">
        <f t="shared" si="46"/>
        <v/>
      </c>
      <c r="G95" s="37" t="str">
        <f t="shared" si="46"/>
        <v>06H00-14H30</v>
      </c>
      <c r="H95" s="37" t="str">
        <f t="shared" si="46"/>
        <v>06H00-14H30</v>
      </c>
      <c r="I95" s="37" t="str">
        <f t="shared" si="46"/>
        <v>06H00-14H30</v>
      </c>
      <c r="J95" s="181" t="s">
        <v>57</v>
      </c>
      <c r="K95" s="139"/>
    </row>
    <row r="96" spans="1:12" s="39" customFormat="1" ht="13" customHeight="1" thickTop="1" x14ac:dyDescent="0.2">
      <c r="A96" s="21">
        <f>7-(COUNTIF(C96:I96,"")+COUNTIF(C96:I96,$B$144))</f>
        <v>5</v>
      </c>
      <c r="B96" s="201" t="s">
        <v>106</v>
      </c>
      <c r="C96" s="36" t="s">
        <v>153</v>
      </c>
      <c r="D96" s="36"/>
      <c r="E96" s="36" t="s">
        <v>79</v>
      </c>
      <c r="F96" s="36" t="s">
        <v>110</v>
      </c>
      <c r="G96" s="36" t="s">
        <v>153</v>
      </c>
      <c r="H96" s="36"/>
      <c r="I96" s="36" t="s">
        <v>151</v>
      </c>
      <c r="J96" s="180" t="s">
        <v>75</v>
      </c>
      <c r="K96" s="139">
        <v>5</v>
      </c>
      <c r="L96" s="40"/>
    </row>
    <row r="97" spans="1:12" s="39" customFormat="1" ht="13" customHeight="1" thickBot="1" x14ac:dyDescent="0.25">
      <c r="B97" s="196"/>
      <c r="C97" s="37" t="str">
        <f t="shared" ref="C97:I97" si="47">IF(ISBLANK(C96),"",VLOOKUP(C96,$B$110:$L$146,11,0))</f>
        <v>22H00-06H30</v>
      </c>
      <c r="D97" s="37" t="str">
        <f t="shared" si="47"/>
        <v/>
      </c>
      <c r="E97" s="37" t="str">
        <f t="shared" si="47"/>
        <v>09H00-17H30</v>
      </c>
      <c r="F97" s="37" t="str">
        <f t="shared" si="47"/>
        <v>21H45-06H15</v>
      </c>
      <c r="G97" s="37" t="str">
        <f t="shared" si="47"/>
        <v>22H00-06H30</v>
      </c>
      <c r="H97" s="37" t="str">
        <f t="shared" si="47"/>
        <v/>
      </c>
      <c r="I97" s="37" t="str">
        <f t="shared" si="47"/>
        <v>08H30-17H00</v>
      </c>
      <c r="J97" s="181" t="s">
        <v>76</v>
      </c>
      <c r="K97" s="139"/>
      <c r="L97" s="40"/>
    </row>
    <row r="98" spans="1:12" s="39" customFormat="1" ht="13" customHeight="1" thickTop="1" x14ac:dyDescent="0.2">
      <c r="A98" s="21">
        <f>7-(COUNTIF(C98:I98,"")+COUNTIF(C98:I98,$B$144))</f>
        <v>5</v>
      </c>
      <c r="B98" s="178" t="s">
        <v>28</v>
      </c>
      <c r="C98" s="38" t="s">
        <v>83</v>
      </c>
      <c r="D98" s="38" t="s">
        <v>91</v>
      </c>
      <c r="E98" s="38" t="s">
        <v>81</v>
      </c>
      <c r="F98" s="38"/>
      <c r="G98" s="36"/>
      <c r="H98" s="36" t="s">
        <v>84</v>
      </c>
      <c r="I98" s="36" t="s">
        <v>83</v>
      </c>
      <c r="J98" s="180" t="s">
        <v>76</v>
      </c>
      <c r="K98" s="139">
        <v>5</v>
      </c>
      <c r="L98" s="40"/>
    </row>
    <row r="99" spans="1:12" s="39" customFormat="1" ht="13" customHeight="1" thickBot="1" x14ac:dyDescent="0.25">
      <c r="B99" s="179"/>
      <c r="C99" s="37" t="str">
        <f t="shared" ref="C99:I99" si="48">IF(ISBLANK(C98),"",VLOOKUP(C98,$B$110:$L$146,11,0))</f>
        <v>09H00-17H30</v>
      </c>
      <c r="D99" s="37" t="str">
        <f t="shared" si="48"/>
        <v>06H00-14H30</v>
      </c>
      <c r="E99" s="37" t="str">
        <f t="shared" si="48"/>
        <v>14H30-23H00</v>
      </c>
      <c r="F99" s="37" t="str">
        <f t="shared" si="48"/>
        <v/>
      </c>
      <c r="G99" s="37" t="str">
        <f t="shared" si="48"/>
        <v/>
      </c>
      <c r="H99" s="37" t="str">
        <f t="shared" si="48"/>
        <v>13H30-22H00</v>
      </c>
      <c r="I99" s="37" t="str">
        <f t="shared" si="48"/>
        <v>09H00-17H30</v>
      </c>
      <c r="J99" s="181" t="s">
        <v>77</v>
      </c>
      <c r="K99" s="139"/>
      <c r="L99" s="40"/>
    </row>
    <row r="100" spans="1:12" s="39" customFormat="1" ht="13" customHeight="1" thickTop="1" x14ac:dyDescent="0.2">
      <c r="A100" s="21">
        <f>7-(COUNTIF(C100:I100,"")+COUNTIF(C100:I100,$B$144))</f>
        <v>0</v>
      </c>
      <c r="B100" s="193"/>
      <c r="C100" s="36"/>
      <c r="D100" s="36"/>
      <c r="E100" s="36"/>
      <c r="F100" s="36"/>
      <c r="G100" s="36"/>
      <c r="H100" s="36"/>
      <c r="I100" s="36"/>
      <c r="J100" s="180"/>
      <c r="K100" s="139">
        <v>2</v>
      </c>
      <c r="L100" s="40"/>
    </row>
    <row r="101" spans="1:12" s="39" customFormat="1" ht="13" customHeight="1" thickBot="1" x14ac:dyDescent="0.25">
      <c r="B101" s="194"/>
      <c r="C101" s="37" t="str">
        <f t="shared" ref="C101:I101" si="49">IF(ISBLANK(C100),"",VLOOKUP(C100,$B$110:$L$146,11,0))</f>
        <v/>
      </c>
      <c r="D101" s="37" t="str">
        <f t="shared" si="49"/>
        <v/>
      </c>
      <c r="E101" s="37" t="str">
        <f t="shared" si="49"/>
        <v/>
      </c>
      <c r="F101" s="37" t="str">
        <f t="shared" si="49"/>
        <v/>
      </c>
      <c r="G101" s="37" t="str">
        <f t="shared" si="49"/>
        <v/>
      </c>
      <c r="H101" s="37" t="str">
        <f t="shared" si="49"/>
        <v/>
      </c>
      <c r="I101" s="37" t="str">
        <f t="shared" si="49"/>
        <v/>
      </c>
      <c r="J101" s="181" t="s">
        <v>63</v>
      </c>
      <c r="K101" s="139"/>
      <c r="L101" s="40"/>
    </row>
    <row r="102" spans="1:12" s="39" customFormat="1" ht="13" customHeight="1" thickTop="1" x14ac:dyDescent="0.2">
      <c r="A102" s="21"/>
      <c r="B102" s="178" t="s">
        <v>136</v>
      </c>
      <c r="C102" s="36"/>
      <c r="D102" s="35" t="s">
        <v>95</v>
      </c>
      <c r="E102" s="36"/>
      <c r="F102" s="35" t="s">
        <v>95</v>
      </c>
      <c r="G102" s="35" t="s">
        <v>95</v>
      </c>
      <c r="H102" s="35" t="s">
        <v>95</v>
      </c>
      <c r="I102" s="35" t="s">
        <v>95</v>
      </c>
      <c r="J102" s="180"/>
      <c r="K102" s="139">
        <v>4</v>
      </c>
      <c r="L102" s="40"/>
    </row>
    <row r="103" spans="1:12" ht="13" customHeight="1" thickBot="1" x14ac:dyDescent="0.25">
      <c r="A103" s="41"/>
      <c r="B103" s="179"/>
      <c r="C103" s="37" t="str">
        <f t="shared" ref="C103:I103" si="50">IF(ISBLANK(C102),"",VLOOKUP(C102,$B$110:$L$146,11,0))</f>
        <v/>
      </c>
      <c r="D103" s="37">
        <f t="shared" si="50"/>
        <v>0</v>
      </c>
      <c r="E103" s="37" t="str">
        <f t="shared" si="50"/>
        <v/>
      </c>
      <c r="F103" s="37">
        <f t="shared" si="50"/>
        <v>0</v>
      </c>
      <c r="G103" s="37">
        <f t="shared" si="50"/>
        <v>0</v>
      </c>
      <c r="H103" s="37">
        <f t="shared" si="50"/>
        <v>0</v>
      </c>
      <c r="I103" s="37">
        <f t="shared" si="50"/>
        <v>0</v>
      </c>
      <c r="J103" s="181" t="s">
        <v>57</v>
      </c>
      <c r="K103" s="139"/>
    </row>
    <row r="104" spans="1:12" s="39" customFormat="1" ht="13" customHeight="1" thickTop="1" x14ac:dyDescent="0.2">
      <c r="A104" s="21"/>
      <c r="B104" s="178" t="s">
        <v>135</v>
      </c>
      <c r="C104" s="36"/>
      <c r="D104" s="36"/>
      <c r="E104" s="36" t="s">
        <v>95</v>
      </c>
      <c r="F104" s="36"/>
      <c r="G104" s="36"/>
      <c r="H104" s="36" t="s">
        <v>95</v>
      </c>
      <c r="I104" s="36" t="s">
        <v>95</v>
      </c>
      <c r="J104" s="180"/>
      <c r="K104" s="139">
        <v>5</v>
      </c>
      <c r="L104" s="40"/>
    </row>
    <row r="105" spans="1:12" ht="13" customHeight="1" thickBot="1" x14ac:dyDescent="0.25">
      <c r="A105" s="41"/>
      <c r="B105" s="179"/>
      <c r="C105" s="37" t="str">
        <f t="shared" ref="C105:I105" si="51">IF(ISBLANK(C104),"",VLOOKUP(C104,$B$110:$L$146,11,0))</f>
        <v/>
      </c>
      <c r="D105" s="37" t="str">
        <f t="shared" si="51"/>
        <v/>
      </c>
      <c r="E105" s="37">
        <f t="shared" si="51"/>
        <v>0</v>
      </c>
      <c r="F105" s="37" t="str">
        <f t="shared" si="51"/>
        <v/>
      </c>
      <c r="G105" s="37" t="str">
        <f t="shared" si="51"/>
        <v/>
      </c>
      <c r="H105" s="37">
        <f t="shared" si="51"/>
        <v>0</v>
      </c>
      <c r="I105" s="37">
        <f t="shared" si="51"/>
        <v>0</v>
      </c>
      <c r="J105" s="181" t="s">
        <v>57</v>
      </c>
      <c r="K105" s="139"/>
    </row>
    <row r="106" spans="1:12" s="39" customFormat="1" ht="13" customHeight="1" thickTop="1" x14ac:dyDescent="0.2">
      <c r="A106" s="21">
        <f>7-(COUNTIF(C106:I106,"")+COUNTIF(C106:I106,$B$144))</f>
        <v>5</v>
      </c>
      <c r="B106" s="178" t="s">
        <v>29</v>
      </c>
      <c r="C106" s="35" t="s">
        <v>87</v>
      </c>
      <c r="D106" s="35" t="s">
        <v>87</v>
      </c>
      <c r="E106" s="35" t="s">
        <v>87</v>
      </c>
      <c r="F106" s="35" t="s">
        <v>87</v>
      </c>
      <c r="G106" s="35" t="s">
        <v>87</v>
      </c>
      <c r="H106" s="35" t="s">
        <v>95</v>
      </c>
      <c r="I106" s="35" t="s">
        <v>95</v>
      </c>
      <c r="J106" s="180"/>
      <c r="L106" s="40"/>
    </row>
    <row r="107" spans="1:12" s="39" customFormat="1" ht="13" customHeight="1" thickBot="1" x14ac:dyDescent="0.25">
      <c r="B107" s="202"/>
      <c r="C107" s="43" t="str">
        <f t="shared" ref="C107:I107" si="52">IF(ISBLANK(C106),"",VLOOKUP(C106,$B$110:$L$146,11,0))</f>
        <v>08H00-16H30</v>
      </c>
      <c r="D107" s="43" t="str">
        <f t="shared" si="52"/>
        <v>08H00-16H30</v>
      </c>
      <c r="E107" s="43" t="str">
        <f t="shared" si="52"/>
        <v>08H00-16H30</v>
      </c>
      <c r="F107" s="43" t="str">
        <f t="shared" si="52"/>
        <v>08H00-16H30</v>
      </c>
      <c r="G107" s="43" t="str">
        <f t="shared" si="52"/>
        <v>08H00-16H30</v>
      </c>
      <c r="H107" s="43">
        <f t="shared" si="52"/>
        <v>0</v>
      </c>
      <c r="I107" s="43">
        <f t="shared" si="52"/>
        <v>0</v>
      </c>
      <c r="J107" s="203"/>
      <c r="L107" s="40"/>
    </row>
    <row r="108" spans="1:12" s="39" customFormat="1" ht="13" customHeight="1" thickTop="1" x14ac:dyDescent="0.2">
      <c r="C108" s="45">
        <f>C5</f>
        <v>43150</v>
      </c>
      <c r="D108" s="45">
        <f t="shared" ref="D108:I108" si="53">C108+1</f>
        <v>43151</v>
      </c>
      <c r="E108" s="45">
        <f t="shared" si="53"/>
        <v>43152</v>
      </c>
      <c r="F108" s="45">
        <f t="shared" si="53"/>
        <v>43153</v>
      </c>
      <c r="G108" s="45">
        <f t="shared" si="53"/>
        <v>43154</v>
      </c>
      <c r="H108" s="45">
        <f t="shared" si="53"/>
        <v>43155</v>
      </c>
      <c r="I108" s="45">
        <f t="shared" si="53"/>
        <v>43156</v>
      </c>
      <c r="L108" s="40"/>
    </row>
    <row r="109" spans="1:12" ht="13" customHeight="1" x14ac:dyDescent="0.2">
      <c r="A109" s="41"/>
      <c r="B109" s="46" t="s">
        <v>39</v>
      </c>
      <c r="C109" s="47"/>
      <c r="D109" s="47"/>
      <c r="E109" s="47"/>
      <c r="F109" s="47"/>
      <c r="G109" s="39"/>
      <c r="H109" s="39"/>
      <c r="I109" s="39"/>
      <c r="J109" s="48" t="s">
        <v>98</v>
      </c>
      <c r="K109" s="49" t="s">
        <v>107</v>
      </c>
      <c r="L109" s="50" t="s">
        <v>97</v>
      </c>
    </row>
    <row r="110" spans="1:12" ht="13" customHeight="1" x14ac:dyDescent="0.2">
      <c r="A110" s="41"/>
      <c r="B110" s="51" t="s">
        <v>117</v>
      </c>
      <c r="C110" s="52">
        <f t="shared" ref="C110:I119" si="54">COUNTIF(C$6:C$107,$B110)</f>
        <v>0</v>
      </c>
      <c r="D110" s="52">
        <f t="shared" si="54"/>
        <v>0</v>
      </c>
      <c r="E110" s="52">
        <f t="shared" si="54"/>
        <v>0</v>
      </c>
      <c r="F110" s="52">
        <f t="shared" si="54"/>
        <v>0</v>
      </c>
      <c r="G110" s="52">
        <f t="shared" si="54"/>
        <v>0</v>
      </c>
      <c r="H110" s="52">
        <f t="shared" si="54"/>
        <v>0</v>
      </c>
      <c r="I110" s="52">
        <f t="shared" si="54"/>
        <v>0</v>
      </c>
      <c r="J110" s="53">
        <f t="shared" ref="J110:J146" si="55">SUM(C110:I110)</f>
        <v>0</v>
      </c>
      <c r="K110" s="49">
        <v>0</v>
      </c>
      <c r="L110" s="1" t="s">
        <v>118</v>
      </c>
    </row>
    <row r="111" spans="1:12" ht="13" customHeight="1" x14ac:dyDescent="0.2">
      <c r="A111" s="41"/>
      <c r="B111" s="54" t="s">
        <v>128</v>
      </c>
      <c r="C111" s="52">
        <f t="shared" si="54"/>
        <v>0</v>
      </c>
      <c r="D111" s="52">
        <f t="shared" si="54"/>
        <v>0</v>
      </c>
      <c r="E111" s="52">
        <f t="shared" si="54"/>
        <v>0</v>
      </c>
      <c r="F111" s="52">
        <f t="shared" si="54"/>
        <v>0</v>
      </c>
      <c r="G111" s="52">
        <f t="shared" si="54"/>
        <v>0</v>
      </c>
      <c r="H111" s="52">
        <f t="shared" si="54"/>
        <v>0</v>
      </c>
      <c r="I111" s="52">
        <f t="shared" si="54"/>
        <v>0</v>
      </c>
      <c r="J111" s="53">
        <f t="shared" si="55"/>
        <v>0</v>
      </c>
      <c r="K111" s="49">
        <v>0</v>
      </c>
      <c r="L111" s="1" t="s">
        <v>116</v>
      </c>
    </row>
    <row r="112" spans="1:12" ht="13" customHeight="1" x14ac:dyDescent="0.2">
      <c r="A112" s="41"/>
      <c r="B112" s="55" t="s">
        <v>79</v>
      </c>
      <c r="C112" s="52">
        <f t="shared" si="54"/>
        <v>1</v>
      </c>
      <c r="D112" s="52">
        <f t="shared" si="54"/>
        <v>1</v>
      </c>
      <c r="E112" s="52">
        <f t="shared" si="54"/>
        <v>1</v>
      </c>
      <c r="F112" s="52">
        <f t="shared" si="54"/>
        <v>1</v>
      </c>
      <c r="G112" s="52">
        <f t="shared" si="54"/>
        <v>1</v>
      </c>
      <c r="H112" s="52">
        <f t="shared" si="54"/>
        <v>1</v>
      </c>
      <c r="I112" s="52">
        <f t="shared" si="54"/>
        <v>1</v>
      </c>
      <c r="J112" s="53">
        <f t="shared" si="55"/>
        <v>7</v>
      </c>
      <c r="K112" s="49">
        <v>7</v>
      </c>
      <c r="L112" s="1" t="s">
        <v>34</v>
      </c>
    </row>
    <row r="113" spans="1:12" ht="13" customHeight="1" x14ac:dyDescent="0.2">
      <c r="A113" s="41"/>
      <c r="B113" s="20" t="s">
        <v>150</v>
      </c>
      <c r="C113" s="52">
        <f t="shared" si="54"/>
        <v>1</v>
      </c>
      <c r="D113" s="52">
        <f t="shared" si="54"/>
        <v>1</v>
      </c>
      <c r="E113" s="52">
        <f t="shared" si="54"/>
        <v>1</v>
      </c>
      <c r="F113" s="52">
        <f t="shared" si="54"/>
        <v>1</v>
      </c>
      <c r="G113" s="52">
        <f t="shared" si="54"/>
        <v>1</v>
      </c>
      <c r="H113" s="52">
        <f t="shared" si="54"/>
        <v>1</v>
      </c>
      <c r="I113" s="52">
        <f t="shared" si="54"/>
        <v>1</v>
      </c>
      <c r="J113" s="53">
        <f t="shared" si="55"/>
        <v>7</v>
      </c>
      <c r="K113" s="49">
        <v>7</v>
      </c>
      <c r="L113" s="1" t="s">
        <v>34</v>
      </c>
    </row>
    <row r="114" spans="1:12" ht="13" customHeight="1" x14ac:dyDescent="0.2">
      <c r="A114" s="41"/>
      <c r="B114" s="3" t="s">
        <v>80</v>
      </c>
      <c r="C114" s="52">
        <f t="shared" si="54"/>
        <v>1</v>
      </c>
      <c r="D114" s="52">
        <f t="shared" si="54"/>
        <v>1</v>
      </c>
      <c r="E114" s="52">
        <f t="shared" si="54"/>
        <v>1</v>
      </c>
      <c r="F114" s="52">
        <f t="shared" si="54"/>
        <v>1</v>
      </c>
      <c r="G114" s="52">
        <f t="shared" si="54"/>
        <v>1</v>
      </c>
      <c r="H114" s="52">
        <f t="shared" si="54"/>
        <v>1</v>
      </c>
      <c r="I114" s="52">
        <f t="shared" si="54"/>
        <v>1</v>
      </c>
      <c r="J114" s="53">
        <f t="shared" si="55"/>
        <v>7</v>
      </c>
      <c r="K114" s="49">
        <v>7</v>
      </c>
      <c r="L114" s="1" t="s">
        <v>32</v>
      </c>
    </row>
    <row r="115" spans="1:12" ht="13" customHeight="1" x14ac:dyDescent="0.2">
      <c r="A115" s="41"/>
      <c r="B115" s="4" t="s">
        <v>81</v>
      </c>
      <c r="C115" s="52">
        <f t="shared" si="54"/>
        <v>1</v>
      </c>
      <c r="D115" s="52">
        <f t="shared" si="54"/>
        <v>1</v>
      </c>
      <c r="E115" s="52">
        <f t="shared" si="54"/>
        <v>1</v>
      </c>
      <c r="F115" s="52">
        <f t="shared" si="54"/>
        <v>1</v>
      </c>
      <c r="G115" s="52">
        <f t="shared" si="54"/>
        <v>1</v>
      </c>
      <c r="H115" s="52">
        <f t="shared" si="54"/>
        <v>1</v>
      </c>
      <c r="I115" s="52">
        <f t="shared" si="54"/>
        <v>1</v>
      </c>
      <c r="J115" s="53">
        <f t="shared" si="55"/>
        <v>7</v>
      </c>
      <c r="K115" s="49">
        <v>7</v>
      </c>
      <c r="L115" s="1" t="s">
        <v>36</v>
      </c>
    </row>
    <row r="116" spans="1:12" ht="13" customHeight="1" x14ac:dyDescent="0.2">
      <c r="B116" s="15" t="s">
        <v>154</v>
      </c>
      <c r="C116" s="52">
        <f t="shared" si="54"/>
        <v>1</v>
      </c>
      <c r="D116" s="52">
        <f t="shared" si="54"/>
        <v>0</v>
      </c>
      <c r="E116" s="52">
        <f t="shared" si="54"/>
        <v>0</v>
      </c>
      <c r="F116" s="52">
        <f t="shared" si="54"/>
        <v>1</v>
      </c>
      <c r="G116" s="52">
        <f t="shared" si="54"/>
        <v>1</v>
      </c>
      <c r="H116" s="52">
        <f t="shared" si="54"/>
        <v>1</v>
      </c>
      <c r="I116" s="52">
        <f t="shared" si="54"/>
        <v>0</v>
      </c>
      <c r="J116" s="53">
        <f t="shared" si="55"/>
        <v>4</v>
      </c>
      <c r="K116" s="49">
        <v>7</v>
      </c>
      <c r="L116" s="1" t="s">
        <v>125</v>
      </c>
    </row>
    <row r="117" spans="1:12" ht="13" customHeight="1" x14ac:dyDescent="0.2">
      <c r="A117" s="41"/>
      <c r="B117" s="5" t="s">
        <v>103</v>
      </c>
      <c r="C117" s="52">
        <f t="shared" si="54"/>
        <v>0</v>
      </c>
      <c r="D117" s="52">
        <f t="shared" si="54"/>
        <v>0</v>
      </c>
      <c r="E117" s="52">
        <f t="shared" si="54"/>
        <v>0</v>
      </c>
      <c r="F117" s="52">
        <f t="shared" si="54"/>
        <v>0</v>
      </c>
      <c r="G117" s="52">
        <f t="shared" si="54"/>
        <v>0</v>
      </c>
      <c r="H117" s="52">
        <f t="shared" si="54"/>
        <v>0</v>
      </c>
      <c r="I117" s="52">
        <f t="shared" si="54"/>
        <v>0</v>
      </c>
      <c r="J117" s="53">
        <f t="shared" si="55"/>
        <v>0</v>
      </c>
      <c r="K117" s="49">
        <v>0</v>
      </c>
      <c r="L117" s="1" t="s">
        <v>38</v>
      </c>
    </row>
    <row r="118" spans="1:12" ht="13" customHeight="1" x14ac:dyDescent="0.2">
      <c r="A118" s="41"/>
      <c r="B118" s="14" t="s">
        <v>149</v>
      </c>
      <c r="C118" s="52">
        <f t="shared" si="54"/>
        <v>1</v>
      </c>
      <c r="D118" s="52">
        <f t="shared" si="54"/>
        <v>1</v>
      </c>
      <c r="E118" s="52">
        <f t="shared" si="54"/>
        <v>1</v>
      </c>
      <c r="F118" s="52">
        <f t="shared" si="54"/>
        <v>1</v>
      </c>
      <c r="G118" s="52">
        <f t="shared" si="54"/>
        <v>1</v>
      </c>
      <c r="H118" s="52">
        <f t="shared" si="54"/>
        <v>1</v>
      </c>
      <c r="I118" s="52">
        <f t="shared" si="54"/>
        <v>1</v>
      </c>
      <c r="J118" s="53">
        <f t="shared" si="55"/>
        <v>7</v>
      </c>
      <c r="K118" s="49">
        <v>7</v>
      </c>
      <c r="L118" s="1" t="s">
        <v>34</v>
      </c>
    </row>
    <row r="119" spans="1:12" ht="13" customHeight="1" x14ac:dyDescent="0.2">
      <c r="A119" s="41"/>
      <c r="B119" s="16" t="s">
        <v>122</v>
      </c>
      <c r="C119" s="52">
        <f t="shared" si="54"/>
        <v>1</v>
      </c>
      <c r="D119" s="52">
        <f t="shared" si="54"/>
        <v>1</v>
      </c>
      <c r="E119" s="52">
        <f t="shared" si="54"/>
        <v>1</v>
      </c>
      <c r="F119" s="52">
        <f t="shared" si="54"/>
        <v>1</v>
      </c>
      <c r="G119" s="52">
        <f t="shared" si="54"/>
        <v>1</v>
      </c>
      <c r="H119" s="52">
        <f t="shared" si="54"/>
        <v>1</v>
      </c>
      <c r="I119" s="52">
        <f t="shared" si="54"/>
        <v>1</v>
      </c>
      <c r="J119" s="53">
        <f>SUM(C119:I119)</f>
        <v>7</v>
      </c>
      <c r="K119" s="49">
        <v>7</v>
      </c>
      <c r="L119" s="1" t="s">
        <v>32</v>
      </c>
    </row>
    <row r="120" spans="1:12" ht="13" customHeight="1" x14ac:dyDescent="0.2">
      <c r="A120" s="41"/>
      <c r="B120" s="6" t="s">
        <v>82</v>
      </c>
      <c r="C120" s="52">
        <f t="shared" ref="C120:I129" si="56">COUNTIF(C$6:C$107,$B120)</f>
        <v>2</v>
      </c>
      <c r="D120" s="52">
        <f t="shared" si="56"/>
        <v>2</v>
      </c>
      <c r="E120" s="52">
        <f t="shared" si="56"/>
        <v>2</v>
      </c>
      <c r="F120" s="52">
        <f t="shared" si="56"/>
        <v>2</v>
      </c>
      <c r="G120" s="52">
        <f t="shared" si="56"/>
        <v>2</v>
      </c>
      <c r="H120" s="52">
        <f t="shared" si="56"/>
        <v>2</v>
      </c>
      <c r="I120" s="52">
        <f t="shared" si="56"/>
        <v>2</v>
      </c>
      <c r="J120" s="53">
        <f t="shared" si="55"/>
        <v>14</v>
      </c>
      <c r="K120" s="49">
        <v>14</v>
      </c>
      <c r="L120" s="1" t="s">
        <v>32</v>
      </c>
    </row>
    <row r="121" spans="1:12" ht="13" customHeight="1" x14ac:dyDescent="0.2">
      <c r="A121" s="41"/>
      <c r="B121" s="6" t="s">
        <v>83</v>
      </c>
      <c r="C121" s="52">
        <f t="shared" si="56"/>
        <v>1</v>
      </c>
      <c r="D121" s="52">
        <f t="shared" si="56"/>
        <v>1</v>
      </c>
      <c r="E121" s="52">
        <f t="shared" si="56"/>
        <v>1</v>
      </c>
      <c r="F121" s="52">
        <f t="shared" si="56"/>
        <v>1</v>
      </c>
      <c r="G121" s="52">
        <f t="shared" si="56"/>
        <v>1</v>
      </c>
      <c r="H121" s="52">
        <f t="shared" si="56"/>
        <v>1</v>
      </c>
      <c r="I121" s="52">
        <f t="shared" si="56"/>
        <v>1</v>
      </c>
      <c r="J121" s="53">
        <f t="shared" si="55"/>
        <v>7</v>
      </c>
      <c r="K121" s="49">
        <v>7</v>
      </c>
      <c r="L121" s="1" t="s">
        <v>34</v>
      </c>
    </row>
    <row r="122" spans="1:12" ht="13" customHeight="1" x14ac:dyDescent="0.2">
      <c r="A122" s="41"/>
      <c r="B122" s="6" t="s">
        <v>109</v>
      </c>
      <c r="C122" s="52">
        <f t="shared" si="56"/>
        <v>0</v>
      </c>
      <c r="D122" s="52">
        <f t="shared" si="56"/>
        <v>0</v>
      </c>
      <c r="E122" s="52">
        <f t="shared" si="56"/>
        <v>0</v>
      </c>
      <c r="F122" s="52">
        <f t="shared" si="56"/>
        <v>0</v>
      </c>
      <c r="G122" s="52">
        <f t="shared" si="56"/>
        <v>0</v>
      </c>
      <c r="H122" s="52">
        <f t="shared" si="56"/>
        <v>0</v>
      </c>
      <c r="I122" s="52">
        <f t="shared" si="56"/>
        <v>0</v>
      </c>
      <c r="J122" s="53">
        <f t="shared" si="55"/>
        <v>0</v>
      </c>
      <c r="K122" s="49">
        <v>0</v>
      </c>
      <c r="L122" s="1" t="s">
        <v>126</v>
      </c>
    </row>
    <row r="123" spans="1:12" ht="13" customHeight="1" x14ac:dyDescent="0.2">
      <c r="A123" s="41"/>
      <c r="B123" s="7" t="s">
        <v>84</v>
      </c>
      <c r="C123" s="52">
        <f t="shared" si="56"/>
        <v>3</v>
      </c>
      <c r="D123" s="52">
        <f t="shared" si="56"/>
        <v>3</v>
      </c>
      <c r="E123" s="52">
        <f t="shared" si="56"/>
        <v>3</v>
      </c>
      <c r="F123" s="52">
        <f t="shared" si="56"/>
        <v>3</v>
      </c>
      <c r="G123" s="52">
        <f t="shared" si="56"/>
        <v>3</v>
      </c>
      <c r="H123" s="52">
        <f t="shared" si="56"/>
        <v>3</v>
      </c>
      <c r="I123" s="52">
        <f t="shared" si="56"/>
        <v>3</v>
      </c>
      <c r="J123" s="53">
        <f t="shared" si="55"/>
        <v>21</v>
      </c>
      <c r="K123" s="49">
        <v>21</v>
      </c>
      <c r="L123" s="1" t="s">
        <v>35</v>
      </c>
    </row>
    <row r="124" spans="1:12" ht="13" customHeight="1" x14ac:dyDescent="0.2">
      <c r="A124" s="41"/>
      <c r="B124" s="17" t="s">
        <v>123</v>
      </c>
      <c r="C124" s="52">
        <f t="shared" si="56"/>
        <v>1</v>
      </c>
      <c r="D124" s="52">
        <f t="shared" si="56"/>
        <v>1</v>
      </c>
      <c r="E124" s="52">
        <f t="shared" si="56"/>
        <v>1</v>
      </c>
      <c r="F124" s="52">
        <f t="shared" si="56"/>
        <v>1</v>
      </c>
      <c r="G124" s="52">
        <f t="shared" si="56"/>
        <v>1</v>
      </c>
      <c r="H124" s="52">
        <f t="shared" si="56"/>
        <v>1</v>
      </c>
      <c r="I124" s="52">
        <f t="shared" si="56"/>
        <v>1</v>
      </c>
      <c r="J124" s="53">
        <f>SUM(C124:I124)</f>
        <v>7</v>
      </c>
      <c r="K124" s="49">
        <v>7</v>
      </c>
      <c r="L124" s="1" t="s">
        <v>36</v>
      </c>
    </row>
    <row r="125" spans="1:12" ht="13" customHeight="1" x14ac:dyDescent="0.2">
      <c r="A125" s="41"/>
      <c r="B125" s="7" t="s">
        <v>85</v>
      </c>
      <c r="C125" s="52">
        <f t="shared" si="56"/>
        <v>1</v>
      </c>
      <c r="D125" s="52">
        <f t="shared" si="56"/>
        <v>1</v>
      </c>
      <c r="E125" s="52">
        <f t="shared" si="56"/>
        <v>1</v>
      </c>
      <c r="F125" s="52">
        <f t="shared" si="56"/>
        <v>1</v>
      </c>
      <c r="G125" s="52">
        <f t="shared" si="56"/>
        <v>1</v>
      </c>
      <c r="H125" s="52">
        <f t="shared" si="56"/>
        <v>1</v>
      </c>
      <c r="I125" s="52">
        <f t="shared" si="56"/>
        <v>1</v>
      </c>
      <c r="J125" s="53">
        <f t="shared" si="55"/>
        <v>7</v>
      </c>
      <c r="K125" s="49">
        <v>7</v>
      </c>
      <c r="L125" s="1" t="s">
        <v>36</v>
      </c>
    </row>
    <row r="126" spans="1:12" ht="13" customHeight="1" x14ac:dyDescent="0.2">
      <c r="A126" s="41"/>
      <c r="B126" s="8" t="s">
        <v>110</v>
      </c>
      <c r="C126" s="52">
        <f t="shared" si="56"/>
        <v>1</v>
      </c>
      <c r="D126" s="52">
        <f t="shared" si="56"/>
        <v>1</v>
      </c>
      <c r="E126" s="52">
        <f t="shared" si="56"/>
        <v>1</v>
      </c>
      <c r="F126" s="52">
        <f t="shared" si="56"/>
        <v>1</v>
      </c>
      <c r="G126" s="52">
        <f t="shared" si="56"/>
        <v>1</v>
      </c>
      <c r="H126" s="52">
        <f t="shared" si="56"/>
        <v>1</v>
      </c>
      <c r="I126" s="52">
        <f t="shared" si="56"/>
        <v>1</v>
      </c>
      <c r="J126" s="53">
        <f t="shared" si="55"/>
        <v>7</v>
      </c>
      <c r="K126" s="49">
        <v>7</v>
      </c>
      <c r="L126" s="1" t="s">
        <v>38</v>
      </c>
    </row>
    <row r="127" spans="1:12" ht="13" customHeight="1" x14ac:dyDescent="0.2">
      <c r="A127" s="41"/>
      <c r="B127" s="56" t="s">
        <v>86</v>
      </c>
      <c r="C127" s="52">
        <f t="shared" si="56"/>
        <v>0</v>
      </c>
      <c r="D127" s="52">
        <f t="shared" si="56"/>
        <v>0</v>
      </c>
      <c r="E127" s="52">
        <f t="shared" si="56"/>
        <v>0</v>
      </c>
      <c r="F127" s="52">
        <f t="shared" si="56"/>
        <v>0</v>
      </c>
      <c r="G127" s="52">
        <f t="shared" si="56"/>
        <v>0</v>
      </c>
      <c r="H127" s="52">
        <f t="shared" si="56"/>
        <v>0</v>
      </c>
      <c r="I127" s="52">
        <f t="shared" si="56"/>
        <v>0</v>
      </c>
      <c r="J127" s="53">
        <f t="shared" si="55"/>
        <v>0</v>
      </c>
      <c r="K127" s="49">
        <v>19</v>
      </c>
      <c r="L127" s="1" t="s">
        <v>32</v>
      </c>
    </row>
    <row r="128" spans="1:12" ht="13" customHeight="1" x14ac:dyDescent="0.2">
      <c r="A128" s="41"/>
      <c r="B128" s="56" t="s">
        <v>87</v>
      </c>
      <c r="C128" s="52">
        <f t="shared" si="56"/>
        <v>6</v>
      </c>
      <c r="D128" s="52">
        <f t="shared" si="56"/>
        <v>6</v>
      </c>
      <c r="E128" s="52">
        <f t="shared" si="56"/>
        <v>6</v>
      </c>
      <c r="F128" s="52">
        <f t="shared" si="56"/>
        <v>6</v>
      </c>
      <c r="G128" s="52">
        <f t="shared" si="56"/>
        <v>6</v>
      </c>
      <c r="H128" s="52">
        <f t="shared" si="56"/>
        <v>0</v>
      </c>
      <c r="I128" s="52">
        <f t="shared" si="56"/>
        <v>0</v>
      </c>
      <c r="J128" s="53">
        <f t="shared" si="55"/>
        <v>30</v>
      </c>
      <c r="K128" s="49">
        <v>20</v>
      </c>
      <c r="L128" s="1" t="s">
        <v>116</v>
      </c>
    </row>
    <row r="129" spans="1:12" ht="13" customHeight="1" x14ac:dyDescent="0.2">
      <c r="A129" s="41"/>
      <c r="B129" s="57" t="s">
        <v>88</v>
      </c>
      <c r="C129" s="52">
        <f t="shared" si="56"/>
        <v>0</v>
      </c>
      <c r="D129" s="52">
        <f t="shared" si="56"/>
        <v>0</v>
      </c>
      <c r="E129" s="52">
        <f t="shared" si="56"/>
        <v>0</v>
      </c>
      <c r="F129" s="52">
        <f t="shared" si="56"/>
        <v>0</v>
      </c>
      <c r="G129" s="52">
        <f t="shared" si="56"/>
        <v>0</v>
      </c>
      <c r="H129" s="52">
        <f t="shared" si="56"/>
        <v>0</v>
      </c>
      <c r="I129" s="52">
        <f t="shared" si="56"/>
        <v>0</v>
      </c>
      <c r="J129" s="53">
        <f t="shared" si="55"/>
        <v>0</v>
      </c>
      <c r="K129" s="49">
        <v>6</v>
      </c>
      <c r="L129" s="1" t="s">
        <v>36</v>
      </c>
    </row>
    <row r="130" spans="1:12" ht="13" customHeight="1" x14ac:dyDescent="0.2">
      <c r="A130" s="41"/>
      <c r="B130" s="58" t="s">
        <v>89</v>
      </c>
      <c r="C130" s="52">
        <f t="shared" ref="C130:I135" si="57">COUNTIF(C$6:C$107,$B130)</f>
        <v>1</v>
      </c>
      <c r="D130" s="52">
        <f t="shared" si="57"/>
        <v>1</v>
      </c>
      <c r="E130" s="52">
        <f t="shared" si="57"/>
        <v>1</v>
      </c>
      <c r="F130" s="52">
        <f t="shared" si="57"/>
        <v>1</v>
      </c>
      <c r="G130" s="52">
        <f t="shared" si="57"/>
        <v>1</v>
      </c>
      <c r="H130" s="52">
        <f t="shared" si="57"/>
        <v>0</v>
      </c>
      <c r="I130" s="52">
        <f t="shared" si="57"/>
        <v>0</v>
      </c>
      <c r="J130" s="53">
        <f t="shared" si="55"/>
        <v>5</v>
      </c>
      <c r="K130" s="49">
        <v>5</v>
      </c>
      <c r="L130" s="1" t="s">
        <v>37</v>
      </c>
    </row>
    <row r="131" spans="1:12" ht="13" customHeight="1" x14ac:dyDescent="0.2">
      <c r="A131" s="41"/>
      <c r="B131" s="9" t="s">
        <v>90</v>
      </c>
      <c r="C131" s="52">
        <f t="shared" si="57"/>
        <v>1</v>
      </c>
      <c r="D131" s="52">
        <f t="shared" si="57"/>
        <v>1</v>
      </c>
      <c r="E131" s="52">
        <f t="shared" si="57"/>
        <v>1</v>
      </c>
      <c r="F131" s="52">
        <f t="shared" si="57"/>
        <v>1</v>
      </c>
      <c r="G131" s="52">
        <f t="shared" si="57"/>
        <v>1</v>
      </c>
      <c r="H131" s="52">
        <f t="shared" si="57"/>
        <v>1</v>
      </c>
      <c r="I131" s="52">
        <f t="shared" si="57"/>
        <v>1</v>
      </c>
      <c r="J131" s="53">
        <f t="shared" si="55"/>
        <v>7</v>
      </c>
      <c r="K131" s="49">
        <v>7</v>
      </c>
      <c r="L131" s="1" t="s">
        <v>32</v>
      </c>
    </row>
    <row r="132" spans="1:12" ht="13" customHeight="1" x14ac:dyDescent="0.2">
      <c r="A132" s="41"/>
      <c r="B132" s="9" t="s">
        <v>91</v>
      </c>
      <c r="C132" s="52">
        <f t="shared" si="57"/>
        <v>1</v>
      </c>
      <c r="D132" s="52">
        <f t="shared" si="57"/>
        <v>1</v>
      </c>
      <c r="E132" s="52">
        <f t="shared" si="57"/>
        <v>1</v>
      </c>
      <c r="F132" s="52">
        <f t="shared" si="57"/>
        <v>1</v>
      </c>
      <c r="G132" s="52">
        <f t="shared" si="57"/>
        <v>1</v>
      </c>
      <c r="H132" s="52">
        <f t="shared" si="57"/>
        <v>1</v>
      </c>
      <c r="I132" s="52">
        <f t="shared" si="57"/>
        <v>1</v>
      </c>
      <c r="J132" s="53">
        <f t="shared" si="55"/>
        <v>7</v>
      </c>
      <c r="K132" s="49">
        <v>7</v>
      </c>
      <c r="L132" s="1" t="s">
        <v>32</v>
      </c>
    </row>
    <row r="133" spans="1:12" ht="13" customHeight="1" x14ac:dyDescent="0.2">
      <c r="A133" s="41"/>
      <c r="B133" s="9" t="s">
        <v>92</v>
      </c>
      <c r="C133" s="52">
        <f t="shared" si="57"/>
        <v>1</v>
      </c>
      <c r="D133" s="52">
        <f t="shared" si="57"/>
        <v>1</v>
      </c>
      <c r="E133" s="52">
        <f t="shared" si="57"/>
        <v>1</v>
      </c>
      <c r="F133" s="52">
        <f t="shared" si="57"/>
        <v>1</v>
      </c>
      <c r="G133" s="52">
        <f t="shared" si="57"/>
        <v>1</v>
      </c>
      <c r="H133" s="52">
        <f t="shared" si="57"/>
        <v>1</v>
      </c>
      <c r="I133" s="52">
        <f t="shared" si="57"/>
        <v>1</v>
      </c>
      <c r="J133" s="53">
        <f t="shared" si="55"/>
        <v>7</v>
      </c>
      <c r="K133" s="49">
        <v>7</v>
      </c>
      <c r="L133" s="1" t="s">
        <v>96</v>
      </c>
    </row>
    <row r="134" spans="1:12" ht="13" customHeight="1" x14ac:dyDescent="0.2">
      <c r="A134" s="41"/>
      <c r="B134" s="10" t="s">
        <v>31</v>
      </c>
      <c r="C134" s="52">
        <f t="shared" si="57"/>
        <v>1</v>
      </c>
      <c r="D134" s="52">
        <f t="shared" si="57"/>
        <v>1</v>
      </c>
      <c r="E134" s="52">
        <f t="shared" si="57"/>
        <v>1</v>
      </c>
      <c r="F134" s="52">
        <f t="shared" si="57"/>
        <v>1</v>
      </c>
      <c r="G134" s="52">
        <f t="shared" si="57"/>
        <v>1</v>
      </c>
      <c r="H134" s="52">
        <f t="shared" si="57"/>
        <v>1</v>
      </c>
      <c r="I134" s="52">
        <f t="shared" si="57"/>
        <v>1</v>
      </c>
      <c r="J134" s="53">
        <f t="shared" si="55"/>
        <v>7</v>
      </c>
      <c r="K134" s="49">
        <v>7</v>
      </c>
      <c r="L134" s="1" t="s">
        <v>32</v>
      </c>
    </row>
    <row r="135" spans="1:12" ht="13" customHeight="1" x14ac:dyDescent="0.2">
      <c r="A135" s="41"/>
      <c r="B135" s="11" t="s">
        <v>93</v>
      </c>
      <c r="C135" s="52">
        <f t="shared" si="57"/>
        <v>1</v>
      </c>
      <c r="D135" s="52">
        <f t="shared" si="57"/>
        <v>1</v>
      </c>
      <c r="E135" s="52">
        <f t="shared" si="57"/>
        <v>1</v>
      </c>
      <c r="F135" s="52">
        <f t="shared" si="57"/>
        <v>1</v>
      </c>
      <c r="G135" s="52">
        <f t="shared" si="57"/>
        <v>1</v>
      </c>
      <c r="H135" s="52">
        <f t="shared" si="57"/>
        <v>1</v>
      </c>
      <c r="I135" s="52">
        <f t="shared" si="57"/>
        <v>1</v>
      </c>
      <c r="J135" s="53">
        <f t="shared" si="55"/>
        <v>7</v>
      </c>
      <c r="K135" s="49">
        <v>7</v>
      </c>
      <c r="L135" s="1" t="s">
        <v>32</v>
      </c>
    </row>
    <row r="136" spans="1:12" ht="13" customHeight="1" x14ac:dyDescent="0.2">
      <c r="B136" s="19" t="s">
        <v>137</v>
      </c>
      <c r="C136" s="52">
        <f t="shared" ref="C136:I138" si="58">COUNTIF(C$6:C$115,Actions)</f>
        <v>1</v>
      </c>
      <c r="D136" s="52">
        <f t="shared" si="58"/>
        <v>1</v>
      </c>
      <c r="E136" s="52">
        <f t="shared" si="58"/>
        <v>1</v>
      </c>
      <c r="F136" s="52">
        <f t="shared" si="58"/>
        <v>1</v>
      </c>
      <c r="G136" s="52">
        <f t="shared" si="58"/>
        <v>1</v>
      </c>
      <c r="H136" s="52">
        <f t="shared" si="58"/>
        <v>1</v>
      </c>
      <c r="I136" s="52">
        <f t="shared" si="58"/>
        <v>1</v>
      </c>
      <c r="J136" s="53">
        <f t="shared" si="55"/>
        <v>7</v>
      </c>
      <c r="K136" s="59">
        <v>7</v>
      </c>
      <c r="L136" s="2" t="s">
        <v>32</v>
      </c>
    </row>
    <row r="137" spans="1:12" ht="13" customHeight="1" x14ac:dyDescent="0.2">
      <c r="B137" s="18" t="s">
        <v>139</v>
      </c>
      <c r="C137" s="52">
        <f t="shared" si="58"/>
        <v>1</v>
      </c>
      <c r="D137" s="52">
        <f t="shared" si="58"/>
        <v>1</v>
      </c>
      <c r="E137" s="52">
        <f t="shared" si="58"/>
        <v>1</v>
      </c>
      <c r="F137" s="52">
        <f t="shared" si="58"/>
        <v>1</v>
      </c>
      <c r="G137" s="52">
        <f t="shared" si="58"/>
        <v>1</v>
      </c>
      <c r="H137" s="52">
        <f t="shared" si="58"/>
        <v>1</v>
      </c>
      <c r="I137" s="52">
        <f t="shared" si="58"/>
        <v>1</v>
      </c>
      <c r="J137" s="53">
        <f t="shared" si="55"/>
        <v>7</v>
      </c>
      <c r="K137" s="60">
        <v>7</v>
      </c>
      <c r="L137" s="2" t="s">
        <v>140</v>
      </c>
    </row>
    <row r="138" spans="1:12" ht="13" customHeight="1" x14ac:dyDescent="0.2">
      <c r="B138" s="61" t="s">
        <v>153</v>
      </c>
      <c r="C138" s="52">
        <f t="shared" si="58"/>
        <v>1</v>
      </c>
      <c r="D138" s="52">
        <f t="shared" si="58"/>
        <v>1</v>
      </c>
      <c r="E138" s="52">
        <f t="shared" si="58"/>
        <v>1</v>
      </c>
      <c r="F138" s="52">
        <f t="shared" si="58"/>
        <v>1</v>
      </c>
      <c r="G138" s="52">
        <f t="shared" si="58"/>
        <v>1</v>
      </c>
      <c r="H138" s="52">
        <f t="shared" si="58"/>
        <v>1</v>
      </c>
      <c r="I138" s="52">
        <f t="shared" si="58"/>
        <v>1</v>
      </c>
      <c r="J138" s="53">
        <f t="shared" si="55"/>
        <v>7</v>
      </c>
      <c r="K138" s="62">
        <v>7</v>
      </c>
      <c r="L138" s="2" t="s">
        <v>141</v>
      </c>
    </row>
    <row r="139" spans="1:12" ht="13" customHeight="1" x14ac:dyDescent="0.2">
      <c r="A139" s="41"/>
      <c r="B139" s="12" t="s">
        <v>151</v>
      </c>
      <c r="C139" s="52">
        <f t="shared" ref="C139:I146" si="59">COUNTIF(C$6:C$107,$B139)</f>
        <v>0</v>
      </c>
      <c r="D139" s="52">
        <f t="shared" si="59"/>
        <v>0</v>
      </c>
      <c r="E139" s="52">
        <f t="shared" si="59"/>
        <v>0</v>
      </c>
      <c r="F139" s="52">
        <f t="shared" si="59"/>
        <v>0</v>
      </c>
      <c r="G139" s="52">
        <f t="shared" si="59"/>
        <v>0</v>
      </c>
      <c r="H139" s="52">
        <f t="shared" si="59"/>
        <v>1</v>
      </c>
      <c r="I139" s="52">
        <f t="shared" si="59"/>
        <v>1</v>
      </c>
      <c r="J139" s="53">
        <f t="shared" si="55"/>
        <v>2</v>
      </c>
      <c r="K139" s="59">
        <v>2</v>
      </c>
      <c r="L139" s="2" t="s">
        <v>33</v>
      </c>
    </row>
    <row r="140" spans="1:12" ht="13" customHeight="1" x14ac:dyDescent="0.2">
      <c r="A140" s="41"/>
      <c r="B140" s="12" t="s">
        <v>94</v>
      </c>
      <c r="C140" s="52">
        <f t="shared" si="59"/>
        <v>0</v>
      </c>
      <c r="D140" s="52">
        <f t="shared" si="59"/>
        <v>0</v>
      </c>
      <c r="E140" s="52">
        <f t="shared" si="59"/>
        <v>0</v>
      </c>
      <c r="F140" s="52">
        <f t="shared" si="59"/>
        <v>0</v>
      </c>
      <c r="G140" s="52">
        <f t="shared" si="59"/>
        <v>0</v>
      </c>
      <c r="H140" s="52">
        <f t="shared" si="59"/>
        <v>0</v>
      </c>
      <c r="I140" s="52">
        <f t="shared" si="59"/>
        <v>0</v>
      </c>
      <c r="J140" s="53">
        <f t="shared" si="55"/>
        <v>0</v>
      </c>
      <c r="K140" s="60">
        <v>1</v>
      </c>
      <c r="L140" s="2" t="s">
        <v>33</v>
      </c>
    </row>
    <row r="141" spans="1:12" ht="13" customHeight="1" x14ac:dyDescent="0.2">
      <c r="A141" s="41"/>
      <c r="B141" s="63" t="s">
        <v>152</v>
      </c>
      <c r="C141" s="52">
        <f t="shared" si="59"/>
        <v>1</v>
      </c>
      <c r="D141" s="52">
        <f t="shared" si="59"/>
        <v>1</v>
      </c>
      <c r="E141" s="52">
        <f t="shared" si="59"/>
        <v>1</v>
      </c>
      <c r="F141" s="52">
        <f t="shared" si="59"/>
        <v>1</v>
      </c>
      <c r="G141" s="52">
        <f t="shared" si="59"/>
        <v>1</v>
      </c>
      <c r="H141" s="52">
        <f t="shared" si="59"/>
        <v>0</v>
      </c>
      <c r="I141" s="52">
        <f t="shared" si="59"/>
        <v>0</v>
      </c>
      <c r="J141" s="53">
        <f t="shared" si="55"/>
        <v>5</v>
      </c>
      <c r="K141" s="62">
        <v>5</v>
      </c>
      <c r="L141" s="2" t="s">
        <v>33</v>
      </c>
    </row>
    <row r="142" spans="1:12" ht="13" customHeight="1" x14ac:dyDescent="0.2">
      <c r="A142" s="41"/>
      <c r="B142" s="64" t="s">
        <v>40</v>
      </c>
      <c r="C142" s="52">
        <f t="shared" si="59"/>
        <v>2</v>
      </c>
      <c r="D142" s="52">
        <f t="shared" si="59"/>
        <v>2</v>
      </c>
      <c r="E142" s="52">
        <f t="shared" si="59"/>
        <v>3</v>
      </c>
      <c r="F142" s="52">
        <f t="shared" si="59"/>
        <v>3</v>
      </c>
      <c r="G142" s="52">
        <f t="shared" si="59"/>
        <v>3</v>
      </c>
      <c r="H142" s="52">
        <f t="shared" si="59"/>
        <v>1</v>
      </c>
      <c r="I142" s="52">
        <f t="shared" si="59"/>
        <v>1</v>
      </c>
      <c r="J142" s="53">
        <f t="shared" si="55"/>
        <v>15</v>
      </c>
      <c r="K142" s="65">
        <v>7</v>
      </c>
      <c r="L142" s="13"/>
    </row>
    <row r="143" spans="1:12" ht="13" customHeight="1" x14ac:dyDescent="0.2">
      <c r="A143" s="41"/>
      <c r="B143" s="64" t="s">
        <v>41</v>
      </c>
      <c r="C143" s="52">
        <f t="shared" si="59"/>
        <v>0</v>
      </c>
      <c r="D143" s="52">
        <f t="shared" si="59"/>
        <v>0</v>
      </c>
      <c r="E143" s="52">
        <f t="shared" si="59"/>
        <v>0</v>
      </c>
      <c r="F143" s="52">
        <f t="shared" si="59"/>
        <v>0</v>
      </c>
      <c r="G143" s="52">
        <f t="shared" si="59"/>
        <v>0</v>
      </c>
      <c r="H143" s="52">
        <f t="shared" si="59"/>
        <v>0</v>
      </c>
      <c r="I143" s="52">
        <f t="shared" si="59"/>
        <v>0</v>
      </c>
      <c r="J143" s="53">
        <f t="shared" si="55"/>
        <v>0</v>
      </c>
      <c r="K143" s="65">
        <v>0</v>
      </c>
      <c r="L143" s="13"/>
    </row>
    <row r="144" spans="1:12" ht="13" customHeight="1" x14ac:dyDescent="0.2">
      <c r="A144" s="41"/>
      <c r="B144" s="66" t="s">
        <v>95</v>
      </c>
      <c r="C144" s="52">
        <f t="shared" si="59"/>
        <v>2</v>
      </c>
      <c r="D144" s="52">
        <f t="shared" si="59"/>
        <v>2</v>
      </c>
      <c r="E144" s="52">
        <f t="shared" si="59"/>
        <v>2</v>
      </c>
      <c r="F144" s="52">
        <f t="shared" si="59"/>
        <v>1</v>
      </c>
      <c r="G144" s="52">
        <f t="shared" si="59"/>
        <v>2</v>
      </c>
      <c r="H144" s="52">
        <f t="shared" si="59"/>
        <v>18</v>
      </c>
      <c r="I144" s="52">
        <f t="shared" si="59"/>
        <v>22</v>
      </c>
      <c r="J144" s="53">
        <f t="shared" si="55"/>
        <v>49</v>
      </c>
      <c r="K144" s="65">
        <v>25</v>
      </c>
      <c r="L144" s="13"/>
    </row>
    <row r="145" spans="1:12" ht="13" customHeight="1" x14ac:dyDescent="0.2">
      <c r="A145" s="41"/>
      <c r="B145" s="67" t="s">
        <v>99</v>
      </c>
      <c r="C145" s="52">
        <f t="shared" si="59"/>
        <v>3</v>
      </c>
      <c r="D145" s="52">
        <f t="shared" si="59"/>
        <v>2</v>
      </c>
      <c r="E145" s="52">
        <f t="shared" si="59"/>
        <v>2</v>
      </c>
      <c r="F145" s="52">
        <f t="shared" si="59"/>
        <v>2</v>
      </c>
      <c r="G145" s="52">
        <f t="shared" si="59"/>
        <v>2</v>
      </c>
      <c r="H145" s="52">
        <f t="shared" si="59"/>
        <v>0</v>
      </c>
      <c r="I145" s="52">
        <f t="shared" si="59"/>
        <v>0</v>
      </c>
      <c r="J145" s="53">
        <f t="shared" si="55"/>
        <v>11</v>
      </c>
      <c r="K145" s="65">
        <v>0</v>
      </c>
      <c r="L145" s="13"/>
    </row>
    <row r="146" spans="1:12" ht="13" customHeight="1" x14ac:dyDescent="0.2">
      <c r="A146" s="41"/>
      <c r="B146" s="67" t="s">
        <v>100</v>
      </c>
      <c r="C146" s="52">
        <f t="shared" si="59"/>
        <v>0</v>
      </c>
      <c r="D146" s="52">
        <f t="shared" si="59"/>
        <v>0</v>
      </c>
      <c r="E146" s="52">
        <f t="shared" si="59"/>
        <v>0</v>
      </c>
      <c r="F146" s="52">
        <f t="shared" si="59"/>
        <v>0</v>
      </c>
      <c r="G146" s="52">
        <f t="shared" si="59"/>
        <v>0</v>
      </c>
      <c r="H146" s="52">
        <f t="shared" si="59"/>
        <v>0</v>
      </c>
      <c r="I146" s="52">
        <f t="shared" si="59"/>
        <v>0</v>
      </c>
      <c r="J146" s="53">
        <f t="shared" si="55"/>
        <v>0</v>
      </c>
      <c r="K146" s="65">
        <v>0</v>
      </c>
      <c r="L146" s="13" t="s">
        <v>101</v>
      </c>
    </row>
    <row r="147" spans="1:12" ht="13" customHeight="1" x14ac:dyDescent="0.2">
      <c r="A147" s="41"/>
      <c r="B147" s="68"/>
      <c r="C147" s="69">
        <f t="shared" ref="C147:I147" si="60">SUM(C110:C141)-SUM(C127:C130)-C110</f>
        <v>25</v>
      </c>
      <c r="D147" s="69">
        <f t="shared" si="60"/>
        <v>24</v>
      </c>
      <c r="E147" s="69">
        <f t="shared" si="60"/>
        <v>24</v>
      </c>
      <c r="F147" s="69">
        <f t="shared" si="60"/>
        <v>25</v>
      </c>
      <c r="G147" s="69">
        <f t="shared" si="60"/>
        <v>25</v>
      </c>
      <c r="H147" s="69">
        <f t="shared" si="60"/>
        <v>25</v>
      </c>
      <c r="I147" s="69">
        <f t="shared" si="60"/>
        <v>24</v>
      </c>
      <c r="J147" s="69">
        <f>SUM(J110:J141)</f>
        <v>207</v>
      </c>
    </row>
    <row r="149" spans="1:12" x14ac:dyDescent="0.2">
      <c r="C149" s="38"/>
    </row>
  </sheetData>
  <mergeCells count="104"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52:B53"/>
    <mergeCell ref="J52:J53"/>
    <mergeCell ref="B54:B55"/>
    <mergeCell ref="J54:J55"/>
    <mergeCell ref="B56:B57"/>
    <mergeCell ref="J56:J57"/>
    <mergeCell ref="B68:B69"/>
    <mergeCell ref="J68:J69"/>
    <mergeCell ref="B46:B47"/>
    <mergeCell ref="J46:J47"/>
    <mergeCell ref="B48:B49"/>
    <mergeCell ref="J48:J49"/>
    <mergeCell ref="B50:B51"/>
    <mergeCell ref="J50:J51"/>
    <mergeCell ref="B88:B89"/>
    <mergeCell ref="J88:J89"/>
    <mergeCell ref="B82:B83"/>
    <mergeCell ref="J82:J83"/>
    <mergeCell ref="B76:B77"/>
    <mergeCell ref="J76:J77"/>
    <mergeCell ref="B58:B59"/>
    <mergeCell ref="J58:J59"/>
    <mergeCell ref="B60:B61"/>
    <mergeCell ref="J60:J61"/>
    <mergeCell ref="B62:B63"/>
    <mergeCell ref="J62:J63"/>
    <mergeCell ref="B70:B71"/>
    <mergeCell ref="J70:J71"/>
    <mergeCell ref="B64:B65"/>
    <mergeCell ref="J64:J65"/>
    <mergeCell ref="B66:B67"/>
    <mergeCell ref="J66:J67"/>
    <mergeCell ref="B78:B79"/>
    <mergeCell ref="J78:J79"/>
    <mergeCell ref="B80:B81"/>
    <mergeCell ref="J80:J81"/>
    <mergeCell ref="B72:B73"/>
    <mergeCell ref="J72:J73"/>
    <mergeCell ref="B90:B91"/>
    <mergeCell ref="J90:J91"/>
    <mergeCell ref="B74:B75"/>
    <mergeCell ref="J74:J75"/>
    <mergeCell ref="B84:B85"/>
    <mergeCell ref="J84:J85"/>
    <mergeCell ref="B106:B107"/>
    <mergeCell ref="J106:J107"/>
    <mergeCell ref="B98:B99"/>
    <mergeCell ref="J98:J99"/>
    <mergeCell ref="B102:B103"/>
    <mergeCell ref="J102:J103"/>
    <mergeCell ref="B104:B105"/>
    <mergeCell ref="J104:J105"/>
    <mergeCell ref="B92:B93"/>
    <mergeCell ref="J92:J93"/>
    <mergeCell ref="B94:B95"/>
    <mergeCell ref="J94:J95"/>
    <mergeCell ref="B96:B97"/>
    <mergeCell ref="J96:J97"/>
    <mergeCell ref="B100:B101"/>
    <mergeCell ref="J100:J101"/>
    <mergeCell ref="B86:B87"/>
    <mergeCell ref="J86:J87"/>
  </mergeCells>
  <conditionalFormatting sqref="C147:I147">
    <cfRule type="cellIs" dxfId="3073" priority="1279" operator="lessThan">
      <formula>22</formula>
    </cfRule>
  </conditionalFormatting>
  <conditionalFormatting sqref="J117:J118 J120:J123 J125:J135 J110:J115">
    <cfRule type="cellIs" dxfId="3072" priority="1278" operator="notEqual">
      <formula>$K110</formula>
    </cfRule>
  </conditionalFormatting>
  <conditionalFormatting sqref="J139">
    <cfRule type="expression" dxfId="3071" priority="1277">
      <formula>$J$139+$J$140&lt;$K$139</formula>
    </cfRule>
  </conditionalFormatting>
  <conditionalFormatting sqref="J140">
    <cfRule type="expression" dxfId="3070" priority="1276">
      <formula>$J$139+$J$140&lt;$K$139</formula>
    </cfRule>
  </conditionalFormatting>
  <conditionalFormatting sqref="J142:J146">
    <cfRule type="cellIs" dxfId="3069" priority="1275" operator="notEqual">
      <formula>$K142</formula>
    </cfRule>
  </conditionalFormatting>
  <conditionalFormatting sqref="C91:I91">
    <cfRule type="expression" dxfId="3068" priority="1274">
      <formula>C91=$B$116</formula>
    </cfRule>
  </conditionalFormatting>
  <conditionalFormatting sqref="J116">
    <cfRule type="cellIs" dxfId="3067" priority="1273" operator="notEqual">
      <formula>$K116</formula>
    </cfRule>
  </conditionalFormatting>
  <conditionalFormatting sqref="C77:I77">
    <cfRule type="expression" dxfId="3066" priority="1271">
      <formula>C77=$B$116</formula>
    </cfRule>
  </conditionalFormatting>
  <conditionalFormatting sqref="C77:I77">
    <cfRule type="expression" dxfId="3065" priority="1272">
      <formula>C77=$B$111</formula>
    </cfRule>
  </conditionalFormatting>
  <conditionalFormatting sqref="J119">
    <cfRule type="cellIs" dxfId="3064" priority="1270" operator="notEqual">
      <formula>$K119</formula>
    </cfRule>
  </conditionalFormatting>
  <conditionalFormatting sqref="J124">
    <cfRule type="cellIs" dxfId="3063" priority="1269" operator="notEqual">
      <formula>$K124</formula>
    </cfRule>
  </conditionalFormatting>
  <conditionalFormatting sqref="H50">
    <cfRule type="expression" dxfId="3062" priority="1267">
      <formula>H50=$B$116</formula>
    </cfRule>
  </conditionalFormatting>
  <conditionalFormatting sqref="H50">
    <cfRule type="expression" dxfId="3061" priority="1268">
      <formula>H50=$B$111</formula>
    </cfRule>
  </conditionalFormatting>
  <conditionalFormatting sqref="C106:I107 C86:I87 C89:I91 C88:G88 C92:F92 C38 C58:F58 C50:I57 C66:I69 C96:I101 C59:I64 C48 G48:I48 C71:I83 C39:I47 E38:I38 C6:I37">
    <cfRule type="expression" dxfId="3060" priority="1281">
      <formula>C6=$B$130</formula>
    </cfRule>
    <cfRule type="expression" dxfId="3059" priority="1282">
      <formula>C6=$B$128</formula>
    </cfRule>
    <cfRule type="expression" dxfId="3058" priority="1283">
      <formula>C6=$B$124</formula>
    </cfRule>
    <cfRule type="expression" dxfId="3057" priority="1284">
      <formula>C6=$B$119</formula>
    </cfRule>
    <cfRule type="expression" dxfId="3056" priority="1285">
      <formula>C6=$B$116</formula>
    </cfRule>
    <cfRule type="expression" dxfId="3055" priority="1286">
      <formula>C6=$B$113</formula>
    </cfRule>
    <cfRule type="expression" dxfId="3054" priority="1287">
      <formula>C6=$B$116</formula>
    </cfRule>
    <cfRule type="expression" dxfId="3053" priority="1288">
      <formula>C6=$B$146</formula>
    </cfRule>
    <cfRule type="expression" dxfId="3052" priority="1289">
      <formula>C6=$B$118</formula>
    </cfRule>
    <cfRule type="expression" dxfId="3051" priority="1290">
      <formula>C6=$B$146</formula>
    </cfRule>
    <cfRule type="expression" dxfId="3050" priority="1291">
      <formula>C6=$B$145</formula>
    </cfRule>
    <cfRule type="expression" dxfId="3049" priority="1292">
      <formula>C6=$B$144</formula>
    </cfRule>
    <cfRule type="expression" dxfId="3048" priority="1293">
      <formula>C6=$B$143</formula>
    </cfRule>
    <cfRule type="expression" dxfId="3047" priority="1294">
      <formula>C6=$B$142</formula>
    </cfRule>
    <cfRule type="expression" dxfId="3046" priority="1295">
      <formula>C6=$B$141</formula>
    </cfRule>
    <cfRule type="expression" dxfId="3045" priority="1296">
      <formula>C6=$B$140</formula>
    </cfRule>
    <cfRule type="expression" dxfId="3044" priority="1297">
      <formula>C6=$B$139</formula>
    </cfRule>
    <cfRule type="expression" dxfId="3043" priority="1298">
      <formula>C6=$B$135</formula>
    </cfRule>
    <cfRule type="expression" dxfId="3042" priority="1299">
      <formula>C6=$B$134</formula>
    </cfRule>
    <cfRule type="expression" dxfId="3041" priority="1300">
      <formula>C6=$B$133</formula>
    </cfRule>
    <cfRule type="expression" dxfId="3040" priority="1301">
      <formula>C6=$B$132</formula>
    </cfRule>
    <cfRule type="expression" dxfId="3039" priority="1302">
      <formula>C6=$B$131</formula>
    </cfRule>
    <cfRule type="expression" dxfId="3038" priority="1303" stopIfTrue="1">
      <formula>C6=$B$130</formula>
    </cfRule>
    <cfRule type="expression" dxfId="3037" priority="1304">
      <formula>C6=$B$129</formula>
    </cfRule>
    <cfRule type="expression" dxfId="3036" priority="1305" stopIfTrue="1">
      <formula>C6=$B$128</formula>
    </cfRule>
    <cfRule type="expression" dxfId="3035" priority="1306">
      <formula>C6=$B$127</formula>
    </cfRule>
    <cfRule type="expression" dxfId="3034" priority="1307">
      <formula>C6=$B$126</formula>
    </cfRule>
    <cfRule type="expression" dxfId="3033" priority="1308">
      <formula>C6=$B$125</formula>
    </cfRule>
    <cfRule type="expression" dxfId="3032" priority="1309" stopIfTrue="1">
      <formula>C6=$B$123</formula>
    </cfRule>
    <cfRule type="expression" dxfId="3031" priority="1310" stopIfTrue="1">
      <formula>C6=$B$122</formula>
    </cfRule>
    <cfRule type="expression" dxfId="3030" priority="1311" stopIfTrue="1">
      <formula>C6=$B$121</formula>
    </cfRule>
    <cfRule type="expression" dxfId="3029" priority="1312">
      <formula>C6=$B$120</formula>
    </cfRule>
    <cfRule type="expression" dxfId="3028" priority="1313">
      <formula>C6=$B$117</formula>
    </cfRule>
    <cfRule type="expression" dxfId="3027" priority="1314" stopIfTrue="1">
      <formula>C6=$B$115</formula>
    </cfRule>
    <cfRule type="expression" dxfId="3026" priority="1315">
      <formula>C6=$B$114</formula>
    </cfRule>
    <cfRule type="expression" dxfId="3025" priority="1316">
      <formula>C6=$B$113</formula>
    </cfRule>
    <cfRule type="expression" dxfId="3024" priority="1317">
      <formula>C6=$B$112</formula>
    </cfRule>
    <cfRule type="expression" dxfId="3023" priority="1318">
      <formula>C6=$B$110</formula>
    </cfRule>
    <cfRule type="expression" dxfId="3022" priority="1319" stopIfTrue="1">
      <formula>C6=$B$111</formula>
    </cfRule>
    <cfRule type="expression" dxfId="3021" priority="1320" stopIfTrue="1">
      <formula>C$5=TODAY()</formula>
    </cfRule>
  </conditionalFormatting>
  <conditionalFormatting sqref="J141">
    <cfRule type="cellIs" dxfId="3020" priority="1264" operator="notEqual">
      <formula>$K141</formula>
    </cfRule>
  </conditionalFormatting>
  <conditionalFormatting sqref="C84:I85 C48:I49 C93:I95 H88:I88 H30:I30 H42:I42 C38:D38 G58:I58 H66:I66 C149 C70:I70 C102:I105 H86 C86 C64:I65 E96:I96 G92:I92 C22:I22 C34:I34 C44:F44 I24 I20">
    <cfRule type="expression" dxfId="3019" priority="1223">
      <formula>C20=$B$145</formula>
    </cfRule>
    <cfRule type="expression" dxfId="3018" priority="1224">
      <formula>C20=$B$130</formula>
    </cfRule>
    <cfRule type="expression" dxfId="3017" priority="1225">
      <formula>C20=$B$128</formula>
    </cfRule>
    <cfRule type="expression" dxfId="3016" priority="1226">
      <formula>C20=$B$124</formula>
    </cfRule>
    <cfRule type="expression" dxfId="3015" priority="1227">
      <formula>C20=$B$119</formula>
    </cfRule>
    <cfRule type="expression" dxfId="3014" priority="1228">
      <formula>C20=$B$116</formula>
    </cfRule>
    <cfRule type="expression" dxfId="3013" priority="1229">
      <formula>C20=$B$113</formula>
    </cfRule>
    <cfRule type="expression" dxfId="3012" priority="1230">
      <formula>C20=$B$116</formula>
    </cfRule>
    <cfRule type="expression" dxfId="3011" priority="1231">
      <formula>C20=$B$146</formula>
    </cfRule>
    <cfRule type="expression" dxfId="3010" priority="1232">
      <formula>C20=$B$118</formula>
    </cfRule>
    <cfRule type="expression" dxfId="3009" priority="1233">
      <formula>C20=$B$146</formula>
    </cfRule>
    <cfRule type="expression" dxfId="3008" priority="1234">
      <formula>C20=$B$145</formula>
    </cfRule>
    <cfRule type="expression" dxfId="3007" priority="1235">
      <formula>C20=$B$144</formula>
    </cfRule>
    <cfRule type="expression" dxfId="3006" priority="1236">
      <formula>C20=$B$143</formula>
    </cfRule>
    <cfRule type="expression" dxfId="3005" priority="1237">
      <formula>C20=$B$142</formula>
    </cfRule>
    <cfRule type="expression" dxfId="3004" priority="1238">
      <formula>C20=$B$141</formula>
    </cfRule>
    <cfRule type="expression" dxfId="3003" priority="1239">
      <formula>C20=$B$140</formula>
    </cfRule>
    <cfRule type="expression" dxfId="3002" priority="1240">
      <formula>C20=$B$139</formula>
    </cfRule>
    <cfRule type="expression" dxfId="3001" priority="1241">
      <formula>C20=$B$135</formula>
    </cfRule>
    <cfRule type="expression" dxfId="3000" priority="1242">
      <formula>C20=$B$134</formula>
    </cfRule>
    <cfRule type="expression" dxfId="2999" priority="1243">
      <formula>C20=$B$133</formula>
    </cfRule>
    <cfRule type="expression" dxfId="2998" priority="1244">
      <formula>C20=$B$132</formula>
    </cfRule>
    <cfRule type="expression" dxfId="2997" priority="1245">
      <formula>C20=$B$131</formula>
    </cfRule>
    <cfRule type="expression" dxfId="2996" priority="1246" stopIfTrue="1">
      <formula>C20=$B$130</formula>
    </cfRule>
    <cfRule type="expression" dxfId="2995" priority="1247">
      <formula>C20=$B$129</formula>
    </cfRule>
    <cfRule type="expression" dxfId="2994" priority="1248" stopIfTrue="1">
      <formula>C20=$B$128</formula>
    </cfRule>
    <cfRule type="expression" dxfId="2993" priority="1249">
      <formula>C20=$B$127</formula>
    </cfRule>
    <cfRule type="expression" dxfId="2992" priority="1250">
      <formula>C20=$B$126</formula>
    </cfRule>
    <cfRule type="expression" dxfId="2991" priority="1251">
      <formula>C20=$B$125</formula>
    </cfRule>
    <cfRule type="expression" dxfId="2990" priority="1252" stopIfTrue="1">
      <formula>C20=$B$123</formula>
    </cfRule>
    <cfRule type="expression" dxfId="2989" priority="1253" stopIfTrue="1">
      <formula>C20=$B$122</formula>
    </cfRule>
    <cfRule type="expression" dxfId="2988" priority="1254" stopIfTrue="1">
      <formula>C20=$B$121</formula>
    </cfRule>
    <cfRule type="expression" dxfId="2987" priority="1255">
      <formula>C20=$B$120</formula>
    </cfRule>
    <cfRule type="expression" dxfId="2986" priority="1256">
      <formula>C20=$B$117</formula>
    </cfRule>
    <cfRule type="expression" dxfId="2985" priority="1257" stopIfTrue="1">
      <formula>C20=$B$115</formula>
    </cfRule>
    <cfRule type="expression" dxfId="2984" priority="1258">
      <formula>C20=$B$114</formula>
    </cfRule>
    <cfRule type="expression" dxfId="2983" priority="1259">
      <formula>C20=$B$113</formula>
    </cfRule>
    <cfRule type="expression" dxfId="2982" priority="1260">
      <formula>C20=$B$112</formula>
    </cfRule>
    <cfRule type="expression" dxfId="2981" priority="1261">
      <formula>C20=$B$110</formula>
    </cfRule>
    <cfRule type="expression" dxfId="2980" priority="1262" stopIfTrue="1">
      <formula>C20=$B$111</formula>
    </cfRule>
    <cfRule type="expression" dxfId="2979" priority="1263" stopIfTrue="1">
      <formula>C$5=TODAY()</formula>
    </cfRule>
  </conditionalFormatting>
  <conditionalFormatting sqref="H48">
    <cfRule type="expression" dxfId="2978" priority="1221">
      <formula>H48=$B$116</formula>
    </cfRule>
  </conditionalFormatting>
  <conditionalFormatting sqref="H48">
    <cfRule type="expression" dxfId="2977" priority="1222">
      <formula>H48=$B$111</formula>
    </cfRule>
  </conditionalFormatting>
  <conditionalFormatting sqref="H84">
    <cfRule type="expression" dxfId="2976" priority="1219">
      <formula>H84=$B$116</formula>
    </cfRule>
  </conditionalFormatting>
  <conditionalFormatting sqref="H84">
    <cfRule type="expression" dxfId="2975" priority="1220">
      <formula>H84=$B$111</formula>
    </cfRule>
  </conditionalFormatting>
  <conditionalFormatting sqref="H94">
    <cfRule type="expression" dxfId="2974" priority="1217">
      <formula>H94=$B$116</formula>
    </cfRule>
  </conditionalFormatting>
  <conditionalFormatting sqref="H94">
    <cfRule type="expression" dxfId="2973" priority="1218">
      <formula>H94=$B$111</formula>
    </cfRule>
  </conditionalFormatting>
  <conditionalFormatting sqref="C76 C106:I107 C89:I91 C88:G88 C38 C86:I87 E76:I76 C50:I57 C66:I69 C77:I83 C96:I101 C59:I63 I46 I48 F44:H44 C44 C46 C48 G48 C71:I75 C37:I37 D36:I36 C6:I35">
    <cfRule type="expression" dxfId="2972" priority="1280">
      <formula>C6=$B$145</formula>
    </cfRule>
  </conditionalFormatting>
  <conditionalFormatting sqref="D46:I46 C47:I57 C59:I69 C43:I43 C42:F42 H42:I42 C45:I45 C39:I41 C38:D38 F38:I38 C37:I37 D36:I36 C94:I105 G92:I92 C71:I91 C44:H44 C6:I35">
    <cfRule type="expression" dxfId="2971" priority="1214">
      <formula>C6=$B$137</formula>
    </cfRule>
    <cfRule type="expression" dxfId="2970" priority="1215">
      <formula>C6=$B$138</formula>
    </cfRule>
    <cfRule type="expression" dxfId="2969" priority="1216">
      <formula>C6=$B$136</formula>
    </cfRule>
  </conditionalFormatting>
  <conditionalFormatting sqref="H92">
    <cfRule type="expression" dxfId="2968" priority="1212">
      <formula>H92=$B$116</formula>
    </cfRule>
  </conditionalFormatting>
  <conditionalFormatting sqref="H92">
    <cfRule type="expression" dxfId="2967" priority="1213">
      <formula>H92=$B$111</formula>
    </cfRule>
  </conditionalFormatting>
  <conditionalFormatting sqref="C93:I93">
    <cfRule type="expression" dxfId="2966" priority="1209">
      <formula>C93=$B$137</formula>
    </cfRule>
    <cfRule type="expression" dxfId="2965" priority="1210">
      <formula>C93=$B$138</formula>
    </cfRule>
    <cfRule type="expression" dxfId="2964" priority="1211">
      <formula>C93=$B$136</formula>
    </cfRule>
  </conditionalFormatting>
  <conditionalFormatting sqref="C92:F92">
    <cfRule type="expression" dxfId="2963" priority="1208">
      <formula>C92=$B$145</formula>
    </cfRule>
  </conditionalFormatting>
  <conditionalFormatting sqref="C92:F92">
    <cfRule type="expression" dxfId="2962" priority="1205">
      <formula>C92=$B$137</formula>
    </cfRule>
    <cfRule type="expression" dxfId="2961" priority="1206">
      <formula>C92=$B$138</formula>
    </cfRule>
    <cfRule type="expression" dxfId="2960" priority="1207">
      <formula>C92=$B$136</formula>
    </cfRule>
  </conditionalFormatting>
  <conditionalFormatting sqref="J138">
    <cfRule type="cellIs" dxfId="2959" priority="1204" operator="notEqual">
      <formula>$K138</formula>
    </cfRule>
  </conditionalFormatting>
  <conditionalFormatting sqref="G58:I58">
    <cfRule type="expression" dxfId="2958" priority="1201">
      <formula>G58=$B$137</formula>
    </cfRule>
    <cfRule type="expression" dxfId="2957" priority="1202">
      <formula>G58=$B$138</formula>
    </cfRule>
    <cfRule type="expression" dxfId="2956" priority="1203">
      <formula>G58=$B$136</formula>
    </cfRule>
  </conditionalFormatting>
  <conditionalFormatting sqref="H58">
    <cfRule type="expression" dxfId="2955" priority="1199">
      <formula>H58=$B$116</formula>
    </cfRule>
  </conditionalFormatting>
  <conditionalFormatting sqref="H58">
    <cfRule type="expression" dxfId="2954" priority="1200">
      <formula>H58=$B$111</formula>
    </cfRule>
  </conditionalFormatting>
  <conditionalFormatting sqref="C58:F58">
    <cfRule type="expression" dxfId="2953" priority="1198">
      <formula>C58=$B$145</formula>
    </cfRule>
  </conditionalFormatting>
  <conditionalFormatting sqref="C58:F58">
    <cfRule type="expression" dxfId="2952" priority="1195">
      <formula>C58=$B$137</formula>
    </cfRule>
    <cfRule type="expression" dxfId="2951" priority="1196">
      <formula>C58=$B$138</formula>
    </cfRule>
    <cfRule type="expression" dxfId="2950" priority="1197">
      <formula>C58=$B$136</formula>
    </cfRule>
  </conditionalFormatting>
  <conditionalFormatting sqref="J136">
    <cfRule type="cellIs" dxfId="2949" priority="1194" operator="notEqual">
      <formula>$K136</formula>
    </cfRule>
  </conditionalFormatting>
  <conditionalFormatting sqref="A6:A106">
    <cfRule type="cellIs" dxfId="2948" priority="1192" operator="lessThan">
      <formula>5</formula>
    </cfRule>
    <cfRule type="cellIs" dxfId="2947" priority="1193" operator="greaterThanOrEqual">
      <formula>5</formula>
    </cfRule>
  </conditionalFormatting>
  <conditionalFormatting sqref="J137">
    <cfRule type="cellIs" dxfId="2946" priority="1191" operator="notEqual">
      <formula>$K137</formula>
    </cfRule>
  </conditionalFormatting>
  <conditionalFormatting sqref="H42:I42">
    <cfRule type="expression" dxfId="2945" priority="1150">
      <formula>H42=$B$145</formula>
    </cfRule>
  </conditionalFormatting>
  <conditionalFormatting sqref="I46">
    <cfRule type="expression" dxfId="2944" priority="1149">
      <formula>I46=$B$145</formula>
    </cfRule>
  </conditionalFormatting>
  <conditionalFormatting sqref="C100:I100">
    <cfRule type="expression" dxfId="2943" priority="1107">
      <formula>C100=$B$145</formula>
    </cfRule>
  </conditionalFormatting>
  <conditionalFormatting sqref="C100:I100">
    <cfRule type="expression" dxfId="2942" priority="1104">
      <formula>C100=$B$137</formula>
    </cfRule>
    <cfRule type="expression" dxfId="2941" priority="1105">
      <formula>C100=$B$138</formula>
    </cfRule>
    <cfRule type="expression" dxfId="2940" priority="1106">
      <formula>C100=$B$136</formula>
    </cfRule>
  </conditionalFormatting>
  <conditionalFormatting sqref="C46">
    <cfRule type="expression" dxfId="2939" priority="1063">
      <formula>C46=$B$145</formula>
    </cfRule>
  </conditionalFormatting>
  <conditionalFormatting sqref="C46">
    <cfRule type="expression" dxfId="2938" priority="1060">
      <formula>C46=$B$137</formula>
    </cfRule>
    <cfRule type="expression" dxfId="2937" priority="1061">
      <formula>C46=$B$138</formula>
    </cfRule>
    <cfRule type="expression" dxfId="2936" priority="1062">
      <formula>C46=$B$136</formula>
    </cfRule>
  </conditionalFormatting>
  <conditionalFormatting sqref="C74">
    <cfRule type="expression" dxfId="2935" priority="1059">
      <formula>C74=$B$145</formula>
    </cfRule>
  </conditionalFormatting>
  <conditionalFormatting sqref="C74">
    <cfRule type="expression" dxfId="2934" priority="1056">
      <formula>C74=$B$137</formula>
    </cfRule>
    <cfRule type="expression" dxfId="2933" priority="1057">
      <formula>C74=$B$138</formula>
    </cfRule>
    <cfRule type="expression" dxfId="2932" priority="1058">
      <formula>C74=$B$136</formula>
    </cfRule>
  </conditionalFormatting>
  <conditionalFormatting sqref="C149">
    <cfRule type="expression" dxfId="2931" priority="971">
      <formula>C149=$B$137</formula>
    </cfRule>
    <cfRule type="expression" dxfId="2930" priority="972">
      <formula>C149=$B$138</formula>
    </cfRule>
    <cfRule type="expression" dxfId="2929" priority="973">
      <formula>C149=$B$136</formula>
    </cfRule>
  </conditionalFormatting>
  <conditionalFormatting sqref="C64:I64">
    <cfRule type="expression" dxfId="2928" priority="930">
      <formula>C64=$B$145</formula>
    </cfRule>
  </conditionalFormatting>
  <conditionalFormatting sqref="C70:I70">
    <cfRule type="expression" dxfId="2927" priority="886">
      <formula>C70=$B$137</formula>
    </cfRule>
    <cfRule type="expression" dxfId="2926" priority="887">
      <formula>C70=$B$138</formula>
    </cfRule>
    <cfRule type="expression" dxfId="2925" priority="888">
      <formula>C70=$B$136</formula>
    </cfRule>
  </conditionalFormatting>
  <conditionalFormatting sqref="G46">
    <cfRule type="expression" dxfId="2924" priority="885">
      <formula>G46=$B$145</formula>
    </cfRule>
  </conditionalFormatting>
  <conditionalFormatting sqref="C46">
    <cfRule type="expression" dxfId="2923" priority="882">
      <formula>C46=$B$137</formula>
    </cfRule>
    <cfRule type="expression" dxfId="2922" priority="883">
      <formula>C46=$B$138</formula>
    </cfRule>
    <cfRule type="expression" dxfId="2921" priority="884">
      <formula>C46=$B$136</formula>
    </cfRule>
  </conditionalFormatting>
  <conditionalFormatting sqref="D42">
    <cfRule type="expression" dxfId="2920" priority="801">
      <formula>D42=$B$145</formula>
    </cfRule>
  </conditionalFormatting>
  <conditionalFormatting sqref="C58:E58">
    <cfRule type="expression" dxfId="2919" priority="800">
      <formula>C58=$B$145</formula>
    </cfRule>
  </conditionalFormatting>
  <conditionalFormatting sqref="C58:E58">
    <cfRule type="expression" dxfId="2918" priority="797">
      <formula>C58=$B$137</formula>
    </cfRule>
    <cfRule type="expression" dxfId="2917" priority="798">
      <formula>C58=$B$138</formula>
    </cfRule>
    <cfRule type="expression" dxfId="2916" priority="799">
      <formula>C58=$B$136</formula>
    </cfRule>
  </conditionalFormatting>
  <conditionalFormatting sqref="I96">
    <cfRule type="expression" dxfId="2915" priority="756">
      <formula>I96=$B$145</formula>
    </cfRule>
    <cfRule type="expression" dxfId="2914" priority="757">
      <formula>I96=$B$130</formula>
    </cfRule>
    <cfRule type="expression" dxfId="2913" priority="758">
      <formula>I96=$B$128</formula>
    </cfRule>
    <cfRule type="expression" dxfId="2912" priority="759">
      <formula>I96=$B$124</formula>
    </cfRule>
    <cfRule type="expression" dxfId="2911" priority="760">
      <formula>I96=$B$119</formula>
    </cfRule>
    <cfRule type="expression" dxfId="2910" priority="761">
      <formula>I96=$B$116</formula>
    </cfRule>
    <cfRule type="expression" dxfId="2909" priority="762">
      <formula>I96=$B$113</formula>
    </cfRule>
    <cfRule type="expression" dxfId="2908" priority="763">
      <formula>I96=$B$116</formula>
    </cfRule>
    <cfRule type="expression" dxfId="2907" priority="764">
      <formula>I96=$B$146</formula>
    </cfRule>
    <cfRule type="expression" dxfId="2906" priority="765">
      <formula>I96=$B$118</formula>
    </cfRule>
    <cfRule type="expression" dxfId="2905" priority="766">
      <formula>I96=$B$146</formula>
    </cfRule>
    <cfRule type="expression" dxfId="2904" priority="767">
      <formula>I96=$B$145</formula>
    </cfRule>
    <cfRule type="expression" dxfId="2903" priority="768">
      <formula>I96=$B$144</formula>
    </cfRule>
    <cfRule type="expression" dxfId="2902" priority="769">
      <formula>I96=$B$143</formula>
    </cfRule>
    <cfRule type="expression" dxfId="2901" priority="770">
      <formula>I96=$B$142</formula>
    </cfRule>
    <cfRule type="expression" dxfId="2900" priority="771">
      <formula>I96=$B$141</formula>
    </cfRule>
    <cfRule type="expression" dxfId="2899" priority="772">
      <formula>I96=$B$140</formula>
    </cfRule>
    <cfRule type="expression" dxfId="2898" priority="773">
      <formula>I96=$B$139</formula>
    </cfRule>
    <cfRule type="expression" dxfId="2897" priority="774">
      <formula>I96=$B$135</formula>
    </cfRule>
    <cfRule type="expression" dxfId="2896" priority="775">
      <formula>I96=$B$134</formula>
    </cfRule>
    <cfRule type="expression" dxfId="2895" priority="776">
      <formula>I96=$B$133</formula>
    </cfRule>
    <cfRule type="expression" dxfId="2894" priority="777">
      <formula>I96=$B$132</formula>
    </cfRule>
    <cfRule type="expression" dxfId="2893" priority="778">
      <formula>I96=$B$131</formula>
    </cfRule>
    <cfRule type="expression" dxfId="2892" priority="779" stopIfTrue="1">
      <formula>I96=$B$130</formula>
    </cfRule>
    <cfRule type="expression" dxfId="2891" priority="780">
      <formula>I96=$B$129</formula>
    </cfRule>
    <cfRule type="expression" dxfId="2890" priority="781" stopIfTrue="1">
      <formula>I96=$B$128</formula>
    </cfRule>
    <cfRule type="expression" dxfId="2889" priority="782">
      <formula>I96=$B$127</formula>
    </cfRule>
    <cfRule type="expression" dxfId="2888" priority="783">
      <formula>I96=$B$126</formula>
    </cfRule>
    <cfRule type="expression" dxfId="2887" priority="784">
      <formula>I96=$B$125</formula>
    </cfRule>
    <cfRule type="expression" dxfId="2886" priority="785" stopIfTrue="1">
      <formula>I96=$B$123</formula>
    </cfRule>
    <cfRule type="expression" dxfId="2885" priority="786" stopIfTrue="1">
      <formula>I96=$B$122</formula>
    </cfRule>
    <cfRule type="expression" dxfId="2884" priority="787" stopIfTrue="1">
      <formula>I96=$B$121</formula>
    </cfRule>
    <cfRule type="expression" dxfId="2883" priority="788">
      <formula>I96=$B$120</formula>
    </cfRule>
    <cfRule type="expression" dxfId="2882" priority="789">
      <formula>I96=$B$117</formula>
    </cfRule>
    <cfRule type="expression" dxfId="2881" priority="790" stopIfTrue="1">
      <formula>I96=$B$115</formula>
    </cfRule>
    <cfRule type="expression" dxfId="2880" priority="791">
      <formula>I96=$B$114</formula>
    </cfRule>
    <cfRule type="expression" dxfId="2879" priority="792">
      <formula>I96=$B$113</formula>
    </cfRule>
    <cfRule type="expression" dxfId="2878" priority="793">
      <formula>I96=$B$112</formula>
    </cfRule>
    <cfRule type="expression" dxfId="2877" priority="794">
      <formula>I96=$B$110</formula>
    </cfRule>
    <cfRule type="expression" dxfId="2876" priority="795" stopIfTrue="1">
      <formula>I96=$B$111</formula>
    </cfRule>
    <cfRule type="expression" dxfId="2875" priority="796" stopIfTrue="1">
      <formula>I$5=TODAY()</formula>
    </cfRule>
  </conditionalFormatting>
  <conditionalFormatting sqref="H48:I48">
    <cfRule type="expression" dxfId="2874" priority="714">
      <formula>H48=$B$145</formula>
    </cfRule>
  </conditionalFormatting>
  <conditionalFormatting sqref="C104:I104">
    <cfRule type="expression" dxfId="2873" priority="674">
      <formula>C104=$B$130</formula>
    </cfRule>
    <cfRule type="expression" dxfId="2872" priority="675">
      <formula>C104=$B$128</formula>
    </cfRule>
    <cfRule type="expression" dxfId="2871" priority="676">
      <formula>C104=$B$124</formula>
    </cfRule>
    <cfRule type="expression" dxfId="2870" priority="677">
      <formula>C104=$B$119</formula>
    </cfRule>
    <cfRule type="expression" dxfId="2869" priority="678">
      <formula>C104=$B$116</formula>
    </cfRule>
    <cfRule type="expression" dxfId="2868" priority="679">
      <formula>C104=$B$113</formula>
    </cfRule>
    <cfRule type="expression" dxfId="2867" priority="680">
      <formula>C104=$B$116</formula>
    </cfRule>
    <cfRule type="expression" dxfId="2866" priority="681">
      <formula>C104=$B$146</formula>
    </cfRule>
    <cfRule type="expression" dxfId="2865" priority="682">
      <formula>C104=$B$118</formula>
    </cfRule>
    <cfRule type="expression" dxfId="2864" priority="683">
      <formula>C104=$B$146</formula>
    </cfRule>
    <cfRule type="expression" dxfId="2863" priority="684">
      <formula>C104=$B$145</formula>
    </cfRule>
    <cfRule type="expression" dxfId="2862" priority="685">
      <formula>C104=$B$144</formula>
    </cfRule>
    <cfRule type="expression" dxfId="2861" priority="686">
      <formula>C104=$B$143</formula>
    </cfRule>
    <cfRule type="expression" dxfId="2860" priority="687">
      <formula>C104=$B$142</formula>
    </cfRule>
    <cfRule type="expression" dxfId="2859" priority="688">
      <formula>C104=$B$141</formula>
    </cfRule>
    <cfRule type="expression" dxfId="2858" priority="689">
      <formula>C104=$B$140</formula>
    </cfRule>
    <cfRule type="expression" dxfId="2857" priority="690">
      <formula>C104=$B$139</formula>
    </cfRule>
    <cfRule type="expression" dxfId="2856" priority="691">
      <formula>C104=$B$135</formula>
    </cfRule>
    <cfRule type="expression" dxfId="2855" priority="692">
      <formula>C104=$B$134</formula>
    </cfRule>
    <cfRule type="expression" dxfId="2854" priority="693">
      <formula>C104=$B$133</formula>
    </cfRule>
    <cfRule type="expression" dxfId="2853" priority="694">
      <formula>C104=$B$132</formula>
    </cfRule>
    <cfRule type="expression" dxfId="2852" priority="695">
      <formula>C104=$B$131</formula>
    </cfRule>
    <cfRule type="expression" dxfId="2851" priority="696" stopIfTrue="1">
      <formula>C104=$B$130</formula>
    </cfRule>
    <cfRule type="expression" dxfId="2850" priority="697">
      <formula>C104=$B$129</formula>
    </cfRule>
    <cfRule type="expression" dxfId="2849" priority="698" stopIfTrue="1">
      <formula>C104=$B$128</formula>
    </cfRule>
    <cfRule type="expression" dxfId="2848" priority="699">
      <formula>C104=$B$127</formula>
    </cfRule>
    <cfRule type="expression" dxfId="2847" priority="700">
      <formula>C104=$B$126</formula>
    </cfRule>
    <cfRule type="expression" dxfId="2846" priority="701">
      <formula>C104=$B$125</formula>
    </cfRule>
    <cfRule type="expression" dxfId="2845" priority="702" stopIfTrue="1">
      <formula>C104=$B$123</formula>
    </cfRule>
    <cfRule type="expression" dxfId="2844" priority="703" stopIfTrue="1">
      <formula>C104=$B$122</formula>
    </cfRule>
    <cfRule type="expression" dxfId="2843" priority="704" stopIfTrue="1">
      <formula>C104=$B$121</formula>
    </cfRule>
    <cfRule type="expression" dxfId="2842" priority="705">
      <formula>C104=$B$120</formula>
    </cfRule>
    <cfRule type="expression" dxfId="2841" priority="706">
      <formula>C104=$B$117</formula>
    </cfRule>
    <cfRule type="expression" dxfId="2840" priority="707" stopIfTrue="1">
      <formula>C104=$B$115</formula>
    </cfRule>
    <cfRule type="expression" dxfId="2839" priority="708">
      <formula>C104=$B$114</formula>
    </cfRule>
    <cfRule type="expression" dxfId="2838" priority="709">
      <formula>C104=$B$113</formula>
    </cfRule>
    <cfRule type="expression" dxfId="2837" priority="710">
      <formula>C104=$B$112</formula>
    </cfRule>
    <cfRule type="expression" dxfId="2836" priority="711">
      <formula>C104=$B$110</formula>
    </cfRule>
    <cfRule type="expression" dxfId="2835" priority="712" stopIfTrue="1">
      <formula>C104=$B$111</formula>
    </cfRule>
    <cfRule type="expression" dxfId="2834" priority="713" stopIfTrue="1">
      <formula>C$5=TODAY()</formula>
    </cfRule>
  </conditionalFormatting>
  <conditionalFormatting sqref="C104:I104">
    <cfRule type="expression" dxfId="2833" priority="673">
      <formula>C104=$B$145</formula>
    </cfRule>
  </conditionalFormatting>
  <conditionalFormatting sqref="C44:F44">
    <cfRule type="expression" dxfId="2832" priority="672">
      <formula>C44=$B$145</formula>
    </cfRule>
  </conditionalFormatting>
  <conditionalFormatting sqref="E96:I96">
    <cfRule type="expression" dxfId="2831" priority="631">
      <formula>E96=$B$145</formula>
    </cfRule>
    <cfRule type="expression" dxfId="2830" priority="632">
      <formula>E96=$B$130</formula>
    </cfRule>
    <cfRule type="expression" dxfId="2829" priority="633">
      <formula>E96=$B$128</formula>
    </cfRule>
    <cfRule type="expression" dxfId="2828" priority="634">
      <formula>E96=$B$124</formula>
    </cfRule>
    <cfRule type="expression" dxfId="2827" priority="635">
      <formula>E96=$B$119</formula>
    </cfRule>
    <cfRule type="expression" dxfId="2826" priority="636">
      <formula>E96=$B$116</formula>
    </cfRule>
    <cfRule type="expression" dxfId="2825" priority="637">
      <formula>E96=$B$113</formula>
    </cfRule>
    <cfRule type="expression" dxfId="2824" priority="638">
      <formula>E96=$B$116</formula>
    </cfRule>
    <cfRule type="expression" dxfId="2823" priority="639">
      <formula>E96=$B$146</formula>
    </cfRule>
    <cfRule type="expression" dxfId="2822" priority="640">
      <formula>E96=$B$118</formula>
    </cfRule>
    <cfRule type="expression" dxfId="2821" priority="641">
      <formula>E96=$B$146</formula>
    </cfRule>
    <cfRule type="expression" dxfId="2820" priority="642">
      <formula>E96=$B$145</formula>
    </cfRule>
    <cfRule type="expression" dxfId="2819" priority="643">
      <formula>E96=$B$144</formula>
    </cfRule>
    <cfRule type="expression" dxfId="2818" priority="644">
      <formula>E96=$B$143</formula>
    </cfRule>
    <cfRule type="expression" dxfId="2817" priority="645">
      <formula>E96=$B$142</formula>
    </cfRule>
    <cfRule type="expression" dxfId="2816" priority="646">
      <formula>E96=$B$141</formula>
    </cfRule>
    <cfRule type="expression" dxfId="2815" priority="647">
      <formula>E96=$B$140</formula>
    </cfRule>
    <cfRule type="expression" dxfId="2814" priority="648">
      <formula>E96=$B$139</formula>
    </cfRule>
    <cfRule type="expression" dxfId="2813" priority="649">
      <formula>E96=$B$135</formula>
    </cfRule>
    <cfRule type="expression" dxfId="2812" priority="650">
      <formula>E96=$B$134</formula>
    </cfRule>
    <cfRule type="expression" dxfId="2811" priority="651">
      <formula>E96=$B$133</formula>
    </cfRule>
    <cfRule type="expression" dxfId="2810" priority="652">
      <formula>E96=$B$132</formula>
    </cfRule>
    <cfRule type="expression" dxfId="2809" priority="653">
      <formula>E96=$B$131</formula>
    </cfRule>
    <cfRule type="expression" dxfId="2808" priority="654" stopIfTrue="1">
      <formula>E96=$B$130</formula>
    </cfRule>
    <cfRule type="expression" dxfId="2807" priority="655">
      <formula>E96=$B$129</formula>
    </cfRule>
    <cfRule type="expression" dxfId="2806" priority="656" stopIfTrue="1">
      <formula>E96=$B$128</formula>
    </cfRule>
    <cfRule type="expression" dxfId="2805" priority="657">
      <formula>E96=$B$127</formula>
    </cfRule>
    <cfRule type="expression" dxfId="2804" priority="658">
      <formula>E96=$B$126</formula>
    </cfRule>
    <cfRule type="expression" dxfId="2803" priority="659">
      <formula>E96=$B$125</formula>
    </cfRule>
    <cfRule type="expression" dxfId="2802" priority="660" stopIfTrue="1">
      <formula>E96=$B$123</formula>
    </cfRule>
    <cfRule type="expression" dxfId="2801" priority="661" stopIfTrue="1">
      <formula>E96=$B$122</formula>
    </cfRule>
    <cfRule type="expression" dxfId="2800" priority="662" stopIfTrue="1">
      <formula>E96=$B$121</formula>
    </cfRule>
    <cfRule type="expression" dxfId="2799" priority="663">
      <formula>E96=$B$120</formula>
    </cfRule>
    <cfRule type="expression" dxfId="2798" priority="664">
      <formula>E96=$B$117</formula>
    </cfRule>
    <cfRule type="expression" dxfId="2797" priority="665" stopIfTrue="1">
      <formula>E96=$B$115</formula>
    </cfRule>
    <cfRule type="expression" dxfId="2796" priority="666">
      <formula>E96=$B$114</formula>
    </cfRule>
    <cfRule type="expression" dxfId="2795" priority="667">
      <formula>E96=$B$113</formula>
    </cfRule>
    <cfRule type="expression" dxfId="2794" priority="668">
      <formula>E96=$B$112</formula>
    </cfRule>
    <cfRule type="expression" dxfId="2793" priority="669">
      <formula>E96=$B$110</formula>
    </cfRule>
    <cfRule type="expression" dxfId="2792" priority="670" stopIfTrue="1">
      <formula>E96=$B$111</formula>
    </cfRule>
    <cfRule type="expression" dxfId="2791" priority="671" stopIfTrue="1">
      <formula>E$5=TODAY()</formula>
    </cfRule>
  </conditionalFormatting>
  <conditionalFormatting sqref="E96:I96">
    <cfRule type="expression" dxfId="2790" priority="591">
      <formula>E96=$B$130</formula>
    </cfRule>
    <cfRule type="expression" dxfId="2789" priority="592">
      <formula>E96=$B$128</formula>
    </cfRule>
    <cfRule type="expression" dxfId="2788" priority="593">
      <formula>E96=$B$124</formula>
    </cfRule>
    <cfRule type="expression" dxfId="2787" priority="594">
      <formula>E96=$B$119</formula>
    </cfRule>
    <cfRule type="expression" dxfId="2786" priority="595">
      <formula>E96=$B$116</formula>
    </cfRule>
    <cfRule type="expression" dxfId="2785" priority="596">
      <formula>E96=$B$113</formula>
    </cfRule>
    <cfRule type="expression" dxfId="2784" priority="597">
      <formula>E96=$B$116</formula>
    </cfRule>
    <cfRule type="expression" dxfId="2783" priority="598">
      <formula>E96=$B$146</formula>
    </cfRule>
    <cfRule type="expression" dxfId="2782" priority="599">
      <formula>E96=$B$118</formula>
    </cfRule>
    <cfRule type="expression" dxfId="2781" priority="600">
      <formula>E96=$B$146</formula>
    </cfRule>
    <cfRule type="expression" dxfId="2780" priority="601">
      <formula>E96=$B$145</formula>
    </cfRule>
    <cfRule type="expression" dxfId="2779" priority="602">
      <formula>E96=$B$144</formula>
    </cfRule>
    <cfRule type="expression" dxfId="2778" priority="603">
      <formula>E96=$B$143</formula>
    </cfRule>
    <cfRule type="expression" dxfId="2777" priority="604">
      <formula>E96=$B$142</formula>
    </cfRule>
    <cfRule type="expression" dxfId="2776" priority="605">
      <formula>E96=$B$141</formula>
    </cfRule>
    <cfRule type="expression" dxfId="2775" priority="606">
      <formula>E96=$B$140</formula>
    </cfRule>
    <cfRule type="expression" dxfId="2774" priority="607">
      <formula>E96=$B$139</formula>
    </cfRule>
    <cfRule type="expression" dxfId="2773" priority="608">
      <formula>E96=$B$135</formula>
    </cfRule>
    <cfRule type="expression" dxfId="2772" priority="609">
      <formula>E96=$B$134</formula>
    </cfRule>
    <cfRule type="expression" dxfId="2771" priority="610">
      <formula>E96=$B$133</formula>
    </cfRule>
    <cfRule type="expression" dxfId="2770" priority="611">
      <formula>E96=$B$132</formula>
    </cfRule>
    <cfRule type="expression" dxfId="2769" priority="612">
      <formula>E96=$B$131</formula>
    </cfRule>
    <cfRule type="expression" dxfId="2768" priority="613" stopIfTrue="1">
      <formula>E96=$B$130</formula>
    </cfRule>
    <cfRule type="expression" dxfId="2767" priority="614">
      <formula>E96=$B$129</formula>
    </cfRule>
    <cfRule type="expression" dxfId="2766" priority="615" stopIfTrue="1">
      <formula>E96=$B$128</formula>
    </cfRule>
    <cfRule type="expression" dxfId="2765" priority="616">
      <formula>E96=$B$127</formula>
    </cfRule>
    <cfRule type="expression" dxfId="2764" priority="617">
      <formula>E96=$B$126</formula>
    </cfRule>
    <cfRule type="expression" dxfId="2763" priority="618">
      <formula>E96=$B$125</formula>
    </cfRule>
    <cfRule type="expression" dxfId="2762" priority="619" stopIfTrue="1">
      <formula>E96=$B$123</formula>
    </cfRule>
    <cfRule type="expression" dxfId="2761" priority="620" stopIfTrue="1">
      <formula>E96=$B$122</formula>
    </cfRule>
    <cfRule type="expression" dxfId="2760" priority="621" stopIfTrue="1">
      <formula>E96=$B$121</formula>
    </cfRule>
    <cfRule type="expression" dxfId="2759" priority="622">
      <formula>E96=$B$120</formula>
    </cfRule>
    <cfRule type="expression" dxfId="2758" priority="623">
      <formula>E96=$B$117</formula>
    </cfRule>
    <cfRule type="expression" dxfId="2757" priority="624" stopIfTrue="1">
      <formula>E96=$B$115</formula>
    </cfRule>
    <cfRule type="expression" dxfId="2756" priority="625">
      <formula>E96=$B$114</formula>
    </cfRule>
    <cfRule type="expression" dxfId="2755" priority="626">
      <formula>E96=$B$113</formula>
    </cfRule>
    <cfRule type="expression" dxfId="2754" priority="627">
      <formula>E96=$B$112</formula>
    </cfRule>
    <cfRule type="expression" dxfId="2753" priority="628">
      <formula>E96=$B$110</formula>
    </cfRule>
    <cfRule type="expression" dxfId="2752" priority="629" stopIfTrue="1">
      <formula>E96=$B$111</formula>
    </cfRule>
    <cfRule type="expression" dxfId="2751" priority="630" stopIfTrue="1">
      <formula>E$5=TODAY()</formula>
    </cfRule>
  </conditionalFormatting>
  <conditionalFormatting sqref="E96:I96">
    <cfRule type="expression" dxfId="2750" priority="590">
      <formula>E96=$B$145</formula>
    </cfRule>
  </conditionalFormatting>
  <conditionalFormatting sqref="C64:I64">
    <cfRule type="expression" dxfId="2749" priority="587">
      <formula>C64=$B$137</formula>
    </cfRule>
    <cfRule type="expression" dxfId="2748" priority="588">
      <formula>C64=$B$138</formula>
    </cfRule>
    <cfRule type="expression" dxfId="2747" priority="589">
      <formula>C64=$B$136</formula>
    </cfRule>
  </conditionalFormatting>
  <conditionalFormatting sqref="C36">
    <cfRule type="expression" dxfId="2746" priority="546">
      <formula>C36=$B$145</formula>
    </cfRule>
  </conditionalFormatting>
  <conditionalFormatting sqref="C36">
    <cfRule type="expression" dxfId="2745" priority="543">
      <formula>C36=$B$137</formula>
    </cfRule>
    <cfRule type="expression" dxfId="2744" priority="544">
      <formula>C36=$B$138</formula>
    </cfRule>
    <cfRule type="expression" dxfId="2743" priority="545">
      <formula>C36=$B$136</formula>
    </cfRule>
  </conditionalFormatting>
  <conditionalFormatting sqref="D76">
    <cfRule type="expression" dxfId="2742" priority="502">
      <formula>D76=$B$145</formula>
    </cfRule>
  </conditionalFormatting>
  <conditionalFormatting sqref="H98">
    <cfRule type="expression" dxfId="2741" priority="461">
      <formula>H98=$B$145</formula>
    </cfRule>
    <cfRule type="expression" dxfId="2740" priority="462">
      <formula>H98=$B$130</formula>
    </cfRule>
    <cfRule type="expression" dxfId="2739" priority="463">
      <formula>H98=$B$128</formula>
    </cfRule>
    <cfRule type="expression" dxfId="2738" priority="464">
      <formula>H98=$B$124</formula>
    </cfRule>
    <cfRule type="expression" dxfId="2737" priority="465">
      <formula>H98=$B$119</formula>
    </cfRule>
    <cfRule type="expression" dxfId="2736" priority="466">
      <formula>H98=$B$116</formula>
    </cfRule>
    <cfRule type="expression" dxfId="2735" priority="467">
      <formula>H98=$B$113</formula>
    </cfRule>
    <cfRule type="expression" dxfId="2734" priority="468">
      <formula>H98=$B$116</formula>
    </cfRule>
    <cfRule type="expression" dxfId="2733" priority="469">
      <formula>H98=$B$146</formula>
    </cfRule>
    <cfRule type="expression" dxfId="2732" priority="470">
      <formula>H98=$B$118</formula>
    </cfRule>
    <cfRule type="expression" dxfId="2731" priority="471">
      <formula>H98=$B$146</formula>
    </cfRule>
    <cfRule type="expression" dxfId="2730" priority="472">
      <formula>H98=$B$145</formula>
    </cfRule>
    <cfRule type="expression" dxfId="2729" priority="473">
      <formula>H98=$B$144</formula>
    </cfRule>
    <cfRule type="expression" dxfId="2728" priority="474">
      <formula>H98=$B$143</formula>
    </cfRule>
    <cfRule type="expression" dxfId="2727" priority="475">
      <formula>H98=$B$142</formula>
    </cfRule>
    <cfRule type="expression" dxfId="2726" priority="476">
      <formula>H98=$B$141</formula>
    </cfRule>
    <cfRule type="expression" dxfId="2725" priority="477">
      <formula>H98=$B$140</formula>
    </cfRule>
    <cfRule type="expression" dxfId="2724" priority="478">
      <formula>H98=$B$139</formula>
    </cfRule>
    <cfRule type="expression" dxfId="2723" priority="479">
      <formula>H98=$B$135</formula>
    </cfRule>
    <cfRule type="expression" dxfId="2722" priority="480">
      <formula>H98=$B$134</formula>
    </cfRule>
    <cfRule type="expression" dxfId="2721" priority="481">
      <formula>H98=$B$133</formula>
    </cfRule>
    <cfRule type="expression" dxfId="2720" priority="482">
      <formula>H98=$B$132</formula>
    </cfRule>
    <cfRule type="expression" dxfId="2719" priority="483">
      <formula>H98=$B$131</formula>
    </cfRule>
    <cfRule type="expression" dxfId="2718" priority="484" stopIfTrue="1">
      <formula>H98=$B$130</formula>
    </cfRule>
    <cfRule type="expression" dxfId="2717" priority="485">
      <formula>H98=$B$129</formula>
    </cfRule>
    <cfRule type="expression" dxfId="2716" priority="486" stopIfTrue="1">
      <formula>H98=$B$128</formula>
    </cfRule>
    <cfRule type="expression" dxfId="2715" priority="487">
      <formula>H98=$B$127</formula>
    </cfRule>
    <cfRule type="expression" dxfId="2714" priority="488">
      <formula>H98=$B$126</formula>
    </cfRule>
    <cfRule type="expression" dxfId="2713" priority="489">
      <formula>H98=$B$125</formula>
    </cfRule>
    <cfRule type="expression" dxfId="2712" priority="490" stopIfTrue="1">
      <formula>H98=$B$123</formula>
    </cfRule>
    <cfRule type="expression" dxfId="2711" priority="491" stopIfTrue="1">
      <formula>H98=$B$122</formula>
    </cfRule>
    <cfRule type="expression" dxfId="2710" priority="492" stopIfTrue="1">
      <formula>H98=$B$121</formula>
    </cfRule>
    <cfRule type="expression" dxfId="2709" priority="493">
      <formula>H98=$B$120</formula>
    </cfRule>
    <cfRule type="expression" dxfId="2708" priority="494">
      <formula>H98=$B$117</formula>
    </cfRule>
    <cfRule type="expression" dxfId="2707" priority="495" stopIfTrue="1">
      <formula>H98=$B$115</formula>
    </cfRule>
    <cfRule type="expression" dxfId="2706" priority="496">
      <formula>H98=$B$114</formula>
    </cfRule>
    <cfRule type="expression" dxfId="2705" priority="497">
      <formula>H98=$B$113</formula>
    </cfRule>
    <cfRule type="expression" dxfId="2704" priority="498">
      <formula>H98=$B$112</formula>
    </cfRule>
    <cfRule type="expression" dxfId="2703" priority="499">
      <formula>H98=$B$110</formula>
    </cfRule>
    <cfRule type="expression" dxfId="2702" priority="500" stopIfTrue="1">
      <formula>H98=$B$111</formula>
    </cfRule>
    <cfRule type="expression" dxfId="2701" priority="501" stopIfTrue="1">
      <formula>H$5=TODAY()</formula>
    </cfRule>
  </conditionalFormatting>
  <conditionalFormatting sqref="I98">
    <cfRule type="expression" dxfId="2700" priority="420">
      <formula>I98=$B$145</formula>
    </cfRule>
    <cfRule type="expression" dxfId="2699" priority="421">
      <formula>I98=$B$130</formula>
    </cfRule>
    <cfRule type="expression" dxfId="2698" priority="422">
      <formula>I98=$B$128</formula>
    </cfRule>
    <cfRule type="expression" dxfId="2697" priority="423">
      <formula>I98=$B$124</formula>
    </cfRule>
    <cfRule type="expression" dxfId="2696" priority="424">
      <formula>I98=$B$119</formula>
    </cfRule>
    <cfRule type="expression" dxfId="2695" priority="425">
      <formula>I98=$B$116</formula>
    </cfRule>
    <cfRule type="expression" dxfId="2694" priority="426">
      <formula>I98=$B$113</formula>
    </cfRule>
    <cfRule type="expression" dxfId="2693" priority="427">
      <formula>I98=$B$116</formula>
    </cfRule>
    <cfRule type="expression" dxfId="2692" priority="428">
      <formula>I98=$B$146</formula>
    </cfRule>
    <cfRule type="expression" dxfId="2691" priority="429">
      <formula>I98=$B$118</formula>
    </cfRule>
    <cfRule type="expression" dxfId="2690" priority="430">
      <formula>I98=$B$146</formula>
    </cfRule>
    <cfRule type="expression" dxfId="2689" priority="431">
      <formula>I98=$B$145</formula>
    </cfRule>
    <cfRule type="expression" dxfId="2688" priority="432">
      <formula>I98=$B$144</formula>
    </cfRule>
    <cfRule type="expression" dxfId="2687" priority="433">
      <formula>I98=$B$143</formula>
    </cfRule>
    <cfRule type="expression" dxfId="2686" priority="434">
      <formula>I98=$B$142</formula>
    </cfRule>
    <cfRule type="expression" dxfId="2685" priority="435">
      <formula>I98=$B$141</formula>
    </cfRule>
    <cfRule type="expression" dxfId="2684" priority="436">
      <formula>I98=$B$140</formula>
    </cfRule>
    <cfRule type="expression" dxfId="2683" priority="437">
      <formula>I98=$B$139</formula>
    </cfRule>
    <cfRule type="expression" dxfId="2682" priority="438">
      <formula>I98=$B$135</formula>
    </cfRule>
    <cfRule type="expression" dxfId="2681" priority="439">
      <formula>I98=$B$134</formula>
    </cfRule>
    <cfRule type="expression" dxfId="2680" priority="440">
      <formula>I98=$B$133</formula>
    </cfRule>
    <cfRule type="expression" dxfId="2679" priority="441">
      <formula>I98=$B$132</formula>
    </cfRule>
    <cfRule type="expression" dxfId="2678" priority="442">
      <formula>I98=$B$131</formula>
    </cfRule>
    <cfRule type="expression" dxfId="2677" priority="443" stopIfTrue="1">
      <formula>I98=$B$130</formula>
    </cfRule>
    <cfRule type="expression" dxfId="2676" priority="444">
      <formula>I98=$B$129</formula>
    </cfRule>
    <cfRule type="expression" dxfId="2675" priority="445" stopIfTrue="1">
      <formula>I98=$B$128</formula>
    </cfRule>
    <cfRule type="expression" dxfId="2674" priority="446">
      <formula>I98=$B$127</formula>
    </cfRule>
    <cfRule type="expression" dxfId="2673" priority="447">
      <formula>I98=$B$126</formula>
    </cfRule>
    <cfRule type="expression" dxfId="2672" priority="448">
      <formula>I98=$B$125</formula>
    </cfRule>
    <cfRule type="expression" dxfId="2671" priority="449" stopIfTrue="1">
      <formula>I98=$B$123</formula>
    </cfRule>
    <cfRule type="expression" dxfId="2670" priority="450" stopIfTrue="1">
      <formula>I98=$B$122</formula>
    </cfRule>
    <cfRule type="expression" dxfId="2669" priority="451" stopIfTrue="1">
      <formula>I98=$B$121</formula>
    </cfRule>
    <cfRule type="expression" dxfId="2668" priority="452">
      <formula>I98=$B$120</formula>
    </cfRule>
    <cfRule type="expression" dxfId="2667" priority="453">
      <formula>I98=$B$117</formula>
    </cfRule>
    <cfRule type="expression" dxfId="2666" priority="454" stopIfTrue="1">
      <formula>I98=$B$115</formula>
    </cfRule>
    <cfRule type="expression" dxfId="2665" priority="455">
      <formula>I98=$B$114</formula>
    </cfRule>
    <cfRule type="expression" dxfId="2664" priority="456">
      <formula>I98=$B$113</formula>
    </cfRule>
    <cfRule type="expression" dxfId="2663" priority="457">
      <formula>I98=$B$112</formula>
    </cfRule>
    <cfRule type="expression" dxfId="2662" priority="458">
      <formula>I98=$B$110</formula>
    </cfRule>
    <cfRule type="expression" dxfId="2661" priority="459" stopIfTrue="1">
      <formula>I98=$B$111</formula>
    </cfRule>
    <cfRule type="expression" dxfId="2660" priority="460" stopIfTrue="1">
      <formula>I$5=TODAY()</formula>
    </cfRule>
  </conditionalFormatting>
  <conditionalFormatting sqref="I86">
    <cfRule type="expression" dxfId="2659" priority="379">
      <formula>I86=$B$145</formula>
    </cfRule>
    <cfRule type="expression" dxfId="2658" priority="380">
      <formula>I86=$B$130</formula>
    </cfRule>
    <cfRule type="expression" dxfId="2657" priority="381">
      <formula>I86=$B$128</formula>
    </cfRule>
    <cfRule type="expression" dxfId="2656" priority="382">
      <formula>I86=$B$124</formula>
    </cfRule>
    <cfRule type="expression" dxfId="2655" priority="383">
      <formula>I86=$B$119</formula>
    </cfRule>
    <cfRule type="expression" dxfId="2654" priority="384">
      <formula>I86=$B$116</formula>
    </cfRule>
    <cfRule type="expression" dxfId="2653" priority="385">
      <formula>I86=$B$113</formula>
    </cfRule>
    <cfRule type="expression" dxfId="2652" priority="386">
      <formula>I86=$B$116</formula>
    </cfRule>
    <cfRule type="expression" dxfId="2651" priority="387">
      <formula>I86=$B$146</formula>
    </cfRule>
    <cfRule type="expression" dxfId="2650" priority="388">
      <formula>I86=$B$118</formula>
    </cfRule>
    <cfRule type="expression" dxfId="2649" priority="389">
      <formula>I86=$B$146</formula>
    </cfRule>
    <cfRule type="expression" dxfId="2648" priority="390">
      <formula>I86=$B$145</formula>
    </cfRule>
    <cfRule type="expression" dxfId="2647" priority="391">
      <formula>I86=$B$144</formula>
    </cfRule>
    <cfRule type="expression" dxfId="2646" priority="392">
      <formula>I86=$B$143</formula>
    </cfRule>
    <cfRule type="expression" dxfId="2645" priority="393">
      <formula>I86=$B$142</formula>
    </cfRule>
    <cfRule type="expression" dxfId="2644" priority="394">
      <formula>I86=$B$141</formula>
    </cfRule>
    <cfRule type="expression" dxfId="2643" priority="395">
      <formula>I86=$B$140</formula>
    </cfRule>
    <cfRule type="expression" dxfId="2642" priority="396">
      <formula>I86=$B$139</formula>
    </cfRule>
    <cfRule type="expression" dxfId="2641" priority="397">
      <formula>I86=$B$135</formula>
    </cfRule>
    <cfRule type="expression" dxfId="2640" priority="398">
      <formula>I86=$B$134</formula>
    </cfRule>
    <cfRule type="expression" dxfId="2639" priority="399">
      <formula>I86=$B$133</formula>
    </cfRule>
    <cfRule type="expression" dxfId="2638" priority="400">
      <formula>I86=$B$132</formula>
    </cfRule>
    <cfRule type="expression" dxfId="2637" priority="401">
      <formula>I86=$B$131</formula>
    </cfRule>
    <cfRule type="expression" dxfId="2636" priority="402" stopIfTrue="1">
      <formula>I86=$B$130</formula>
    </cfRule>
    <cfRule type="expression" dxfId="2635" priority="403">
      <formula>I86=$B$129</formula>
    </cfRule>
    <cfRule type="expression" dxfId="2634" priority="404" stopIfTrue="1">
      <formula>I86=$B$128</formula>
    </cfRule>
    <cfRule type="expression" dxfId="2633" priority="405">
      <formula>I86=$B$127</formula>
    </cfRule>
    <cfRule type="expression" dxfId="2632" priority="406">
      <formula>I86=$B$126</formula>
    </cfRule>
    <cfRule type="expression" dxfId="2631" priority="407">
      <formula>I86=$B$125</formula>
    </cfRule>
    <cfRule type="expression" dxfId="2630" priority="408" stopIfTrue="1">
      <formula>I86=$B$123</formula>
    </cfRule>
    <cfRule type="expression" dxfId="2629" priority="409" stopIfTrue="1">
      <formula>I86=$B$122</formula>
    </cfRule>
    <cfRule type="expression" dxfId="2628" priority="410" stopIfTrue="1">
      <formula>I86=$B$121</formula>
    </cfRule>
    <cfRule type="expression" dxfId="2627" priority="411">
      <formula>I86=$B$120</formula>
    </cfRule>
    <cfRule type="expression" dxfId="2626" priority="412">
      <formula>I86=$B$117</formula>
    </cfRule>
    <cfRule type="expression" dxfId="2625" priority="413" stopIfTrue="1">
      <formula>I86=$B$115</formula>
    </cfRule>
    <cfRule type="expression" dxfId="2624" priority="414">
      <formula>I86=$B$114</formula>
    </cfRule>
    <cfRule type="expression" dxfId="2623" priority="415">
      <formula>I86=$B$113</formula>
    </cfRule>
    <cfRule type="expression" dxfId="2622" priority="416">
      <formula>I86=$B$112</formula>
    </cfRule>
    <cfRule type="expression" dxfId="2621" priority="417">
      <formula>I86=$B$110</formula>
    </cfRule>
    <cfRule type="expression" dxfId="2620" priority="418" stopIfTrue="1">
      <formula>I86=$B$111</formula>
    </cfRule>
    <cfRule type="expression" dxfId="2619" priority="419" stopIfTrue="1">
      <formula>I$5=TODAY()</formula>
    </cfRule>
  </conditionalFormatting>
  <conditionalFormatting sqref="G42">
    <cfRule type="expression" dxfId="2618" priority="174">
      <formula>G42=$B$145</formula>
    </cfRule>
  </conditionalFormatting>
  <conditionalFormatting sqref="G42">
    <cfRule type="expression" dxfId="2617" priority="171">
      <formula>G42=$B$137</formula>
    </cfRule>
    <cfRule type="expression" dxfId="2616" priority="172">
      <formula>G42=$B$138</formula>
    </cfRule>
    <cfRule type="expression" dxfId="2615" priority="173">
      <formula>G42=$B$136</formula>
    </cfRule>
  </conditionalFormatting>
  <conditionalFormatting sqref="I44">
    <cfRule type="expression" dxfId="2614" priority="130">
      <formula>I44=$B$145</formula>
    </cfRule>
  </conditionalFormatting>
  <conditionalFormatting sqref="I44">
    <cfRule type="expression" dxfId="2613" priority="127">
      <formula>I44=$B$137</formula>
    </cfRule>
    <cfRule type="expression" dxfId="2612" priority="128">
      <formula>I44=$B$138</formula>
    </cfRule>
    <cfRule type="expression" dxfId="2611" priority="129">
      <formula>I44=$B$136</formula>
    </cfRule>
  </conditionalFormatting>
  <conditionalFormatting sqref="E38">
    <cfRule type="expression" dxfId="2610" priority="86">
      <formula>E38=$B$145</formula>
    </cfRule>
  </conditionalFormatting>
  <conditionalFormatting sqref="E38">
    <cfRule type="expression" dxfId="2609" priority="83">
      <formula>E38=$B$137</formula>
    </cfRule>
    <cfRule type="expression" dxfId="2608" priority="84">
      <formula>E38=$B$138</formula>
    </cfRule>
    <cfRule type="expression" dxfId="2607" priority="85">
      <formula>E38=$B$136</formula>
    </cfRule>
  </conditionalFormatting>
  <conditionalFormatting sqref="I32">
    <cfRule type="expression" dxfId="2606" priority="42">
      <formula>I32=$B$145</formula>
    </cfRule>
    <cfRule type="expression" dxfId="2605" priority="43">
      <formula>I32=$B$130</formula>
    </cfRule>
    <cfRule type="expression" dxfId="2604" priority="44">
      <formula>I32=$B$128</formula>
    </cfRule>
    <cfRule type="expression" dxfId="2603" priority="45">
      <formula>I32=$B$124</formula>
    </cfRule>
    <cfRule type="expression" dxfId="2602" priority="46">
      <formula>I32=$B$119</formula>
    </cfRule>
    <cfRule type="expression" dxfId="2601" priority="47">
      <formula>I32=$B$116</formula>
    </cfRule>
    <cfRule type="expression" dxfId="2600" priority="48">
      <formula>I32=$B$113</formula>
    </cfRule>
    <cfRule type="expression" dxfId="2599" priority="49">
      <formula>I32=$B$116</formula>
    </cfRule>
    <cfRule type="expression" dxfId="2598" priority="50">
      <formula>I32=$B$146</formula>
    </cfRule>
    <cfRule type="expression" dxfId="2597" priority="51">
      <formula>I32=$B$118</formula>
    </cfRule>
    <cfRule type="expression" dxfId="2596" priority="52">
      <formula>I32=$B$146</formula>
    </cfRule>
    <cfRule type="expression" dxfId="2595" priority="53">
      <formula>I32=$B$145</formula>
    </cfRule>
    <cfRule type="expression" dxfId="2594" priority="54">
      <formula>I32=$B$144</formula>
    </cfRule>
    <cfRule type="expression" dxfId="2593" priority="55">
      <formula>I32=$B$143</formula>
    </cfRule>
    <cfRule type="expression" dxfId="2592" priority="56">
      <formula>I32=$B$142</formula>
    </cfRule>
    <cfRule type="expression" dxfId="2591" priority="57">
      <formula>I32=$B$141</formula>
    </cfRule>
    <cfRule type="expression" dxfId="2590" priority="58">
      <formula>I32=$B$140</formula>
    </cfRule>
    <cfRule type="expression" dxfId="2589" priority="59">
      <formula>I32=$B$139</formula>
    </cfRule>
    <cfRule type="expression" dxfId="2588" priority="60">
      <formula>I32=$B$135</formula>
    </cfRule>
    <cfRule type="expression" dxfId="2587" priority="61">
      <formula>I32=$B$134</formula>
    </cfRule>
    <cfRule type="expression" dxfId="2586" priority="62">
      <formula>I32=$B$133</formula>
    </cfRule>
    <cfRule type="expression" dxfId="2585" priority="63">
      <formula>I32=$B$132</formula>
    </cfRule>
    <cfRule type="expression" dxfId="2584" priority="64">
      <formula>I32=$B$131</formula>
    </cfRule>
    <cfRule type="expression" dxfId="2583" priority="65" stopIfTrue="1">
      <formula>I32=$B$130</formula>
    </cfRule>
    <cfRule type="expression" dxfId="2582" priority="66">
      <formula>I32=$B$129</formula>
    </cfRule>
    <cfRule type="expression" dxfId="2581" priority="67" stopIfTrue="1">
      <formula>I32=$B$128</formula>
    </cfRule>
    <cfRule type="expression" dxfId="2580" priority="68">
      <formula>I32=$B$127</formula>
    </cfRule>
    <cfRule type="expression" dxfId="2579" priority="69">
      <formula>I32=$B$126</formula>
    </cfRule>
    <cfRule type="expression" dxfId="2578" priority="70">
      <formula>I32=$B$125</formula>
    </cfRule>
    <cfRule type="expression" dxfId="2577" priority="71" stopIfTrue="1">
      <formula>I32=$B$123</formula>
    </cfRule>
    <cfRule type="expression" dxfId="2576" priority="72" stopIfTrue="1">
      <formula>I32=$B$122</formula>
    </cfRule>
    <cfRule type="expression" dxfId="2575" priority="73" stopIfTrue="1">
      <formula>I32=$B$121</formula>
    </cfRule>
    <cfRule type="expression" dxfId="2574" priority="74">
      <formula>I32=$B$120</formula>
    </cfRule>
    <cfRule type="expression" dxfId="2573" priority="75">
      <formula>I32=$B$117</formula>
    </cfRule>
    <cfRule type="expression" dxfId="2572" priority="76" stopIfTrue="1">
      <formula>I32=$B$115</formula>
    </cfRule>
    <cfRule type="expression" dxfId="2571" priority="77">
      <formula>I32=$B$114</formula>
    </cfRule>
    <cfRule type="expression" dxfId="2570" priority="78">
      <formula>I32=$B$113</formula>
    </cfRule>
    <cfRule type="expression" dxfId="2569" priority="79">
      <formula>I32=$B$112</formula>
    </cfRule>
    <cfRule type="expression" dxfId="2568" priority="80">
      <formula>I32=$B$110</formula>
    </cfRule>
    <cfRule type="expression" dxfId="2567" priority="81" stopIfTrue="1">
      <formula>I32=$B$111</formula>
    </cfRule>
    <cfRule type="expression" dxfId="2566" priority="82" stopIfTrue="1">
      <formula>I$5=TODAY()</formula>
    </cfRule>
  </conditionalFormatting>
  <conditionalFormatting sqref="I14">
    <cfRule type="expression" dxfId="2565" priority="1">
      <formula>I14=$B$145</formula>
    </cfRule>
    <cfRule type="expression" dxfId="2564" priority="2">
      <formula>I14=$B$130</formula>
    </cfRule>
    <cfRule type="expression" dxfId="2563" priority="3">
      <formula>I14=$B$128</formula>
    </cfRule>
    <cfRule type="expression" dxfId="2562" priority="4">
      <formula>I14=$B$124</formula>
    </cfRule>
    <cfRule type="expression" dxfId="2561" priority="5">
      <formula>I14=$B$119</formula>
    </cfRule>
    <cfRule type="expression" dxfId="2560" priority="6">
      <formula>I14=$B$116</formula>
    </cfRule>
    <cfRule type="expression" dxfId="2559" priority="7">
      <formula>I14=$B$113</formula>
    </cfRule>
    <cfRule type="expression" dxfId="2558" priority="8">
      <formula>I14=$B$116</formula>
    </cfRule>
    <cfRule type="expression" dxfId="2557" priority="9">
      <formula>I14=$B$146</formula>
    </cfRule>
    <cfRule type="expression" dxfId="2556" priority="10">
      <formula>I14=$B$118</formula>
    </cfRule>
    <cfRule type="expression" dxfId="2555" priority="11">
      <formula>I14=$B$146</formula>
    </cfRule>
    <cfRule type="expression" dxfId="2554" priority="12">
      <formula>I14=$B$145</formula>
    </cfRule>
    <cfRule type="expression" dxfId="2553" priority="13">
      <formula>I14=$B$144</formula>
    </cfRule>
    <cfRule type="expression" dxfId="2552" priority="14">
      <formula>I14=$B$143</formula>
    </cfRule>
    <cfRule type="expression" dxfId="2551" priority="15">
      <formula>I14=$B$142</formula>
    </cfRule>
    <cfRule type="expression" dxfId="2550" priority="16">
      <formula>I14=$B$141</formula>
    </cfRule>
    <cfRule type="expression" dxfId="2549" priority="17">
      <formula>I14=$B$140</formula>
    </cfRule>
    <cfRule type="expression" dxfId="2548" priority="18">
      <formula>I14=$B$139</formula>
    </cfRule>
    <cfRule type="expression" dxfId="2547" priority="19">
      <formula>I14=$B$135</formula>
    </cfRule>
    <cfRule type="expression" dxfId="2546" priority="20">
      <formula>I14=$B$134</formula>
    </cfRule>
    <cfRule type="expression" dxfId="2545" priority="21">
      <formula>I14=$B$133</formula>
    </cfRule>
    <cfRule type="expression" dxfId="2544" priority="22">
      <formula>I14=$B$132</formula>
    </cfRule>
    <cfRule type="expression" dxfId="2543" priority="23">
      <formula>I14=$B$131</formula>
    </cfRule>
    <cfRule type="expression" dxfId="2542" priority="24" stopIfTrue="1">
      <formula>I14=$B$130</formula>
    </cfRule>
    <cfRule type="expression" dxfId="2541" priority="25">
      <formula>I14=$B$129</formula>
    </cfRule>
    <cfRule type="expression" dxfId="2540" priority="26" stopIfTrue="1">
      <formula>I14=$B$128</formula>
    </cfRule>
    <cfRule type="expression" dxfId="2539" priority="27">
      <formula>I14=$B$127</formula>
    </cfRule>
    <cfRule type="expression" dxfId="2538" priority="28">
      <formula>I14=$B$126</formula>
    </cfRule>
    <cfRule type="expression" dxfId="2537" priority="29">
      <formula>I14=$B$125</formula>
    </cfRule>
    <cfRule type="expression" dxfId="2536" priority="30" stopIfTrue="1">
      <formula>I14=$B$123</formula>
    </cfRule>
    <cfRule type="expression" dxfId="2535" priority="31" stopIfTrue="1">
      <formula>I14=$B$122</formula>
    </cfRule>
    <cfRule type="expression" dxfId="2534" priority="32" stopIfTrue="1">
      <formula>I14=$B$121</formula>
    </cfRule>
    <cfRule type="expression" dxfId="2533" priority="33">
      <formula>I14=$B$120</formula>
    </cfRule>
    <cfRule type="expression" dxfId="2532" priority="34">
      <formula>I14=$B$117</formula>
    </cfRule>
    <cfRule type="expression" dxfId="2531" priority="35" stopIfTrue="1">
      <formula>I14=$B$115</formula>
    </cfRule>
    <cfRule type="expression" dxfId="2530" priority="36">
      <formula>I14=$B$114</formula>
    </cfRule>
    <cfRule type="expression" dxfId="2529" priority="37">
      <formula>I14=$B$113</formula>
    </cfRule>
    <cfRule type="expression" dxfId="2528" priority="38">
      <formula>I14=$B$112</formula>
    </cfRule>
    <cfRule type="expression" dxfId="2527" priority="39">
      <formula>I14=$B$110</formula>
    </cfRule>
    <cfRule type="expression" dxfId="2526" priority="40" stopIfTrue="1">
      <formula>I14=$B$111</formula>
    </cfRule>
    <cfRule type="expression" dxfId="2525" priority="41" stopIfTrue="1">
      <formula>I$5=TODAY()</formula>
    </cfRule>
  </conditionalFormatting>
  <dataValidations count="1">
    <dataValidation type="list" allowBlank="1" showInputMessage="1" showErrorMessage="1" sqref="C20:I20 C106:I106 C16:I16 C66:I66 C82:I82 C68:I68 C102:I102 C100:I100 C74:I74 C30:I30 C8:I8 C22:I22 C96:I96 C90:I90 C54:I54 C36:I36 C92:I92 C6:I6 C26:I26 C10:I10 C62:I62 C40:I40 C12:I12 C50:I50 C72:I72 C28:I28 C104:I104 C52:I52 C70:I70 C60:I60 C64:I64 C98:I98 C32:I32 C88:I88 C56:I56 C24:I24 C34:I34 C46:I46 C86:I86 C18:I18 C48:I48 C80:I80 C58:I58 C76:I76 C78:I78 C84:I84 C94:I94 C44:I44 C149 C42:I42 C38:I38 C14:I14" xr:uid="{00000000-0002-0000-07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BD0B8-29E9-5447-980C-B62B7353C9ED}">
  <sheetPr codeName="Feuil24"/>
  <dimension ref="A1:L143"/>
  <sheetViews>
    <sheetView zoomScale="140" zoomScaleNormal="140" zoomScalePageLayoutView="125" workbookViewId="0">
      <pane ySplit="5" topLeftCell="A59" activePane="bottomLeft" state="frozen"/>
      <selection pane="bottomLeft" activeCell="G94" sqref="G94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COUNTIF(C6:C103,$B$123)+COUNTIF(C6:C103,$B$124)+COUNTIF(C6:C103,$B$125)+COUNTIF(C6:C103,$B$126)</f>
        <v>7</v>
      </c>
      <c r="D1" s="22">
        <f t="shared" si="0"/>
        <v>8</v>
      </c>
      <c r="E1" s="22">
        <f t="shared" si="0"/>
        <v>8</v>
      </c>
      <c r="F1" s="22">
        <f t="shared" si="0"/>
        <v>8</v>
      </c>
      <c r="G1" s="22">
        <f t="shared" si="0"/>
        <v>8</v>
      </c>
      <c r="H1" s="22">
        <f t="shared" si="0"/>
        <v>1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43157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165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43157</v>
      </c>
      <c r="D5" s="33">
        <f t="shared" ref="D5:I5" si="1">C5+1</f>
        <v>43158</v>
      </c>
      <c r="E5" s="33">
        <f t="shared" si="1"/>
        <v>43159</v>
      </c>
      <c r="F5" s="33">
        <f t="shared" si="1"/>
        <v>43160</v>
      </c>
      <c r="G5" s="33">
        <f t="shared" si="1"/>
        <v>43161</v>
      </c>
      <c r="H5" s="33">
        <f t="shared" si="1"/>
        <v>43162</v>
      </c>
      <c r="I5" s="33">
        <f t="shared" si="1"/>
        <v>43163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7-(COUNTIF(C6:I6,"")+COUNTIF(C6:I6,$B$140))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IF(ISBLANK(C6),"",VLOOKUP(C6,$B$106:$L$142,11,0))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7-(COUNTIF(C8:I8,"")+COUNTIF(C8:I8,$B$140))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IF(ISBLANK(C8),"",VLOOKUP(C8,$B$106:$L$142,11,0))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7-(COUNTIF(C10:I10,"")+COUNTIF(C10:I10,$B$140))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IF(ISBLANK(C10),"",VLOOKUP(C10,$B$106:$L$142,11,0))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7-(COUNTIF(C12:I12,"")+COUNTIF(C12:I12,$B$140))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IF(ISBLANK(C12),"",VLOOKUP(C12,$B$106:$L$142,11,0))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7-(COUNTIF(C14:I14,"")+COUNTIF(C14:I14,$B$140))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IF(ISBLANK(C14),"",VLOOKUP(C14,$B$106:$L$142,11,0))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7-(COUNTIF(C16:I16,"")+COUNTIF(C16:I16,$B$140))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IF(ISBLANK(C16),"",VLOOKUP(C16,$B$106:$L$142,11,0))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7-(COUNTIF(C18:I18,"")+COUNTIF(C18:I18,$B$140))</f>
        <v>5</v>
      </c>
      <c r="B18" s="186" t="s">
        <v>7</v>
      </c>
      <c r="C18" s="38" t="s">
        <v>99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>
        <f t="shared" ref="C19:I19" si="8">IF(ISBLANK(C18),"",VLOOKUP(C18,$B$106:$L$142,11,0))</f>
        <v>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7-(COUNTIF(C20:I20,"")+COUNTIF(C20:I20,$B$140))</f>
        <v>4</v>
      </c>
      <c r="B20" s="178" t="s">
        <v>111</v>
      </c>
      <c r="C20" s="36" t="s">
        <v>154</v>
      </c>
      <c r="D20" s="36"/>
      <c r="E20" s="36"/>
      <c r="F20" s="36" t="s">
        <v>80</v>
      </c>
      <c r="G20" s="36" t="s">
        <v>152</v>
      </c>
      <c r="H20" s="36"/>
      <c r="I20" s="36" t="s">
        <v>137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IF(ISBLANK(C20),"",VLOOKUP(C20,$B$106:$L$142,11,0))</f>
        <v>13H00-21H30</v>
      </c>
      <c r="D21" s="37" t="str">
        <f t="shared" si="9"/>
        <v/>
      </c>
      <c r="E21" s="37" t="str">
        <f t="shared" si="9"/>
        <v/>
      </c>
      <c r="F21" s="37" t="str">
        <f t="shared" si="9"/>
        <v>06H00-14H30</v>
      </c>
      <c r="G21" s="37" t="str">
        <f t="shared" si="9"/>
        <v>08H30-17H00</v>
      </c>
      <c r="H21" s="37" t="str">
        <f t="shared" si="9"/>
        <v/>
      </c>
      <c r="I21" s="37" t="str">
        <f t="shared" si="9"/>
        <v>06H00-14H30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7-(COUNTIF(C22:I22,"")+COUNTIF(C22:I22,$B$140))</f>
        <v>5</v>
      </c>
      <c r="B22" s="193" t="s">
        <v>3</v>
      </c>
      <c r="C22" s="36" t="s">
        <v>84</v>
      </c>
      <c r="D22" s="36" t="s">
        <v>149</v>
      </c>
      <c r="E22" s="36" t="s">
        <v>91</v>
      </c>
      <c r="F22" s="36"/>
      <c r="G22" s="36" t="s">
        <v>137</v>
      </c>
      <c r="H22" s="36"/>
      <c r="I22" s="36" t="s">
        <v>85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IF(ISBLANK(C22),"",VLOOKUP(C22,$B$106:$L$142,11,0))</f>
        <v>13H30-22H00</v>
      </c>
      <c r="D23" s="37" t="str">
        <f t="shared" si="10"/>
        <v>09H00-17H30</v>
      </c>
      <c r="E23" s="37" t="str">
        <f t="shared" si="10"/>
        <v>06H00-14H30</v>
      </c>
      <c r="F23" s="37" t="str">
        <f t="shared" si="10"/>
        <v/>
      </c>
      <c r="G23" s="37" t="str">
        <f t="shared" si="10"/>
        <v>06H00-14H30</v>
      </c>
      <c r="H23" s="37" t="str">
        <f t="shared" si="10"/>
        <v/>
      </c>
      <c r="I23" s="37" t="str">
        <f t="shared" si="10"/>
        <v>14H30-23H00</v>
      </c>
      <c r="J23" s="181"/>
      <c r="K23" s="139"/>
    </row>
    <row r="24" spans="1:12" s="39" customFormat="1" ht="13" customHeight="1" thickTop="1" x14ac:dyDescent="0.2">
      <c r="A24" s="21">
        <f>7-(COUNTIF(C24:I24,"")+COUNTIF(C24:I24,$B$140))</f>
        <v>4</v>
      </c>
      <c r="B24" s="195" t="s">
        <v>8</v>
      </c>
      <c r="C24" s="36" t="s">
        <v>110</v>
      </c>
      <c r="D24" s="36"/>
      <c r="E24" s="36" t="s">
        <v>153</v>
      </c>
      <c r="F24" s="36"/>
      <c r="G24" s="36"/>
      <c r="H24" s="36" t="s">
        <v>91</v>
      </c>
      <c r="I24" s="36" t="s">
        <v>153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6"/>
      <c r="C25" s="37" t="str">
        <f t="shared" ref="C25:I25" si="11">IF(ISBLANK(C24),"",VLOOKUP(C24,$B$106:$L$142,11,0))</f>
        <v>21H45-06H15</v>
      </c>
      <c r="D25" s="37" t="str">
        <f t="shared" si="11"/>
        <v/>
      </c>
      <c r="E25" s="37" t="str">
        <f t="shared" si="11"/>
        <v>22H00-06H30</v>
      </c>
      <c r="F25" s="37" t="str">
        <f t="shared" si="11"/>
        <v/>
      </c>
      <c r="G25" s="37" t="str">
        <f t="shared" si="11"/>
        <v/>
      </c>
      <c r="H25" s="37" t="str">
        <f t="shared" si="11"/>
        <v>06H00-14H30</v>
      </c>
      <c r="I25" s="37" t="str">
        <f t="shared" si="11"/>
        <v>22H00-06H30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7-(COUNTIF(C26:I26,"")+COUNTIF(C26:I26,$B$140))</f>
        <v>5</v>
      </c>
      <c r="B26" s="178" t="s">
        <v>9</v>
      </c>
      <c r="C26" s="36"/>
      <c r="D26" s="36" t="s">
        <v>31</v>
      </c>
      <c r="E26" s="36" t="s">
        <v>139</v>
      </c>
      <c r="F26" s="36" t="s">
        <v>84</v>
      </c>
      <c r="G26" s="36"/>
      <c r="H26" s="36" t="s">
        <v>137</v>
      </c>
      <c r="I26" s="36" t="s">
        <v>149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IF(ISBLANK(C26),"",VLOOKUP(C26,$B$106:$L$142,11,0))</f>
        <v/>
      </c>
      <c r="D27" s="37" t="str">
        <f t="shared" si="12"/>
        <v>06H00-14H30</v>
      </c>
      <c r="E27" s="37" t="str">
        <f t="shared" si="12"/>
        <v>14H00-22H30</v>
      </c>
      <c r="F27" s="37" t="str">
        <f t="shared" si="12"/>
        <v>13H30-22H00</v>
      </c>
      <c r="G27" s="37" t="str">
        <f t="shared" si="12"/>
        <v/>
      </c>
      <c r="H27" s="37" t="str">
        <f t="shared" si="12"/>
        <v>06H00-14H30</v>
      </c>
      <c r="I27" s="37" t="str">
        <f t="shared" si="12"/>
        <v>09H00-17H30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7-(COUNTIF(C28:I28,"")+COUNTIF(C28:I28,$B$140))</f>
        <v>4</v>
      </c>
      <c r="B28" s="178" t="s">
        <v>10</v>
      </c>
      <c r="C28" s="36"/>
      <c r="D28" s="36" t="s">
        <v>82</v>
      </c>
      <c r="E28" s="36" t="s">
        <v>123</v>
      </c>
      <c r="F28" s="36" t="s">
        <v>92</v>
      </c>
      <c r="G28" s="36"/>
      <c r="H28" s="36"/>
      <c r="I28" s="36" t="s">
        <v>93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IF(ISBLANK(C28),"",VLOOKUP(C28,$B$106:$L$142,11,0))</f>
        <v/>
      </c>
      <c r="D29" s="37" t="str">
        <f t="shared" si="13"/>
        <v>06H00-14H30</v>
      </c>
      <c r="E29" s="37" t="str">
        <f t="shared" si="13"/>
        <v>14H30-23H00</v>
      </c>
      <c r="F29" s="37" t="str">
        <f t="shared" si="13"/>
        <v>10H00-18H30</v>
      </c>
      <c r="G29" s="37" t="str">
        <f t="shared" si="13"/>
        <v/>
      </c>
      <c r="H29" s="37" t="str">
        <f t="shared" si="13"/>
        <v/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7-(COUNTIF(C30:I30,"")+COUNTIF(C30:I30,$B$140))</f>
        <v>5</v>
      </c>
      <c r="B30" s="178" t="s">
        <v>11</v>
      </c>
      <c r="C30" s="36" t="s">
        <v>139</v>
      </c>
      <c r="D30" s="36"/>
      <c r="E30" s="36" t="s">
        <v>90</v>
      </c>
      <c r="F30" s="36" t="s">
        <v>31</v>
      </c>
      <c r="G30" s="36"/>
      <c r="H30" s="36" t="s">
        <v>122</v>
      </c>
      <c r="I30" s="36" t="s">
        <v>84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IF(ISBLANK(C30),"",VLOOKUP(C30,$B$106:$L$142,11,0))</f>
        <v>14H00-22H30</v>
      </c>
      <c r="D31" s="37" t="str">
        <f t="shared" si="14"/>
        <v/>
      </c>
      <c r="E31" s="37" t="str">
        <f t="shared" si="14"/>
        <v>06H00-14H30</v>
      </c>
      <c r="F31" s="37" t="str">
        <f t="shared" si="14"/>
        <v>06H00-14H30</v>
      </c>
      <c r="G31" s="37" t="str">
        <f t="shared" si="14"/>
        <v/>
      </c>
      <c r="H31" s="37" t="str">
        <f t="shared" si="14"/>
        <v>06H00-14H30</v>
      </c>
      <c r="I31" s="37" t="str">
        <f t="shared" si="14"/>
        <v>13H30-22H00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7-(COUNTIF(C32:I32,"")+COUNTIF(C32:I32,$B$140))</f>
        <v>5</v>
      </c>
      <c r="B32" s="201" t="s">
        <v>12</v>
      </c>
      <c r="C32" s="36" t="s">
        <v>40</v>
      </c>
      <c r="D32" s="36" t="s">
        <v>40</v>
      </c>
      <c r="E32" s="36" t="s">
        <v>40</v>
      </c>
      <c r="F32" s="36" t="s">
        <v>40</v>
      </c>
      <c r="G32" s="36" t="s">
        <v>40</v>
      </c>
      <c r="H32" s="36" t="s">
        <v>95</v>
      </c>
      <c r="I32" s="36" t="s">
        <v>95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>
        <f t="shared" ref="C33:I33" si="15">IF(ISBLANK(C32),"",VLOOKUP(C32,$B$106:$L$142,11,0))</f>
        <v>0</v>
      </c>
      <c r="D33" s="37">
        <f t="shared" si="15"/>
        <v>0</v>
      </c>
      <c r="E33" s="37">
        <f t="shared" si="15"/>
        <v>0</v>
      </c>
      <c r="F33" s="37">
        <f t="shared" si="15"/>
        <v>0</v>
      </c>
      <c r="G33" s="37">
        <f t="shared" si="15"/>
        <v>0</v>
      </c>
      <c r="H33" s="37">
        <f t="shared" si="15"/>
        <v>0</v>
      </c>
      <c r="I33" s="37">
        <f t="shared" si="15"/>
        <v>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7-(COUNTIF(C34:I34,"")+COUNTIF(C34:I34,$B$140))</f>
        <v>3</v>
      </c>
      <c r="B34" s="193" t="s">
        <v>13</v>
      </c>
      <c r="C34" s="36"/>
      <c r="D34" s="36"/>
      <c r="E34" s="36" t="s">
        <v>167</v>
      </c>
      <c r="F34" s="36"/>
      <c r="G34" s="36" t="s">
        <v>167</v>
      </c>
      <c r="H34" s="36" t="s">
        <v>168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4"/>
      <c r="C35" s="37" t="str">
        <f t="shared" ref="C35:I35" si="16">IF(ISBLANK(C34),"",VLOOKUP(C34,$B$106:$L$142,11,0))</f>
        <v/>
      </c>
      <c r="D35" s="37" t="str">
        <f t="shared" si="16"/>
        <v/>
      </c>
      <c r="E35" s="37" t="str">
        <f t="shared" si="16"/>
        <v>08H00-16H30</v>
      </c>
      <c r="F35" s="37" t="str">
        <f t="shared" si="16"/>
        <v/>
      </c>
      <c r="G35" s="37" t="str">
        <f t="shared" si="16"/>
        <v>08H00-16H30</v>
      </c>
      <c r="H35" s="37" t="str">
        <f t="shared" si="16"/>
        <v>13H00-21H30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7-(COUNTIF(C36:I36,"")+COUNTIF(C36:I36,$B$140))</f>
        <v>5</v>
      </c>
      <c r="B36" s="199" t="s">
        <v>43</v>
      </c>
      <c r="C36" s="36" t="s">
        <v>149</v>
      </c>
      <c r="D36" s="36" t="s">
        <v>123</v>
      </c>
      <c r="E36" s="36"/>
      <c r="F36" s="36" t="s">
        <v>91</v>
      </c>
      <c r="G36" s="36"/>
      <c r="H36" s="36" t="s">
        <v>93</v>
      </c>
      <c r="I36" s="36" t="s">
        <v>84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200"/>
      <c r="C37" s="37" t="str">
        <f t="shared" ref="C37:I37" si="17">IF(ISBLANK(C36),"",VLOOKUP(C36,$B$106:$L$142,11,0))</f>
        <v>09H00-17H30</v>
      </c>
      <c r="D37" s="37" t="str">
        <f t="shared" si="17"/>
        <v>14H30-23H00</v>
      </c>
      <c r="E37" s="37" t="str">
        <f t="shared" si="17"/>
        <v/>
      </c>
      <c r="F37" s="37" t="str">
        <f t="shared" si="17"/>
        <v>06H00-14H30</v>
      </c>
      <c r="G37" s="37" t="str">
        <f t="shared" si="17"/>
        <v/>
      </c>
      <c r="H37" s="37" t="str">
        <f t="shared" si="17"/>
        <v>06H00-14H30</v>
      </c>
      <c r="I37" s="37" t="str">
        <f t="shared" si="17"/>
        <v>13H30-22H00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7-(COUNTIF(C38:I38,"")+COUNTIF(C38:I38,$B$140))</f>
        <v>4</v>
      </c>
      <c r="B38" s="178" t="s">
        <v>14</v>
      </c>
      <c r="C38" s="36" t="s">
        <v>85</v>
      </c>
      <c r="D38" s="36"/>
      <c r="E38" s="36" t="s">
        <v>92</v>
      </c>
      <c r="F38" s="36"/>
      <c r="G38" s="36" t="s">
        <v>80</v>
      </c>
      <c r="H38" s="36" t="s">
        <v>92</v>
      </c>
      <c r="I38" s="36"/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IF(ISBLANK(C38),"",VLOOKUP(C38,$B$106:$L$142,11,0))</f>
        <v>14H30-23H00</v>
      </c>
      <c r="D39" s="37" t="str">
        <f t="shared" si="18"/>
        <v/>
      </c>
      <c r="E39" s="37" t="str">
        <f t="shared" si="18"/>
        <v>10H00-18H30</v>
      </c>
      <c r="F39" s="37" t="str">
        <f t="shared" si="18"/>
        <v/>
      </c>
      <c r="G39" s="37" t="str">
        <f t="shared" si="18"/>
        <v>06H00-14H30</v>
      </c>
      <c r="H39" s="37" t="str">
        <f t="shared" si="18"/>
        <v>10H00-18H30</v>
      </c>
      <c r="I39" s="37" t="str">
        <f t="shared" si="18"/>
        <v/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7-(COUNTIF(C40:I40,"")+COUNTIF(C40:I40,$B$140))</f>
        <v>5</v>
      </c>
      <c r="B40" s="201" t="s">
        <v>15</v>
      </c>
      <c r="C40" s="36" t="s">
        <v>95</v>
      </c>
      <c r="D40" s="36" t="s">
        <v>81</v>
      </c>
      <c r="E40" s="36" t="s">
        <v>154</v>
      </c>
      <c r="F40" s="36" t="s">
        <v>137</v>
      </c>
      <c r="G40" s="36" t="s">
        <v>83</v>
      </c>
      <c r="H40" s="36" t="s">
        <v>151</v>
      </c>
      <c r="I40" s="36" t="s">
        <v>95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>
        <f t="shared" ref="C41:I41" si="19">IF(ISBLANK(C40),"",VLOOKUP(C40,$B$106:$L$142,11,0))</f>
        <v>0</v>
      </c>
      <c r="D41" s="37" t="str">
        <f t="shared" si="19"/>
        <v>14H30-23H00</v>
      </c>
      <c r="E41" s="37" t="str">
        <f t="shared" si="19"/>
        <v>13H00-21H30</v>
      </c>
      <c r="F41" s="37" t="str">
        <f t="shared" si="19"/>
        <v>06H00-14H30</v>
      </c>
      <c r="G41" s="37" t="str">
        <f t="shared" si="19"/>
        <v>09H00-17H30</v>
      </c>
      <c r="H41" s="37" t="str">
        <f t="shared" si="19"/>
        <v>08H30-17H00</v>
      </c>
      <c r="I41" s="37">
        <f t="shared" si="19"/>
        <v>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7-(COUNTIF(C42:I42,"")+COUNTIF(C42:I42,$B$140))</f>
        <v>5</v>
      </c>
      <c r="B42" s="186" t="s">
        <v>119</v>
      </c>
      <c r="C42" s="38" t="s">
        <v>91</v>
      </c>
      <c r="D42" s="38" t="s">
        <v>84</v>
      </c>
      <c r="E42" s="36"/>
      <c r="F42" s="38"/>
      <c r="G42" s="36" t="s">
        <v>92</v>
      </c>
      <c r="H42" s="36" t="s">
        <v>83</v>
      </c>
      <c r="I42" s="36" t="s">
        <v>139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IF(ISBLANK(C42),"",VLOOKUP(C42,$B$106:$L$142,11,0))</f>
        <v>06H00-14H30</v>
      </c>
      <c r="D43" s="43" t="str">
        <f t="shared" si="20"/>
        <v>13H30-22H00</v>
      </c>
      <c r="E43" s="43" t="str">
        <f t="shared" si="20"/>
        <v/>
      </c>
      <c r="F43" s="43" t="str">
        <f t="shared" si="20"/>
        <v/>
      </c>
      <c r="G43" s="43" t="str">
        <f t="shared" si="20"/>
        <v>10H00-18H30</v>
      </c>
      <c r="H43" s="43" t="str">
        <f t="shared" si="20"/>
        <v>09H00-17H30</v>
      </c>
      <c r="I43" s="43" t="str">
        <f t="shared" si="20"/>
        <v>14H00-22H30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7-(COUNTIF(C44:I44,"")+COUNTIF(C44:I44,$B$140))</f>
        <v>5</v>
      </c>
      <c r="B44" s="178" t="s">
        <v>16</v>
      </c>
      <c r="C44" s="36" t="s">
        <v>93</v>
      </c>
      <c r="D44" s="36" t="s">
        <v>84</v>
      </c>
      <c r="E44" s="36"/>
      <c r="F44" s="36" t="s">
        <v>85</v>
      </c>
      <c r="G44" s="36"/>
      <c r="H44" s="36" t="s">
        <v>31</v>
      </c>
      <c r="I44" s="36" t="s">
        <v>80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IF(ISBLANK(C44),"",VLOOKUP(C44,$B$106:$L$142,11,0))</f>
        <v>06H00-14H30</v>
      </c>
      <c r="D45" s="37" t="str">
        <f t="shared" si="21"/>
        <v>13H30-22H00</v>
      </c>
      <c r="E45" s="37" t="str">
        <f t="shared" si="21"/>
        <v/>
      </c>
      <c r="F45" s="37" t="str">
        <f t="shared" si="21"/>
        <v>14H30-23H00</v>
      </c>
      <c r="G45" s="37" t="str">
        <f t="shared" si="21"/>
        <v/>
      </c>
      <c r="H45" s="37" t="str">
        <f t="shared" si="21"/>
        <v>06H00-14H30</v>
      </c>
      <c r="I45" s="37" t="str">
        <f t="shared" si="21"/>
        <v>06H00-14H30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7-(COUNTIF(C46:I46,"")+COUNTIF(C46:I46,$B$140))</f>
        <v>5</v>
      </c>
      <c r="B46" s="178" t="s">
        <v>102</v>
      </c>
      <c r="C46" s="36" t="s">
        <v>40</v>
      </c>
      <c r="D46" s="36" t="s">
        <v>95</v>
      </c>
      <c r="E46" s="36" t="s">
        <v>84</v>
      </c>
      <c r="F46" s="36" t="s">
        <v>152</v>
      </c>
      <c r="G46" s="36" t="s">
        <v>79</v>
      </c>
      <c r="H46" s="36" t="s">
        <v>81</v>
      </c>
      <c r="I46" s="36"/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>
        <f t="shared" ref="C47:I47" si="22">IF(ISBLANK(C46),"",VLOOKUP(C46,$B$106:$L$142,11,0))</f>
        <v>0</v>
      </c>
      <c r="D47" s="37">
        <f t="shared" si="22"/>
        <v>0</v>
      </c>
      <c r="E47" s="37" t="str">
        <f t="shared" si="22"/>
        <v>13H30-22H00</v>
      </c>
      <c r="F47" s="37" t="str">
        <f t="shared" si="22"/>
        <v>08H30-17H00</v>
      </c>
      <c r="G47" s="37" t="str">
        <f t="shared" si="22"/>
        <v>09H00-17H30</v>
      </c>
      <c r="H47" s="37" t="str">
        <f t="shared" si="22"/>
        <v>14H30-23H00</v>
      </c>
      <c r="I47" s="37" t="str">
        <f t="shared" si="22"/>
        <v/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7-(COUNTIF(C48:I48,"")+COUNTIF(C48:I48,$B$140))</f>
        <v>5</v>
      </c>
      <c r="B48" s="178" t="s">
        <v>132</v>
      </c>
      <c r="C48" s="36" t="s">
        <v>82</v>
      </c>
      <c r="D48" s="36" t="s">
        <v>85</v>
      </c>
      <c r="E48" s="36" t="s">
        <v>84</v>
      </c>
      <c r="F48" s="36" t="s">
        <v>122</v>
      </c>
      <c r="G48" s="36"/>
      <c r="H48" s="36"/>
      <c r="I48" s="36" t="s">
        <v>91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IF(ISBLANK(C48),"",VLOOKUP(C48,$B$106:$L$142,11,0))</f>
        <v>06H00-14H30</v>
      </c>
      <c r="D49" s="37" t="str">
        <f t="shared" si="23"/>
        <v>14H30-23H00</v>
      </c>
      <c r="E49" s="37" t="str">
        <f t="shared" si="23"/>
        <v>13H30-22H00</v>
      </c>
      <c r="F49" s="37" t="str">
        <f t="shared" si="23"/>
        <v>06H00-14H30</v>
      </c>
      <c r="G49" s="37" t="str">
        <f t="shared" si="23"/>
        <v/>
      </c>
      <c r="H49" s="37" t="str">
        <f t="shared" si="23"/>
        <v/>
      </c>
      <c r="I49" s="37" t="str">
        <f t="shared" si="23"/>
        <v>06H00-14H30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7-(COUNTIF(C50:I50,"")+COUNTIF(C50:I50,$B$140))</f>
        <v>5</v>
      </c>
      <c r="B50" s="201" t="s">
        <v>17</v>
      </c>
      <c r="C50" s="36"/>
      <c r="D50" s="36" t="s">
        <v>82</v>
      </c>
      <c r="E50" s="36" t="s">
        <v>80</v>
      </c>
      <c r="F50" s="36" t="s">
        <v>79</v>
      </c>
      <c r="G50" s="36" t="s">
        <v>31</v>
      </c>
      <c r="H50" s="36" t="s">
        <v>139</v>
      </c>
      <c r="I50" s="36" t="s">
        <v>95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6"/>
      <c r="C51" s="37" t="str">
        <f t="shared" ref="C51:I51" si="24">IF(ISBLANK(C50),"",VLOOKUP(C50,$B$106:$L$142,11,0))</f>
        <v/>
      </c>
      <c r="D51" s="37" t="str">
        <f t="shared" si="24"/>
        <v>06H00-14H30</v>
      </c>
      <c r="E51" s="37" t="str">
        <f t="shared" si="24"/>
        <v>06H00-14H30</v>
      </c>
      <c r="F51" s="37" t="str">
        <f t="shared" si="24"/>
        <v>09H00-17H30</v>
      </c>
      <c r="G51" s="37" t="str">
        <f t="shared" si="24"/>
        <v>06H00-14H30</v>
      </c>
      <c r="H51" s="37" t="str">
        <f t="shared" si="24"/>
        <v>14H00-22H30</v>
      </c>
      <c r="I51" s="37">
        <f t="shared" si="24"/>
        <v>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7-(COUNTIF(C52:I52,"")+COUNTIF(C52:I52,$B$140))</f>
        <v>4</v>
      </c>
      <c r="B52" s="178" t="s">
        <v>127</v>
      </c>
      <c r="C52" s="36" t="s">
        <v>81</v>
      </c>
      <c r="D52" s="36" t="s">
        <v>95</v>
      </c>
      <c r="E52" s="36" t="s">
        <v>95</v>
      </c>
      <c r="F52" s="36" t="s">
        <v>82</v>
      </c>
      <c r="G52" s="36" t="s">
        <v>93</v>
      </c>
      <c r="H52" s="36" t="s">
        <v>82</v>
      </c>
      <c r="I52" s="36"/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IF(ISBLANK(C52),"",VLOOKUP(C52,$B$106:$L$142,11,0))</f>
        <v>14H30-23H00</v>
      </c>
      <c r="D53" s="37">
        <f t="shared" si="25"/>
        <v>0</v>
      </c>
      <c r="E53" s="37">
        <f t="shared" si="25"/>
        <v>0</v>
      </c>
      <c r="F53" s="37" t="str">
        <f t="shared" si="25"/>
        <v>06H00-14H30</v>
      </c>
      <c r="G53" s="37" t="str">
        <f t="shared" si="25"/>
        <v>06H00-14H30</v>
      </c>
      <c r="H53" s="37" t="str">
        <f t="shared" si="25"/>
        <v>06H00-14H30</v>
      </c>
      <c r="I53" s="37" t="str">
        <f t="shared" si="25"/>
        <v/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7-(COUNTIF(C54:I54,"")+COUNTIF(C54:I54,$B$140))</f>
        <v>4</v>
      </c>
      <c r="B54" s="201" t="s">
        <v>18</v>
      </c>
      <c r="C54" s="36"/>
      <c r="D54" s="36" t="s">
        <v>153</v>
      </c>
      <c r="E54" s="36"/>
      <c r="F54" s="36" t="s">
        <v>110</v>
      </c>
      <c r="G54" s="36"/>
      <c r="H54" s="36" t="s">
        <v>84</v>
      </c>
      <c r="I54" s="36" t="s">
        <v>79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6"/>
      <c r="C55" s="37" t="str">
        <f t="shared" ref="C55:I55" si="26">IF(ISBLANK(C54),"",VLOOKUP(C54,$B$106:$L$142,11,0))</f>
        <v/>
      </c>
      <c r="D55" s="37" t="str">
        <f t="shared" si="26"/>
        <v>22H00-06H30</v>
      </c>
      <c r="E55" s="37" t="str">
        <f t="shared" si="26"/>
        <v/>
      </c>
      <c r="F55" s="37" t="str">
        <f t="shared" si="26"/>
        <v>21H45-06H15</v>
      </c>
      <c r="G55" s="37" t="str">
        <f t="shared" si="26"/>
        <v/>
      </c>
      <c r="H55" s="37" t="str">
        <f t="shared" si="26"/>
        <v>13H30-22H00</v>
      </c>
      <c r="I55" s="37" t="str">
        <f t="shared" si="26"/>
        <v>09H00-17H30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7-(COUNTIF(C56:I56,"")+COUNTIF(C56:I56,$B$140))</f>
        <v>5</v>
      </c>
      <c r="B56" s="178" t="s">
        <v>19</v>
      </c>
      <c r="C56" s="36" t="s">
        <v>153</v>
      </c>
      <c r="D56" s="36"/>
      <c r="E56" s="36" t="s">
        <v>82</v>
      </c>
      <c r="F56" s="36" t="s">
        <v>90</v>
      </c>
      <c r="G56" s="36" t="s">
        <v>153</v>
      </c>
      <c r="H56" s="36" t="s">
        <v>110</v>
      </c>
      <c r="I56" s="36"/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IF(ISBLANK(C56),"",VLOOKUP(C56,$B$106:$L$142,11,0))</f>
        <v>22H00-06H30</v>
      </c>
      <c r="D57" s="37" t="str">
        <f t="shared" si="27"/>
        <v/>
      </c>
      <c r="E57" s="37" t="str">
        <f t="shared" si="27"/>
        <v>06H00-14H30</v>
      </c>
      <c r="F57" s="37" t="str">
        <f t="shared" si="27"/>
        <v>06H00-14H30</v>
      </c>
      <c r="G57" s="37" t="str">
        <f t="shared" si="27"/>
        <v>22H00-06H30</v>
      </c>
      <c r="H57" s="37" t="str">
        <f t="shared" si="27"/>
        <v>21H45-06H15</v>
      </c>
      <c r="I57" s="37" t="str">
        <f t="shared" si="27"/>
        <v/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7-(COUNTIF(C58:I58,"")+COUNTIF(C58:I58,$B$140))</f>
        <v>5</v>
      </c>
      <c r="B58" s="178" t="s">
        <v>20</v>
      </c>
      <c r="C58" s="36"/>
      <c r="D58" s="36" t="s">
        <v>93</v>
      </c>
      <c r="E58" s="36" t="s">
        <v>81</v>
      </c>
      <c r="F58" s="36"/>
      <c r="G58" s="36" t="s">
        <v>149</v>
      </c>
      <c r="H58" s="36" t="s">
        <v>80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IF(ISBLANK(C58),"",VLOOKUP(C58,$B$106:$L$142,11,0))</f>
        <v/>
      </c>
      <c r="D59" s="38" t="str">
        <f t="shared" si="28"/>
        <v>06H00-14H30</v>
      </c>
      <c r="E59" s="38" t="str">
        <f t="shared" si="28"/>
        <v>14H30-23H00</v>
      </c>
      <c r="F59" s="38" t="str">
        <f t="shared" si="28"/>
        <v/>
      </c>
      <c r="G59" s="38" t="str">
        <f t="shared" si="28"/>
        <v>09H00-17H30</v>
      </c>
      <c r="H59" s="38" t="str">
        <f t="shared" si="28"/>
        <v>06H00-14H30</v>
      </c>
      <c r="I59" s="38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7-(COUNTIF(C60:I60,"")+COUNTIF(C60:I60,$B$140))</f>
        <v>5</v>
      </c>
      <c r="B60" s="193" t="s">
        <v>133</v>
      </c>
      <c r="C60" s="36" t="s">
        <v>82</v>
      </c>
      <c r="D60" s="36" t="s">
        <v>90</v>
      </c>
      <c r="E60" s="36" t="s">
        <v>85</v>
      </c>
      <c r="F60" s="36"/>
      <c r="G60" s="36" t="s">
        <v>90</v>
      </c>
      <c r="H60" s="36"/>
      <c r="I60" s="36" t="s">
        <v>122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IF(ISBLANK(C60),"",VLOOKUP(C60,$B$106:$L$142,11,0))</f>
        <v>06H00-14H30</v>
      </c>
      <c r="D61" s="37" t="str">
        <f t="shared" si="29"/>
        <v>06H00-14H30</v>
      </c>
      <c r="E61" s="37" t="str">
        <f t="shared" si="29"/>
        <v>14H30-23H00</v>
      </c>
      <c r="F61" s="37" t="str">
        <f t="shared" si="29"/>
        <v/>
      </c>
      <c r="G61" s="37" t="str">
        <f t="shared" si="29"/>
        <v>06H00-14H30</v>
      </c>
      <c r="H61" s="37" t="str">
        <f t="shared" si="29"/>
        <v/>
      </c>
      <c r="I61" s="37" t="str">
        <f t="shared" si="29"/>
        <v>06H00-14H30</v>
      </c>
      <c r="J61" s="181"/>
      <c r="K61" s="139"/>
    </row>
    <row r="62" spans="1:12" s="39" customFormat="1" ht="13" customHeight="1" thickTop="1" x14ac:dyDescent="0.2">
      <c r="A62" s="21">
        <f>7-(COUNTIF(C62:I62,"")+COUNTIF(C62:I62,$B$140))</f>
        <v>5</v>
      </c>
      <c r="B62" s="178" t="s">
        <v>21</v>
      </c>
      <c r="C62" s="36" t="s">
        <v>95</v>
      </c>
      <c r="D62" s="36" t="s">
        <v>139</v>
      </c>
      <c r="E62" s="36" t="s">
        <v>79</v>
      </c>
      <c r="F62" s="36" t="s">
        <v>149</v>
      </c>
      <c r="G62" s="36" t="s">
        <v>122</v>
      </c>
      <c r="H62" s="36"/>
      <c r="I62" s="36" t="s">
        <v>82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>
        <f t="shared" ref="C63:I63" si="30">IF(ISBLANK(C62),"",VLOOKUP(C62,$B$106:$L$142,11,0))</f>
        <v>0</v>
      </c>
      <c r="D63" s="37" t="str">
        <f t="shared" si="30"/>
        <v>14H00-22H30</v>
      </c>
      <c r="E63" s="37" t="str">
        <f t="shared" si="30"/>
        <v>09H00-17H30</v>
      </c>
      <c r="F63" s="37" t="str">
        <f t="shared" si="30"/>
        <v>09H00-17H30</v>
      </c>
      <c r="G63" s="37" t="str">
        <f t="shared" si="30"/>
        <v>06H00-14H30</v>
      </c>
      <c r="H63" s="37" t="str">
        <f t="shared" si="30"/>
        <v/>
      </c>
      <c r="I63" s="37" t="str">
        <f t="shared" si="30"/>
        <v>06H00-14H30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7-(COUNTIF(C64:I64,"")+COUNTIF(C64:I64,$B$140))</f>
        <v>5</v>
      </c>
      <c r="B64" s="193" t="s">
        <v>131</v>
      </c>
      <c r="C64" s="36" t="s">
        <v>122</v>
      </c>
      <c r="D64" s="36" t="s">
        <v>91</v>
      </c>
      <c r="E64" s="36" t="s">
        <v>93</v>
      </c>
      <c r="F64" s="36" t="s">
        <v>81</v>
      </c>
      <c r="G64" s="36" t="s">
        <v>84</v>
      </c>
      <c r="H64" s="36" t="s">
        <v>95</v>
      </c>
      <c r="I64" s="36" t="s">
        <v>95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IF(ISBLANK(C64),"",VLOOKUP(C64,$B$106:$L$142,11,0))</f>
        <v>06H00-14H30</v>
      </c>
      <c r="D65" s="37" t="str">
        <f t="shared" si="31"/>
        <v>06H00-14H30</v>
      </c>
      <c r="E65" s="37" t="str">
        <f t="shared" si="31"/>
        <v>06H00-14H30</v>
      </c>
      <c r="F65" s="37" t="str">
        <f t="shared" si="31"/>
        <v>14H30-23H00</v>
      </c>
      <c r="G65" s="37" t="str">
        <f t="shared" si="31"/>
        <v>13H30-22H00</v>
      </c>
      <c r="H65" s="37">
        <f t="shared" si="31"/>
        <v>0</v>
      </c>
      <c r="I65" s="37">
        <f t="shared" si="31"/>
        <v>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7-(COUNTIF(C66:I66,"")+COUNTIF(C66:I66,$B$140))</f>
        <v>4</v>
      </c>
      <c r="B66" s="178" t="s">
        <v>124</v>
      </c>
      <c r="C66" s="36"/>
      <c r="D66" s="36" t="s">
        <v>110</v>
      </c>
      <c r="E66" s="36"/>
      <c r="F66" s="36" t="s">
        <v>153</v>
      </c>
      <c r="G66" s="36"/>
      <c r="H66" s="36" t="s">
        <v>150</v>
      </c>
      <c r="I66" s="36" t="s">
        <v>110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IF(ISBLANK(C66),"",VLOOKUP(C66,$B$106:$L$142,11,0))</f>
        <v/>
      </c>
      <c r="D67" s="37" t="str">
        <f t="shared" si="32"/>
        <v>21H45-06H15</v>
      </c>
      <c r="E67" s="37" t="str">
        <f t="shared" si="32"/>
        <v/>
      </c>
      <c r="F67" s="37" t="str">
        <f t="shared" si="32"/>
        <v>22H00-06H30</v>
      </c>
      <c r="G67" s="37" t="str">
        <f t="shared" si="32"/>
        <v/>
      </c>
      <c r="H67" s="37" t="str">
        <f t="shared" si="32"/>
        <v>09H00-17H30</v>
      </c>
      <c r="I67" s="37" t="str">
        <f t="shared" si="32"/>
        <v>21H45-06H15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7-(COUNTIF(C68:I68,"")+COUNTIF(C68:I68,$B$140))</f>
        <v>5</v>
      </c>
      <c r="B68" s="186" t="s">
        <v>146</v>
      </c>
      <c r="C68" s="38"/>
      <c r="D68" s="36" t="s">
        <v>150</v>
      </c>
      <c r="E68" s="36" t="s">
        <v>82</v>
      </c>
      <c r="F68" s="36" t="s">
        <v>82</v>
      </c>
      <c r="G68" s="36" t="s">
        <v>91</v>
      </c>
      <c r="H68" s="35"/>
      <c r="I68" s="35" t="s">
        <v>81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IF(ISBLANK(C68),"",VLOOKUP(C68,$B$106:$L$142,11,0))</f>
        <v/>
      </c>
      <c r="D69" s="37" t="str">
        <f t="shared" si="33"/>
        <v>09H00-17H30</v>
      </c>
      <c r="E69" s="37" t="str">
        <f t="shared" si="33"/>
        <v>06H00-14H30</v>
      </c>
      <c r="F69" s="37" t="str">
        <f t="shared" si="33"/>
        <v>06H00-14H30</v>
      </c>
      <c r="G69" s="37" t="str">
        <f t="shared" si="33"/>
        <v>06H00-14H30</v>
      </c>
      <c r="H69" s="37" t="str">
        <f t="shared" si="33"/>
        <v/>
      </c>
      <c r="I69" s="37" t="str">
        <f t="shared" si="33"/>
        <v>14H30-23H00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7-(COUNTIF(C70:I70,"")+COUNTIF(C70:I70,$B$140))</f>
        <v>5</v>
      </c>
      <c r="B70" s="178" t="s">
        <v>104</v>
      </c>
      <c r="C70" s="36" t="s">
        <v>150</v>
      </c>
      <c r="D70" s="36" t="s">
        <v>122</v>
      </c>
      <c r="E70" s="36" t="s">
        <v>110</v>
      </c>
      <c r="F70" s="36"/>
      <c r="G70" s="36" t="s">
        <v>110</v>
      </c>
      <c r="H70" s="36" t="s">
        <v>153</v>
      </c>
      <c r="I70" s="36" t="s">
        <v>95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IF(ISBLANK(C70),"",VLOOKUP(C70,$B$106:$L$142,11,0))</f>
        <v>09H00-17H30</v>
      </c>
      <c r="D71" s="37" t="str">
        <f t="shared" si="34"/>
        <v>06H00-14H30</v>
      </c>
      <c r="E71" s="37" t="str">
        <f t="shared" si="34"/>
        <v>21H45-06H15</v>
      </c>
      <c r="F71" s="37" t="str">
        <f t="shared" si="34"/>
        <v/>
      </c>
      <c r="G71" s="37" t="str">
        <f t="shared" si="34"/>
        <v>21H45-06H15</v>
      </c>
      <c r="H71" s="37" t="str">
        <f t="shared" si="34"/>
        <v>22H00-06H30</v>
      </c>
      <c r="I71" s="37">
        <f t="shared" si="34"/>
        <v>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7-(COUNTIF(C72:I72,"")+COUNTIF(C72:I72,$B$140))</f>
        <v>5</v>
      </c>
      <c r="B72" s="201" t="s">
        <v>23</v>
      </c>
      <c r="C72" s="36" t="s">
        <v>84</v>
      </c>
      <c r="D72" s="36"/>
      <c r="E72" s="36" t="s">
        <v>137</v>
      </c>
      <c r="F72" s="36" t="s">
        <v>93</v>
      </c>
      <c r="G72" s="36" t="s">
        <v>150</v>
      </c>
      <c r="H72" s="36"/>
      <c r="I72" s="36" t="s">
        <v>123</v>
      </c>
      <c r="J72" s="180" t="s">
        <v>68</v>
      </c>
      <c r="K72" s="139">
        <v>5</v>
      </c>
      <c r="L72" s="40"/>
    </row>
    <row r="73" spans="1:12" s="39" customFormat="1" ht="13" customHeight="1" thickBot="1" x14ac:dyDescent="0.25">
      <c r="B73" s="196"/>
      <c r="C73" s="37" t="str">
        <f t="shared" ref="C73:I73" si="35">IF(ISBLANK(C72),"",VLOOKUP(C72,$B$106:$L$142,11,0))</f>
        <v>13H30-22H00</v>
      </c>
      <c r="D73" s="37" t="str">
        <f t="shared" si="35"/>
        <v/>
      </c>
      <c r="E73" s="37" t="str">
        <f t="shared" si="35"/>
        <v>06H00-14H30</v>
      </c>
      <c r="F73" s="37" t="str">
        <f t="shared" si="35"/>
        <v>06H00-14H30</v>
      </c>
      <c r="G73" s="37" t="str">
        <f t="shared" si="35"/>
        <v>09H00-17H30</v>
      </c>
      <c r="H73" s="37" t="str">
        <f t="shared" si="35"/>
        <v/>
      </c>
      <c r="I73" s="37" t="str">
        <f t="shared" si="35"/>
        <v>14H30-23H00</v>
      </c>
      <c r="J73" s="181" t="s">
        <v>69</v>
      </c>
      <c r="K73" s="139"/>
      <c r="L73" s="40"/>
    </row>
    <row r="74" spans="1:12" s="39" customFormat="1" ht="13" customHeight="1" thickTop="1" x14ac:dyDescent="0.2">
      <c r="A74" s="21">
        <f>7-(COUNTIF(C74:I74,"")+COUNTIF(C74:I74,$B$140))</f>
        <v>4</v>
      </c>
      <c r="B74" s="193" t="s">
        <v>120</v>
      </c>
      <c r="C74" s="36" t="s">
        <v>123</v>
      </c>
      <c r="D74" s="36"/>
      <c r="E74" s="36" t="s">
        <v>150</v>
      </c>
      <c r="F74" s="36"/>
      <c r="G74" s="36" t="s">
        <v>82</v>
      </c>
      <c r="H74" s="36" t="s">
        <v>90</v>
      </c>
      <c r="I74" s="36"/>
      <c r="J74" s="180" t="s">
        <v>121</v>
      </c>
      <c r="K74" s="139">
        <v>4</v>
      </c>
      <c r="L74" s="40"/>
    </row>
    <row r="75" spans="1:12" s="39" customFormat="1" ht="13" customHeight="1" thickBot="1" x14ac:dyDescent="0.25">
      <c r="B75" s="194"/>
      <c r="C75" s="37" t="str">
        <f t="shared" ref="C75:I75" si="36">IF(ISBLANK(C74),"",VLOOKUP(C74,$B$106:$L$142,11,0))</f>
        <v>14H30-23H00</v>
      </c>
      <c r="D75" s="37" t="str">
        <f t="shared" si="36"/>
        <v/>
      </c>
      <c r="E75" s="37" t="str">
        <f t="shared" si="36"/>
        <v>09H00-17H30</v>
      </c>
      <c r="F75" s="37" t="str">
        <f t="shared" si="36"/>
        <v/>
      </c>
      <c r="G75" s="37" t="str">
        <f t="shared" si="36"/>
        <v>06H00-14H30</v>
      </c>
      <c r="H75" s="37" t="str">
        <f t="shared" si="36"/>
        <v>06H00-14H30</v>
      </c>
      <c r="I75" s="37" t="str">
        <f t="shared" si="36"/>
        <v/>
      </c>
      <c r="J75" s="181" t="s">
        <v>63</v>
      </c>
      <c r="K75" s="139"/>
      <c r="L75" s="40"/>
    </row>
    <row r="76" spans="1:12" s="39" customFormat="1" ht="13" customHeight="1" thickTop="1" x14ac:dyDescent="0.2">
      <c r="A76" s="21">
        <f>7-(COUNTIF(C76:I76,"")+COUNTIF(C76:I76,$B$140))</f>
        <v>5</v>
      </c>
      <c r="B76" s="178" t="s">
        <v>113</v>
      </c>
      <c r="C76" s="36" t="s">
        <v>137</v>
      </c>
      <c r="D76" s="36"/>
      <c r="E76" s="36" t="s">
        <v>149</v>
      </c>
      <c r="F76" s="36"/>
      <c r="G76" s="36" t="s">
        <v>81</v>
      </c>
      <c r="H76" s="36" t="s">
        <v>84</v>
      </c>
      <c r="I76" s="36" t="s">
        <v>150</v>
      </c>
      <c r="J76" s="180" t="s">
        <v>45</v>
      </c>
      <c r="K76" s="139">
        <v>5</v>
      </c>
      <c r="L76" s="40"/>
    </row>
    <row r="77" spans="1:12" s="39" customFormat="1" ht="13" customHeight="1" thickBot="1" x14ac:dyDescent="0.25">
      <c r="B77" s="202"/>
      <c r="C77" s="37" t="str">
        <f t="shared" ref="C77:I77" si="37">IF(ISBLANK(C76),"",VLOOKUP(C76,$B$106:$L$142,11,0))</f>
        <v>06H00-14H30</v>
      </c>
      <c r="D77" s="37" t="str">
        <f t="shared" si="37"/>
        <v/>
      </c>
      <c r="E77" s="37" t="str">
        <f t="shared" si="37"/>
        <v>09H00-17H30</v>
      </c>
      <c r="F77" s="37" t="str">
        <f t="shared" si="37"/>
        <v/>
      </c>
      <c r="G77" s="37" t="str">
        <f t="shared" si="37"/>
        <v>14H30-23H00</v>
      </c>
      <c r="H77" s="37" t="str">
        <f t="shared" si="37"/>
        <v>13H30-22H00</v>
      </c>
      <c r="I77" s="37" t="str">
        <f t="shared" si="37"/>
        <v>09H00-17H30</v>
      </c>
      <c r="J77" s="181" t="s">
        <v>44</v>
      </c>
      <c r="K77" s="139"/>
      <c r="L77" s="40"/>
    </row>
    <row r="78" spans="1:12" s="39" customFormat="1" ht="13" customHeight="1" thickTop="1" x14ac:dyDescent="0.2">
      <c r="A78" s="21">
        <f>7-(COUNTIF(C78:I78,"")+COUNTIF(C78:I78,$B$140))</f>
        <v>5</v>
      </c>
      <c r="B78" s="207" t="s">
        <v>25</v>
      </c>
      <c r="C78" s="36" t="s">
        <v>79</v>
      </c>
      <c r="D78" s="36" t="s">
        <v>152</v>
      </c>
      <c r="E78" s="36" t="s">
        <v>83</v>
      </c>
      <c r="F78" s="36" t="s">
        <v>139</v>
      </c>
      <c r="G78" s="36" t="s">
        <v>84</v>
      </c>
      <c r="H78" s="36" t="s">
        <v>95</v>
      </c>
      <c r="I78" s="36" t="s">
        <v>95</v>
      </c>
      <c r="J78" s="180" t="s">
        <v>70</v>
      </c>
      <c r="K78" s="139">
        <v>5</v>
      </c>
      <c r="L78" s="40"/>
    </row>
    <row r="79" spans="1:12" s="39" customFormat="1" ht="13" customHeight="1" thickBot="1" x14ac:dyDescent="0.25">
      <c r="B79" s="208"/>
      <c r="C79" s="38" t="str">
        <f t="shared" ref="C79:I79" si="38">IF(ISBLANK(C78),"",VLOOKUP(C78,$B$106:$L$142,11,0))</f>
        <v>09H00-17H30</v>
      </c>
      <c r="D79" s="38" t="str">
        <f t="shared" si="38"/>
        <v>08H30-17H00</v>
      </c>
      <c r="E79" s="38" t="str">
        <f t="shared" si="38"/>
        <v>09H00-17H30</v>
      </c>
      <c r="F79" s="38" t="str">
        <f t="shared" si="38"/>
        <v>14H00-22H30</v>
      </c>
      <c r="G79" s="38" t="str">
        <f t="shared" si="38"/>
        <v>13H30-22H00</v>
      </c>
      <c r="H79" s="38">
        <f t="shared" si="38"/>
        <v>0</v>
      </c>
      <c r="I79" s="38">
        <f t="shared" si="38"/>
        <v>0</v>
      </c>
      <c r="J79" s="188" t="s">
        <v>71</v>
      </c>
      <c r="K79" s="139"/>
      <c r="L79" s="40"/>
    </row>
    <row r="80" spans="1:12" s="39" customFormat="1" ht="13" customHeight="1" thickTop="1" x14ac:dyDescent="0.2">
      <c r="A80" s="21">
        <f>7-(COUNTIF(C80:I80,"")+COUNTIF(C80:I80,$B$140))</f>
        <v>5</v>
      </c>
      <c r="B80" s="178" t="s">
        <v>105</v>
      </c>
      <c r="C80" s="36"/>
      <c r="D80" s="36" t="s">
        <v>154</v>
      </c>
      <c r="E80" s="36" t="s">
        <v>152</v>
      </c>
      <c r="F80" s="36"/>
      <c r="G80" s="36" t="s">
        <v>82</v>
      </c>
      <c r="H80" s="36" t="s">
        <v>79</v>
      </c>
      <c r="I80" s="36" t="s">
        <v>31</v>
      </c>
      <c r="J80" s="180" t="s">
        <v>71</v>
      </c>
      <c r="K80" s="139">
        <v>5</v>
      </c>
      <c r="L80" s="40"/>
    </row>
    <row r="81" spans="1:12" s="39" customFormat="1" ht="13" customHeight="1" thickBot="1" x14ac:dyDescent="0.25">
      <c r="B81" s="179"/>
      <c r="C81" s="37" t="str">
        <f t="shared" ref="C81:I81" si="39">IF(ISBLANK(C80),"",VLOOKUP(C80,$B$106:$L$142,11,0))</f>
        <v/>
      </c>
      <c r="D81" s="37" t="str">
        <f t="shared" si="39"/>
        <v>13H00-21H30</v>
      </c>
      <c r="E81" s="37" t="str">
        <f t="shared" si="39"/>
        <v>08H30-17H00</v>
      </c>
      <c r="F81" s="37" t="str">
        <f t="shared" si="39"/>
        <v/>
      </c>
      <c r="G81" s="37" t="str">
        <f t="shared" si="39"/>
        <v>06H00-14H30</v>
      </c>
      <c r="H81" s="37" t="str">
        <f t="shared" si="39"/>
        <v>09H00-17H30</v>
      </c>
      <c r="I81" s="37" t="str">
        <f t="shared" si="39"/>
        <v>06H00-14H30</v>
      </c>
      <c r="J81" s="181" t="s">
        <v>72</v>
      </c>
      <c r="K81" s="139"/>
      <c r="L81" s="40"/>
    </row>
    <row r="82" spans="1:12" s="39" customFormat="1" ht="13" customHeight="1" thickTop="1" x14ac:dyDescent="0.2">
      <c r="A82" s="21">
        <f>7-(COUNTIF(C82:I82,"")+COUNTIF(C82:I82,$B$140))</f>
        <v>5</v>
      </c>
      <c r="B82" s="178" t="s">
        <v>143</v>
      </c>
      <c r="C82" s="38" t="s">
        <v>92</v>
      </c>
      <c r="D82" s="36"/>
      <c r="E82" s="36" t="s">
        <v>84</v>
      </c>
      <c r="F82" s="36" t="s">
        <v>150</v>
      </c>
      <c r="G82" s="36" t="s">
        <v>85</v>
      </c>
      <c r="H82" s="35"/>
      <c r="I82" s="35" t="s">
        <v>82</v>
      </c>
      <c r="J82" s="180" t="s">
        <v>142</v>
      </c>
      <c r="K82" s="139">
        <v>4</v>
      </c>
      <c r="L82" s="40"/>
    </row>
    <row r="83" spans="1:12" ht="13" customHeight="1" thickBot="1" x14ac:dyDescent="0.25">
      <c r="A83" s="41"/>
      <c r="B83" s="179"/>
      <c r="C83" s="37" t="str">
        <f t="shared" ref="C83:I83" si="40">IF(ISBLANK(C82),"",VLOOKUP(C82,$B$106:$L$142,11,0))</f>
        <v>10H00-18H30</v>
      </c>
      <c r="D83" s="37" t="str">
        <f t="shared" si="40"/>
        <v/>
      </c>
      <c r="E83" s="37" t="str">
        <f t="shared" si="40"/>
        <v>13H30-22H00</v>
      </c>
      <c r="F83" s="37" t="str">
        <f t="shared" si="40"/>
        <v>09H00-17H30</v>
      </c>
      <c r="G83" s="37" t="str">
        <f t="shared" si="40"/>
        <v>14H30-23H00</v>
      </c>
      <c r="H83" s="37" t="str">
        <f t="shared" si="40"/>
        <v/>
      </c>
      <c r="I83" s="37" t="str">
        <f t="shared" si="40"/>
        <v>06H00-14H30</v>
      </c>
      <c r="J83" s="181" t="s">
        <v>57</v>
      </c>
      <c r="K83" s="139"/>
    </row>
    <row r="84" spans="1:12" s="39" customFormat="1" ht="13" customHeight="1" thickTop="1" x14ac:dyDescent="0.2">
      <c r="A84" s="21">
        <f>7-(COUNTIF(C84:I84,"")+COUNTIF(C84:I84,$B$140))</f>
        <v>5</v>
      </c>
      <c r="B84" s="201" t="s">
        <v>26</v>
      </c>
      <c r="C84" s="38" t="s">
        <v>152</v>
      </c>
      <c r="D84" s="36" t="s">
        <v>137</v>
      </c>
      <c r="E84" s="36"/>
      <c r="F84" s="36"/>
      <c r="G84" s="36" t="s">
        <v>139</v>
      </c>
      <c r="H84" s="36" t="s">
        <v>154</v>
      </c>
      <c r="I84" s="36" t="s">
        <v>151</v>
      </c>
      <c r="J84" s="180" t="s">
        <v>72</v>
      </c>
      <c r="K84" s="139">
        <v>5</v>
      </c>
      <c r="L84" s="40"/>
    </row>
    <row r="85" spans="1:12" s="39" customFormat="1" ht="13" customHeight="1" thickBot="1" x14ac:dyDescent="0.25">
      <c r="B85" s="196"/>
      <c r="C85" s="37" t="str">
        <f t="shared" ref="C85:I85" si="41">IF(ISBLANK(C84),"",VLOOKUP(C84,$B$106:$L$142,11,0))</f>
        <v>08H30-17H00</v>
      </c>
      <c r="D85" s="37" t="str">
        <f t="shared" si="41"/>
        <v>06H00-14H30</v>
      </c>
      <c r="E85" s="37" t="str">
        <f t="shared" si="41"/>
        <v/>
      </c>
      <c r="F85" s="37" t="str">
        <f t="shared" si="41"/>
        <v/>
      </c>
      <c r="G85" s="37" t="str">
        <f t="shared" si="41"/>
        <v>14H00-22H30</v>
      </c>
      <c r="H85" s="37" t="str">
        <f t="shared" si="41"/>
        <v>13H00-21H30</v>
      </c>
      <c r="I85" s="37" t="str">
        <f t="shared" si="41"/>
        <v>08H30-17H00</v>
      </c>
      <c r="J85" s="181" t="s">
        <v>73</v>
      </c>
      <c r="K85" s="139"/>
      <c r="L85" s="40"/>
    </row>
    <row r="86" spans="1:12" s="39" customFormat="1" ht="13" customHeight="1" thickTop="1" x14ac:dyDescent="0.2">
      <c r="A86" s="21">
        <f>7-(COUNTIF(C86:I86,"")+COUNTIF(C86:I86,$B$140))</f>
        <v>5</v>
      </c>
      <c r="B86" s="201" t="s">
        <v>27</v>
      </c>
      <c r="C86" s="36" t="s">
        <v>31</v>
      </c>
      <c r="D86" s="36" t="s">
        <v>80</v>
      </c>
      <c r="E86" s="36"/>
      <c r="F86" s="36"/>
      <c r="G86" s="36" t="s">
        <v>84</v>
      </c>
      <c r="H86" s="36" t="s">
        <v>123</v>
      </c>
      <c r="I86" s="36" t="s">
        <v>83</v>
      </c>
      <c r="J86" s="180" t="s">
        <v>74</v>
      </c>
      <c r="K86" s="139">
        <v>5</v>
      </c>
      <c r="L86" s="40"/>
    </row>
    <row r="87" spans="1:12" s="39" customFormat="1" ht="13" customHeight="1" thickBot="1" x14ac:dyDescent="0.25">
      <c r="B87" s="196"/>
      <c r="C87" s="37" t="str">
        <f t="shared" ref="C87:I87" si="42">IF(ISBLANK(C86),"",VLOOKUP(C86,$B$106:$L$142,11,0))</f>
        <v>06H00-14H30</v>
      </c>
      <c r="D87" s="37" t="str">
        <f t="shared" si="42"/>
        <v>06H00-14H30</v>
      </c>
      <c r="E87" s="37" t="str">
        <f t="shared" si="42"/>
        <v/>
      </c>
      <c r="F87" s="37" t="str">
        <f t="shared" si="42"/>
        <v/>
      </c>
      <c r="G87" s="37" t="str">
        <f t="shared" si="42"/>
        <v>13H30-22H00</v>
      </c>
      <c r="H87" s="37" t="str">
        <f t="shared" si="42"/>
        <v>14H30-23H00</v>
      </c>
      <c r="I87" s="37" t="str">
        <f t="shared" si="42"/>
        <v>09H00-17H30</v>
      </c>
      <c r="J87" s="181" t="s">
        <v>75</v>
      </c>
      <c r="K87" s="139"/>
      <c r="L87" s="40"/>
    </row>
    <row r="88" spans="1:12" s="39" customFormat="1" ht="13" customHeight="1" thickTop="1" x14ac:dyDescent="0.2">
      <c r="A88" s="21">
        <f>7-(COUNTIF(C88:I88,"")+COUNTIF(C88:I88,$B$140))</f>
        <v>5</v>
      </c>
      <c r="B88" s="193" t="s">
        <v>115</v>
      </c>
      <c r="C88" s="36" t="s">
        <v>80</v>
      </c>
      <c r="D88" s="36" t="s">
        <v>83</v>
      </c>
      <c r="E88" s="36" t="s">
        <v>31</v>
      </c>
      <c r="F88" s="36" t="s">
        <v>84</v>
      </c>
      <c r="G88" s="36" t="s">
        <v>123</v>
      </c>
      <c r="H88" s="36" t="s">
        <v>95</v>
      </c>
      <c r="I88" s="36" t="s">
        <v>95</v>
      </c>
      <c r="J88" s="188" t="s">
        <v>63</v>
      </c>
      <c r="K88" s="139">
        <v>5</v>
      </c>
      <c r="L88" s="40"/>
    </row>
    <row r="89" spans="1:12" s="39" customFormat="1" ht="13" customHeight="1" thickBot="1" x14ac:dyDescent="0.25">
      <c r="B89" s="206"/>
      <c r="C89" s="43" t="str">
        <f t="shared" ref="C89:I89" si="43">IF(ISBLANK(C88),"",VLOOKUP(C88,$B$106:$L$142,11,0))</f>
        <v>06H00-14H30</v>
      </c>
      <c r="D89" s="43" t="str">
        <f t="shared" si="43"/>
        <v>09H00-17H30</v>
      </c>
      <c r="E89" s="43" t="str">
        <f t="shared" si="43"/>
        <v>06H00-14H30</v>
      </c>
      <c r="F89" s="43" t="str">
        <f t="shared" si="43"/>
        <v>13H30-22H00</v>
      </c>
      <c r="G89" s="43" t="str">
        <f t="shared" si="43"/>
        <v>14H30-23H00</v>
      </c>
      <c r="H89" s="43">
        <f t="shared" si="43"/>
        <v>0</v>
      </c>
      <c r="I89" s="43">
        <f t="shared" si="43"/>
        <v>0</v>
      </c>
      <c r="J89" s="203"/>
      <c r="K89" s="139"/>
      <c r="L89" s="40"/>
    </row>
    <row r="90" spans="1:12" s="39" customFormat="1" ht="13" customHeight="1" thickTop="1" x14ac:dyDescent="0.2">
      <c r="A90" s="21">
        <f>7-(COUNTIF(C90:I90,"")+COUNTIF(C90:I90,$B$140))</f>
        <v>4</v>
      </c>
      <c r="B90" s="178" t="s">
        <v>148</v>
      </c>
      <c r="C90" s="36" t="s">
        <v>84</v>
      </c>
      <c r="D90" s="36"/>
      <c r="E90" s="36"/>
      <c r="F90" s="36" t="s">
        <v>84</v>
      </c>
      <c r="G90" s="36"/>
      <c r="H90" s="36" t="s">
        <v>84</v>
      </c>
      <c r="I90" s="36" t="s">
        <v>92</v>
      </c>
      <c r="J90" s="180" t="s">
        <v>144</v>
      </c>
      <c r="K90" s="139">
        <v>4</v>
      </c>
      <c r="L90" s="40"/>
    </row>
    <row r="91" spans="1:12" ht="13" customHeight="1" thickBot="1" x14ac:dyDescent="0.25">
      <c r="A91" s="41"/>
      <c r="B91" s="179"/>
      <c r="C91" s="37" t="str">
        <f t="shared" ref="C91:I91" si="44">IF(ISBLANK(C90),"",VLOOKUP(C90,$B$106:$L$142,11,0))</f>
        <v>13H30-22H00</v>
      </c>
      <c r="D91" s="37" t="str">
        <f t="shared" si="44"/>
        <v/>
      </c>
      <c r="E91" s="37" t="str">
        <f t="shared" si="44"/>
        <v/>
      </c>
      <c r="F91" s="37" t="str">
        <f t="shared" si="44"/>
        <v>13H30-22H00</v>
      </c>
      <c r="G91" s="37" t="str">
        <f t="shared" si="44"/>
        <v/>
      </c>
      <c r="H91" s="37" t="str">
        <f t="shared" si="44"/>
        <v>13H30-22H00</v>
      </c>
      <c r="I91" s="37" t="str">
        <f t="shared" si="44"/>
        <v>10H00-18H30</v>
      </c>
      <c r="J91" s="181" t="s">
        <v>57</v>
      </c>
      <c r="K91" s="139"/>
    </row>
    <row r="92" spans="1:12" s="39" customFormat="1" ht="13" customHeight="1" thickTop="1" x14ac:dyDescent="0.2">
      <c r="A92" s="21">
        <f>7-(COUNTIF(C92:I92,"")+COUNTIF(C92:I92,$B$140))</f>
        <v>4</v>
      </c>
      <c r="B92" s="178" t="s">
        <v>147</v>
      </c>
      <c r="C92" s="36"/>
      <c r="D92" s="36" t="s">
        <v>92</v>
      </c>
      <c r="E92" s="36" t="s">
        <v>122</v>
      </c>
      <c r="F92" s="36" t="s">
        <v>83</v>
      </c>
      <c r="G92" s="36"/>
      <c r="H92" s="36" t="s">
        <v>85</v>
      </c>
      <c r="I92" s="36" t="s">
        <v>95</v>
      </c>
      <c r="J92" s="180" t="s">
        <v>145</v>
      </c>
      <c r="K92" s="139">
        <v>4</v>
      </c>
      <c r="L92" s="40"/>
    </row>
    <row r="93" spans="1:12" ht="13" customHeight="1" thickBot="1" x14ac:dyDescent="0.25">
      <c r="A93" s="41"/>
      <c r="B93" s="179"/>
      <c r="C93" s="37" t="str">
        <f t="shared" ref="C93:I93" si="45">IF(ISBLANK(C92),"",VLOOKUP(C92,$B$106:$L$142,11,0))</f>
        <v/>
      </c>
      <c r="D93" s="37" t="str">
        <f t="shared" si="45"/>
        <v>10H00-18H30</v>
      </c>
      <c r="E93" s="37" t="str">
        <f t="shared" si="45"/>
        <v>06H00-14H30</v>
      </c>
      <c r="F93" s="37" t="str">
        <f t="shared" si="45"/>
        <v>09H00-17H30</v>
      </c>
      <c r="G93" s="37" t="str">
        <f t="shared" si="45"/>
        <v/>
      </c>
      <c r="H93" s="37" t="str">
        <f t="shared" si="45"/>
        <v>14H30-23H00</v>
      </c>
      <c r="I93" s="37">
        <f t="shared" si="45"/>
        <v>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7-(COUNTIF(C94:I94,"")+COUNTIF(C94:I94,$B$140))</f>
        <v>5</v>
      </c>
      <c r="B94" s="201" t="s">
        <v>106</v>
      </c>
      <c r="C94" s="36" t="s">
        <v>83</v>
      </c>
      <c r="D94" s="36" t="s">
        <v>79</v>
      </c>
      <c r="E94" s="36" t="s">
        <v>167</v>
      </c>
      <c r="F94" s="36"/>
      <c r="G94" s="36" t="s">
        <v>167</v>
      </c>
      <c r="H94" s="36" t="s">
        <v>149</v>
      </c>
      <c r="I94" s="36"/>
      <c r="J94" s="180" t="s">
        <v>75</v>
      </c>
      <c r="K94" s="139">
        <v>5</v>
      </c>
      <c r="L94" s="40"/>
    </row>
    <row r="95" spans="1:12" s="39" customFormat="1" ht="13" customHeight="1" thickBot="1" x14ac:dyDescent="0.25">
      <c r="B95" s="196"/>
      <c r="C95" s="37" t="str">
        <f t="shared" ref="C95:I95" si="46">IF(ISBLANK(C94),"",VLOOKUP(C94,$B$106:$L$142,11,0))</f>
        <v>09H00-17H30</v>
      </c>
      <c r="D95" s="37" t="str">
        <f t="shared" si="46"/>
        <v>09H00-17H30</v>
      </c>
      <c r="E95" s="37" t="str">
        <f t="shared" si="46"/>
        <v>08H00-16H30</v>
      </c>
      <c r="F95" s="37" t="str">
        <f t="shared" si="46"/>
        <v/>
      </c>
      <c r="G95" s="37" t="str">
        <f t="shared" si="46"/>
        <v>08H00-16H30</v>
      </c>
      <c r="H95" s="37" t="str">
        <f t="shared" si="46"/>
        <v>09H00-17H30</v>
      </c>
      <c r="I95" s="37" t="str">
        <f t="shared" si="46"/>
        <v/>
      </c>
      <c r="J95" s="181" t="s">
        <v>76</v>
      </c>
      <c r="K95" s="139"/>
      <c r="L95" s="40"/>
    </row>
    <row r="96" spans="1:12" s="39" customFormat="1" ht="13" customHeight="1" thickTop="1" x14ac:dyDescent="0.2">
      <c r="A96" s="21">
        <f>7-(COUNTIF(C96:I96,"")+COUNTIF(C96:I96,$B$140))</f>
        <v>5</v>
      </c>
      <c r="B96" s="178" t="s">
        <v>28</v>
      </c>
      <c r="C96" s="36" t="s">
        <v>90</v>
      </c>
      <c r="D96" s="36" t="s">
        <v>84</v>
      </c>
      <c r="E96" s="38"/>
      <c r="F96" s="38" t="s">
        <v>123</v>
      </c>
      <c r="G96" s="36"/>
      <c r="H96" s="38" t="s">
        <v>82</v>
      </c>
      <c r="I96" s="38" t="s">
        <v>90</v>
      </c>
      <c r="J96" s="180" t="s">
        <v>76</v>
      </c>
      <c r="K96" s="139">
        <v>5</v>
      </c>
      <c r="L96" s="40"/>
    </row>
    <row r="97" spans="1:12" s="39" customFormat="1" ht="13" customHeight="1" thickBot="1" x14ac:dyDescent="0.25">
      <c r="B97" s="179"/>
      <c r="C97" s="37" t="str">
        <f t="shared" ref="C97:I97" si="47">IF(ISBLANK(C96),"",VLOOKUP(C96,$B$106:$L$142,11,0))</f>
        <v>06H00-14H30</v>
      </c>
      <c r="D97" s="37" t="str">
        <f t="shared" si="47"/>
        <v>13H30-22H00</v>
      </c>
      <c r="E97" s="37" t="str">
        <f t="shared" si="47"/>
        <v/>
      </c>
      <c r="F97" s="37" t="str">
        <f t="shared" si="47"/>
        <v>14H30-23H00</v>
      </c>
      <c r="G97" s="37" t="str">
        <f t="shared" si="47"/>
        <v/>
      </c>
      <c r="H97" s="37" t="str">
        <f t="shared" si="47"/>
        <v>06H00-14H30</v>
      </c>
      <c r="I97" s="37" t="str">
        <f t="shared" si="47"/>
        <v>06H00-14H30</v>
      </c>
      <c r="J97" s="181" t="s">
        <v>77</v>
      </c>
      <c r="K97" s="139"/>
      <c r="L97" s="40"/>
    </row>
    <row r="98" spans="1:12" s="39" customFormat="1" ht="13" customHeight="1" thickTop="1" x14ac:dyDescent="0.2">
      <c r="A98" s="21"/>
      <c r="B98" s="178" t="s">
        <v>136</v>
      </c>
      <c r="C98" s="36"/>
      <c r="D98" s="35" t="s">
        <v>95</v>
      </c>
      <c r="E98" s="36"/>
      <c r="F98" s="35" t="s">
        <v>95</v>
      </c>
      <c r="G98" s="35" t="s">
        <v>95</v>
      </c>
      <c r="H98" s="35" t="s">
        <v>95</v>
      </c>
      <c r="I98" s="35" t="s">
        <v>95</v>
      </c>
      <c r="J98" s="180"/>
      <c r="K98" s="139">
        <v>2</v>
      </c>
      <c r="L98" s="40"/>
    </row>
    <row r="99" spans="1:12" ht="13" customHeight="1" thickBot="1" x14ac:dyDescent="0.25">
      <c r="A99" s="41"/>
      <c r="B99" s="179"/>
      <c r="C99" s="37" t="str">
        <f t="shared" ref="C99:I99" si="48">IF(ISBLANK(C98),"",VLOOKUP(C98,$B$106:$L$142,11,0))</f>
        <v/>
      </c>
      <c r="D99" s="37">
        <f t="shared" si="48"/>
        <v>0</v>
      </c>
      <c r="E99" s="37" t="str">
        <f t="shared" si="48"/>
        <v/>
      </c>
      <c r="F99" s="37">
        <f t="shared" si="48"/>
        <v>0</v>
      </c>
      <c r="G99" s="37">
        <f t="shared" si="48"/>
        <v>0</v>
      </c>
      <c r="H99" s="37">
        <f t="shared" si="48"/>
        <v>0</v>
      </c>
      <c r="I99" s="37">
        <f t="shared" si="48"/>
        <v>0</v>
      </c>
      <c r="J99" s="181" t="s">
        <v>57</v>
      </c>
      <c r="K99" s="139"/>
    </row>
    <row r="100" spans="1:12" s="39" customFormat="1" ht="13" customHeight="1" thickTop="1" x14ac:dyDescent="0.2">
      <c r="A100" s="21"/>
      <c r="B100" s="178" t="s">
        <v>135</v>
      </c>
      <c r="C100" s="36"/>
      <c r="D100" s="35"/>
      <c r="E100" s="36" t="s">
        <v>95</v>
      </c>
      <c r="F100" s="35"/>
      <c r="G100" s="36"/>
      <c r="H100" s="35" t="s">
        <v>95</v>
      </c>
      <c r="I100" s="35" t="s">
        <v>95</v>
      </c>
      <c r="J100" s="180"/>
      <c r="K100" s="139">
        <v>4</v>
      </c>
      <c r="L100" s="40"/>
    </row>
    <row r="101" spans="1:12" ht="13" customHeight="1" thickBot="1" x14ac:dyDescent="0.25">
      <c r="A101" s="41"/>
      <c r="B101" s="179"/>
      <c r="C101" s="37" t="str">
        <f t="shared" ref="C101:I101" si="49">IF(ISBLANK(C100),"",VLOOKUP(C100,$B$106:$L$142,11,0))</f>
        <v/>
      </c>
      <c r="D101" s="37" t="str">
        <f t="shared" si="49"/>
        <v/>
      </c>
      <c r="E101" s="37">
        <f t="shared" si="49"/>
        <v>0</v>
      </c>
      <c r="F101" s="37" t="str">
        <f t="shared" si="49"/>
        <v/>
      </c>
      <c r="G101" s="37" t="str">
        <f t="shared" si="49"/>
        <v/>
      </c>
      <c r="H101" s="37">
        <f t="shared" si="49"/>
        <v>0</v>
      </c>
      <c r="I101" s="37">
        <f t="shared" si="49"/>
        <v>0</v>
      </c>
      <c r="J101" s="181" t="s">
        <v>57</v>
      </c>
      <c r="K101" s="139"/>
    </row>
    <row r="102" spans="1:12" s="39" customFormat="1" ht="13" customHeight="1" thickTop="1" x14ac:dyDescent="0.2">
      <c r="A102" s="21">
        <f>7-(COUNTIF(C102:I102,"")+COUNTIF(C102:I102,$B$140))</f>
        <v>5</v>
      </c>
      <c r="B102" s="178" t="s">
        <v>29</v>
      </c>
      <c r="C102" s="35" t="s">
        <v>87</v>
      </c>
      <c r="D102" s="35" t="s">
        <v>87</v>
      </c>
      <c r="E102" s="35" t="s">
        <v>87</v>
      </c>
      <c r="F102" s="35" t="s">
        <v>87</v>
      </c>
      <c r="G102" s="35" t="s">
        <v>87</v>
      </c>
      <c r="H102" s="35" t="s">
        <v>95</v>
      </c>
      <c r="I102" s="35" t="s">
        <v>95</v>
      </c>
      <c r="J102" s="180"/>
      <c r="K102" s="139">
        <v>5</v>
      </c>
      <c r="L102" s="40"/>
    </row>
    <row r="103" spans="1:12" s="39" customFormat="1" ht="13" customHeight="1" thickBot="1" x14ac:dyDescent="0.25">
      <c r="B103" s="202"/>
      <c r="C103" s="43" t="str">
        <f t="shared" ref="C103:I103" si="50">IF(ISBLANK(C102),"",VLOOKUP(C102,$B$106:$L$142,11,0))</f>
        <v>08H00-16H30</v>
      </c>
      <c r="D103" s="43" t="str">
        <f t="shared" si="50"/>
        <v>08H00-16H30</v>
      </c>
      <c r="E103" s="43" t="str">
        <f t="shared" si="50"/>
        <v>08H00-16H30</v>
      </c>
      <c r="F103" s="43" t="str">
        <f t="shared" si="50"/>
        <v>08H00-16H30</v>
      </c>
      <c r="G103" s="43" t="str">
        <f t="shared" si="50"/>
        <v>08H00-16H30</v>
      </c>
      <c r="H103" s="43">
        <f t="shared" si="50"/>
        <v>0</v>
      </c>
      <c r="I103" s="43">
        <f t="shared" si="50"/>
        <v>0</v>
      </c>
      <c r="J103" s="203"/>
      <c r="K103" s="139"/>
      <c r="L103" s="40"/>
    </row>
    <row r="104" spans="1:12" s="39" customFormat="1" ht="13" customHeight="1" thickTop="1" x14ac:dyDescent="0.2">
      <c r="C104" s="45">
        <f>C5</f>
        <v>43157</v>
      </c>
      <c r="D104" s="45">
        <f t="shared" ref="D104:I104" si="51">C104+1</f>
        <v>43158</v>
      </c>
      <c r="E104" s="45">
        <f t="shared" si="51"/>
        <v>43159</v>
      </c>
      <c r="F104" s="45">
        <f t="shared" si="51"/>
        <v>43160</v>
      </c>
      <c r="G104" s="45">
        <f t="shared" si="51"/>
        <v>43161</v>
      </c>
      <c r="H104" s="45">
        <f t="shared" si="51"/>
        <v>43162</v>
      </c>
      <c r="I104" s="45">
        <f t="shared" si="51"/>
        <v>43163</v>
      </c>
      <c r="L104" s="40"/>
    </row>
    <row r="105" spans="1:12" ht="13" customHeight="1" x14ac:dyDescent="0.2">
      <c r="A105" s="41"/>
      <c r="B105" s="46" t="s">
        <v>39</v>
      </c>
      <c r="C105" s="47"/>
      <c r="D105" s="47" t="s">
        <v>108</v>
      </c>
      <c r="E105" s="47" t="s">
        <v>108</v>
      </c>
      <c r="F105" s="47"/>
      <c r="G105" s="47"/>
      <c r="H105" s="39"/>
      <c r="I105" s="39"/>
      <c r="J105" s="48" t="s">
        <v>98</v>
      </c>
      <c r="K105" s="49" t="s">
        <v>107</v>
      </c>
      <c r="L105" s="50" t="s">
        <v>97</v>
      </c>
    </row>
    <row r="106" spans="1:12" ht="13" customHeight="1" x14ac:dyDescent="0.2">
      <c r="A106" s="41"/>
      <c r="B106" s="51" t="s">
        <v>117</v>
      </c>
      <c r="C106" s="52">
        <f t="shared" ref="C106:I121" si="52">COUNTIF(C$6:C$103,$B106)</f>
        <v>0</v>
      </c>
      <c r="D106" s="52">
        <f t="shared" si="52"/>
        <v>0</v>
      </c>
      <c r="E106" s="52">
        <f t="shared" si="52"/>
        <v>0</v>
      </c>
      <c r="F106" s="52">
        <f t="shared" si="52"/>
        <v>0</v>
      </c>
      <c r="G106" s="52">
        <f t="shared" si="52"/>
        <v>0</v>
      </c>
      <c r="H106" s="52">
        <f t="shared" si="52"/>
        <v>0</v>
      </c>
      <c r="I106" s="52">
        <f t="shared" si="52"/>
        <v>0</v>
      </c>
      <c r="J106" s="53">
        <f t="shared" ref="J106:J142" si="53">SUM(C106:I106)</f>
        <v>0</v>
      </c>
      <c r="K106" s="49">
        <v>3</v>
      </c>
      <c r="L106" s="1" t="s">
        <v>118</v>
      </c>
    </row>
    <row r="107" spans="1:12" ht="13" customHeight="1" x14ac:dyDescent="0.2">
      <c r="A107" s="41"/>
      <c r="B107" s="54" t="s">
        <v>167</v>
      </c>
      <c r="C107" s="52">
        <f t="shared" si="52"/>
        <v>0</v>
      </c>
      <c r="D107" s="52">
        <f t="shared" si="52"/>
        <v>0</v>
      </c>
      <c r="E107" s="52">
        <f t="shared" si="52"/>
        <v>2</v>
      </c>
      <c r="F107" s="52">
        <f t="shared" si="52"/>
        <v>0</v>
      </c>
      <c r="G107" s="52">
        <f t="shared" si="52"/>
        <v>2</v>
      </c>
      <c r="H107" s="52">
        <f t="shared" si="52"/>
        <v>0</v>
      </c>
      <c r="I107" s="52">
        <f t="shared" si="52"/>
        <v>0</v>
      </c>
      <c r="J107" s="53">
        <f t="shared" si="53"/>
        <v>4</v>
      </c>
      <c r="K107" s="49">
        <v>10</v>
      </c>
      <c r="L107" s="1" t="s">
        <v>116</v>
      </c>
    </row>
    <row r="108" spans="1:12" ht="13" customHeight="1" x14ac:dyDescent="0.2">
      <c r="A108" s="41"/>
      <c r="B108" s="55" t="s">
        <v>79</v>
      </c>
      <c r="C108" s="52">
        <f t="shared" si="52"/>
        <v>1</v>
      </c>
      <c r="D108" s="52">
        <f t="shared" si="52"/>
        <v>1</v>
      </c>
      <c r="E108" s="52">
        <f t="shared" si="52"/>
        <v>1</v>
      </c>
      <c r="F108" s="52">
        <f t="shared" si="52"/>
        <v>1</v>
      </c>
      <c r="G108" s="52">
        <f t="shared" si="52"/>
        <v>1</v>
      </c>
      <c r="H108" s="52">
        <f t="shared" si="52"/>
        <v>1</v>
      </c>
      <c r="I108" s="52">
        <f t="shared" si="52"/>
        <v>1</v>
      </c>
      <c r="J108" s="53">
        <f t="shared" si="53"/>
        <v>7</v>
      </c>
      <c r="K108" s="49">
        <v>7</v>
      </c>
      <c r="L108" s="1" t="s">
        <v>34</v>
      </c>
    </row>
    <row r="109" spans="1:12" ht="13" customHeight="1" x14ac:dyDescent="0.2">
      <c r="A109" s="41"/>
      <c r="B109" s="70" t="s">
        <v>150</v>
      </c>
      <c r="C109" s="52">
        <f t="shared" si="52"/>
        <v>1</v>
      </c>
      <c r="D109" s="52">
        <f t="shared" si="52"/>
        <v>1</v>
      </c>
      <c r="E109" s="52">
        <f t="shared" si="52"/>
        <v>1</v>
      </c>
      <c r="F109" s="52">
        <f t="shared" si="52"/>
        <v>1</v>
      </c>
      <c r="G109" s="52">
        <f t="shared" si="52"/>
        <v>1</v>
      </c>
      <c r="H109" s="52">
        <f t="shared" si="52"/>
        <v>1</v>
      </c>
      <c r="I109" s="52">
        <f t="shared" si="52"/>
        <v>1</v>
      </c>
      <c r="J109" s="53">
        <f t="shared" si="53"/>
        <v>7</v>
      </c>
      <c r="K109" s="49">
        <v>7</v>
      </c>
      <c r="L109" s="1" t="s">
        <v>34</v>
      </c>
    </row>
    <row r="110" spans="1:12" ht="13" customHeight="1" x14ac:dyDescent="0.2">
      <c r="A110" s="41"/>
      <c r="B110" s="3" t="s">
        <v>80</v>
      </c>
      <c r="C110" s="52">
        <f t="shared" si="52"/>
        <v>1</v>
      </c>
      <c r="D110" s="52">
        <f t="shared" si="52"/>
        <v>1</v>
      </c>
      <c r="E110" s="52">
        <f t="shared" si="52"/>
        <v>1</v>
      </c>
      <c r="F110" s="52">
        <f t="shared" si="52"/>
        <v>1</v>
      </c>
      <c r="G110" s="52">
        <f t="shared" si="52"/>
        <v>1</v>
      </c>
      <c r="H110" s="52">
        <f t="shared" si="52"/>
        <v>1</v>
      </c>
      <c r="I110" s="52">
        <f t="shared" si="52"/>
        <v>1</v>
      </c>
      <c r="J110" s="53">
        <f t="shared" si="53"/>
        <v>7</v>
      </c>
      <c r="K110" s="49">
        <v>7</v>
      </c>
      <c r="L110" s="1" t="s">
        <v>32</v>
      </c>
    </row>
    <row r="111" spans="1:12" ht="13" customHeight="1" x14ac:dyDescent="0.2">
      <c r="A111" s="41"/>
      <c r="B111" s="4" t="s">
        <v>81</v>
      </c>
      <c r="C111" s="52">
        <f t="shared" si="52"/>
        <v>1</v>
      </c>
      <c r="D111" s="52">
        <f t="shared" si="52"/>
        <v>1</v>
      </c>
      <c r="E111" s="52">
        <f t="shared" si="52"/>
        <v>1</v>
      </c>
      <c r="F111" s="52">
        <f t="shared" si="52"/>
        <v>1</v>
      </c>
      <c r="G111" s="52">
        <f t="shared" si="52"/>
        <v>1</v>
      </c>
      <c r="H111" s="52">
        <f t="shared" si="52"/>
        <v>1</v>
      </c>
      <c r="I111" s="52">
        <f t="shared" si="52"/>
        <v>1</v>
      </c>
      <c r="J111" s="53">
        <f t="shared" si="53"/>
        <v>7</v>
      </c>
      <c r="K111" s="49">
        <v>7</v>
      </c>
      <c r="L111" s="1" t="s">
        <v>36</v>
      </c>
    </row>
    <row r="112" spans="1:12" ht="13" customHeight="1" x14ac:dyDescent="0.2">
      <c r="B112" s="15" t="s">
        <v>154</v>
      </c>
      <c r="C112" s="52">
        <f t="shared" si="52"/>
        <v>1</v>
      </c>
      <c r="D112" s="52">
        <f t="shared" si="52"/>
        <v>1</v>
      </c>
      <c r="E112" s="52">
        <f t="shared" si="52"/>
        <v>1</v>
      </c>
      <c r="F112" s="52">
        <f t="shared" si="52"/>
        <v>0</v>
      </c>
      <c r="G112" s="52">
        <f t="shared" si="52"/>
        <v>0</v>
      </c>
      <c r="H112" s="52">
        <f t="shared" si="52"/>
        <v>1</v>
      </c>
      <c r="I112" s="52">
        <f t="shared" si="52"/>
        <v>0</v>
      </c>
      <c r="J112" s="53">
        <f t="shared" si="53"/>
        <v>4</v>
      </c>
      <c r="K112" s="49">
        <v>7</v>
      </c>
      <c r="L112" s="1" t="s">
        <v>125</v>
      </c>
    </row>
    <row r="113" spans="1:12" ht="13" customHeight="1" x14ac:dyDescent="0.2">
      <c r="A113" s="41"/>
      <c r="B113" s="5" t="s">
        <v>103</v>
      </c>
      <c r="C113" s="52">
        <f t="shared" si="52"/>
        <v>0</v>
      </c>
      <c r="D113" s="52">
        <f t="shared" si="52"/>
        <v>0</v>
      </c>
      <c r="E113" s="52">
        <f t="shared" si="52"/>
        <v>0</v>
      </c>
      <c r="F113" s="52">
        <f t="shared" si="52"/>
        <v>0</v>
      </c>
      <c r="G113" s="52">
        <f t="shared" si="52"/>
        <v>0</v>
      </c>
      <c r="H113" s="52">
        <f t="shared" si="52"/>
        <v>0</v>
      </c>
      <c r="I113" s="52">
        <f t="shared" si="52"/>
        <v>0</v>
      </c>
      <c r="J113" s="53">
        <f t="shared" si="53"/>
        <v>0</v>
      </c>
      <c r="K113" s="49">
        <v>0</v>
      </c>
      <c r="L113" s="1" t="s">
        <v>38</v>
      </c>
    </row>
    <row r="114" spans="1:12" ht="13" customHeight="1" x14ac:dyDescent="0.2">
      <c r="A114" s="41"/>
      <c r="B114" s="14" t="s">
        <v>149</v>
      </c>
      <c r="C114" s="52">
        <f t="shared" si="52"/>
        <v>1</v>
      </c>
      <c r="D114" s="52">
        <f t="shared" si="52"/>
        <v>1</v>
      </c>
      <c r="E114" s="52">
        <f t="shared" si="52"/>
        <v>1</v>
      </c>
      <c r="F114" s="52">
        <f t="shared" si="52"/>
        <v>1</v>
      </c>
      <c r="G114" s="52">
        <f t="shared" si="52"/>
        <v>1</v>
      </c>
      <c r="H114" s="52">
        <f t="shared" si="52"/>
        <v>1</v>
      </c>
      <c r="I114" s="52">
        <f t="shared" si="52"/>
        <v>1</v>
      </c>
      <c r="J114" s="53">
        <f t="shared" si="53"/>
        <v>7</v>
      </c>
      <c r="K114" s="49">
        <v>7</v>
      </c>
      <c r="L114" s="1" t="s">
        <v>34</v>
      </c>
    </row>
    <row r="115" spans="1:12" ht="13" customHeight="1" x14ac:dyDescent="0.2">
      <c r="A115" s="41"/>
      <c r="B115" s="16" t="s">
        <v>122</v>
      </c>
      <c r="C115" s="52">
        <f t="shared" si="52"/>
        <v>1</v>
      </c>
      <c r="D115" s="52">
        <f t="shared" si="52"/>
        <v>1</v>
      </c>
      <c r="E115" s="52">
        <f t="shared" si="52"/>
        <v>1</v>
      </c>
      <c r="F115" s="52">
        <f t="shared" si="52"/>
        <v>1</v>
      </c>
      <c r="G115" s="52">
        <f t="shared" si="52"/>
        <v>1</v>
      </c>
      <c r="H115" s="52">
        <f t="shared" si="52"/>
        <v>1</v>
      </c>
      <c r="I115" s="52">
        <f t="shared" si="52"/>
        <v>1</v>
      </c>
      <c r="J115" s="53">
        <f>SUM(C115:I115)</f>
        <v>7</v>
      </c>
      <c r="K115" s="49">
        <v>7</v>
      </c>
      <c r="L115" s="1" t="s">
        <v>32</v>
      </c>
    </row>
    <row r="116" spans="1:12" ht="13" customHeight="1" x14ac:dyDescent="0.2">
      <c r="A116" s="41"/>
      <c r="B116" s="6" t="s">
        <v>82</v>
      </c>
      <c r="C116" s="52">
        <f t="shared" si="52"/>
        <v>2</v>
      </c>
      <c r="D116" s="52">
        <f t="shared" si="52"/>
        <v>2</v>
      </c>
      <c r="E116" s="52">
        <f t="shared" si="52"/>
        <v>2</v>
      </c>
      <c r="F116" s="52">
        <f t="shared" si="52"/>
        <v>2</v>
      </c>
      <c r="G116" s="52">
        <f t="shared" si="52"/>
        <v>2</v>
      </c>
      <c r="H116" s="52">
        <f t="shared" si="52"/>
        <v>2</v>
      </c>
      <c r="I116" s="52">
        <f t="shared" si="52"/>
        <v>2</v>
      </c>
      <c r="J116" s="53">
        <f t="shared" si="53"/>
        <v>14</v>
      </c>
      <c r="K116" s="49">
        <v>14</v>
      </c>
      <c r="L116" s="1" t="s">
        <v>32</v>
      </c>
    </row>
    <row r="117" spans="1:12" ht="13" customHeight="1" x14ac:dyDescent="0.2">
      <c r="A117" s="41"/>
      <c r="B117" s="6" t="s">
        <v>83</v>
      </c>
      <c r="C117" s="52">
        <f t="shared" si="52"/>
        <v>1</v>
      </c>
      <c r="D117" s="52">
        <f t="shared" si="52"/>
        <v>1</v>
      </c>
      <c r="E117" s="52">
        <f t="shared" si="52"/>
        <v>1</v>
      </c>
      <c r="F117" s="52">
        <f t="shared" si="52"/>
        <v>1</v>
      </c>
      <c r="G117" s="52">
        <f t="shared" si="52"/>
        <v>1</v>
      </c>
      <c r="H117" s="52">
        <f t="shared" si="52"/>
        <v>1</v>
      </c>
      <c r="I117" s="52">
        <f t="shared" si="52"/>
        <v>1</v>
      </c>
      <c r="J117" s="53">
        <f t="shared" si="53"/>
        <v>7</v>
      </c>
      <c r="K117" s="49">
        <v>7</v>
      </c>
      <c r="L117" s="1" t="s">
        <v>34</v>
      </c>
    </row>
    <row r="118" spans="1:12" ht="13" customHeight="1" x14ac:dyDescent="0.2">
      <c r="A118" s="41"/>
      <c r="B118" s="6" t="s">
        <v>166</v>
      </c>
      <c r="C118" s="52">
        <f t="shared" si="52"/>
        <v>0</v>
      </c>
      <c r="D118" s="52">
        <f t="shared" si="52"/>
        <v>0</v>
      </c>
      <c r="E118" s="52">
        <f t="shared" si="52"/>
        <v>0</v>
      </c>
      <c r="F118" s="52">
        <f t="shared" si="52"/>
        <v>0</v>
      </c>
      <c r="G118" s="52">
        <f t="shared" si="52"/>
        <v>0</v>
      </c>
      <c r="H118" s="52">
        <f t="shared" si="52"/>
        <v>0</v>
      </c>
      <c r="I118" s="52">
        <f t="shared" si="52"/>
        <v>0</v>
      </c>
      <c r="J118" s="53">
        <f t="shared" si="53"/>
        <v>0</v>
      </c>
      <c r="K118" s="49">
        <v>0</v>
      </c>
      <c r="L118" s="1" t="s">
        <v>126</v>
      </c>
    </row>
    <row r="119" spans="1:12" ht="13" customHeight="1" x14ac:dyDescent="0.2">
      <c r="A119" s="41"/>
      <c r="B119" s="7" t="s">
        <v>84</v>
      </c>
      <c r="C119" s="52">
        <f t="shared" si="52"/>
        <v>3</v>
      </c>
      <c r="D119" s="52">
        <f t="shared" si="52"/>
        <v>3</v>
      </c>
      <c r="E119" s="52">
        <f t="shared" si="52"/>
        <v>3</v>
      </c>
      <c r="F119" s="52">
        <f t="shared" si="52"/>
        <v>3</v>
      </c>
      <c r="G119" s="52">
        <f t="shared" si="52"/>
        <v>3</v>
      </c>
      <c r="H119" s="52">
        <f t="shared" si="52"/>
        <v>3</v>
      </c>
      <c r="I119" s="52">
        <f t="shared" si="52"/>
        <v>3</v>
      </c>
      <c r="J119" s="53">
        <f t="shared" si="53"/>
        <v>21</v>
      </c>
      <c r="K119" s="49">
        <v>21</v>
      </c>
      <c r="L119" s="1" t="s">
        <v>35</v>
      </c>
    </row>
    <row r="120" spans="1:12" ht="13" customHeight="1" x14ac:dyDescent="0.2">
      <c r="A120" s="41"/>
      <c r="B120" s="17" t="s">
        <v>123</v>
      </c>
      <c r="C120" s="52">
        <f t="shared" si="52"/>
        <v>1</v>
      </c>
      <c r="D120" s="52">
        <f t="shared" si="52"/>
        <v>1</v>
      </c>
      <c r="E120" s="52">
        <f t="shared" si="52"/>
        <v>1</v>
      </c>
      <c r="F120" s="52">
        <f t="shared" si="52"/>
        <v>1</v>
      </c>
      <c r="G120" s="52">
        <f t="shared" si="52"/>
        <v>1</v>
      </c>
      <c r="H120" s="52">
        <f t="shared" si="52"/>
        <v>1</v>
      </c>
      <c r="I120" s="52">
        <f t="shared" si="52"/>
        <v>1</v>
      </c>
      <c r="J120" s="53">
        <f>SUM(C120:I120)</f>
        <v>7</v>
      </c>
      <c r="K120" s="49">
        <v>7</v>
      </c>
      <c r="L120" s="1" t="s">
        <v>36</v>
      </c>
    </row>
    <row r="121" spans="1:12" ht="13" customHeight="1" x14ac:dyDescent="0.2">
      <c r="A121" s="41"/>
      <c r="B121" s="7" t="s">
        <v>85</v>
      </c>
      <c r="C121" s="52">
        <f t="shared" si="52"/>
        <v>1</v>
      </c>
      <c r="D121" s="52">
        <f t="shared" si="52"/>
        <v>1</v>
      </c>
      <c r="E121" s="52">
        <f t="shared" si="52"/>
        <v>1</v>
      </c>
      <c r="F121" s="52">
        <f t="shared" si="52"/>
        <v>1</v>
      </c>
      <c r="G121" s="52">
        <f t="shared" si="52"/>
        <v>1</v>
      </c>
      <c r="H121" s="52">
        <f t="shared" si="52"/>
        <v>1</v>
      </c>
      <c r="I121" s="52">
        <f t="shared" si="52"/>
        <v>1</v>
      </c>
      <c r="J121" s="53">
        <f t="shared" si="53"/>
        <v>7</v>
      </c>
      <c r="K121" s="49">
        <v>7</v>
      </c>
      <c r="L121" s="1" t="s">
        <v>36</v>
      </c>
    </row>
    <row r="122" spans="1:12" ht="13" customHeight="1" x14ac:dyDescent="0.2">
      <c r="A122" s="41"/>
      <c r="B122" s="8" t="s">
        <v>110</v>
      </c>
      <c r="C122" s="52">
        <f t="shared" ref="C122:I131" si="54">COUNTIF(C$6:C$103,$B122)</f>
        <v>1</v>
      </c>
      <c r="D122" s="52">
        <f t="shared" si="54"/>
        <v>1</v>
      </c>
      <c r="E122" s="52">
        <f t="shared" si="54"/>
        <v>1</v>
      </c>
      <c r="F122" s="52">
        <f t="shared" si="54"/>
        <v>1</v>
      </c>
      <c r="G122" s="52">
        <f t="shared" si="54"/>
        <v>1</v>
      </c>
      <c r="H122" s="52">
        <f t="shared" si="54"/>
        <v>1</v>
      </c>
      <c r="I122" s="52">
        <f t="shared" si="54"/>
        <v>1</v>
      </c>
      <c r="J122" s="53">
        <f t="shared" si="53"/>
        <v>7</v>
      </c>
      <c r="K122" s="49">
        <v>7</v>
      </c>
      <c r="L122" s="1" t="s">
        <v>38</v>
      </c>
    </row>
    <row r="123" spans="1:12" ht="13" customHeight="1" x14ac:dyDescent="0.2">
      <c r="A123" s="41"/>
      <c r="B123" s="56" t="s">
        <v>86</v>
      </c>
      <c r="C123" s="52">
        <f t="shared" si="54"/>
        <v>0</v>
      </c>
      <c r="D123" s="52">
        <f t="shared" si="54"/>
        <v>0</v>
      </c>
      <c r="E123" s="52">
        <f t="shared" si="54"/>
        <v>0</v>
      </c>
      <c r="F123" s="52">
        <f t="shared" si="54"/>
        <v>0</v>
      </c>
      <c r="G123" s="52">
        <f t="shared" si="54"/>
        <v>0</v>
      </c>
      <c r="H123" s="52">
        <f t="shared" si="54"/>
        <v>0</v>
      </c>
      <c r="I123" s="52">
        <f t="shared" si="54"/>
        <v>0</v>
      </c>
      <c r="J123" s="53">
        <f t="shared" si="53"/>
        <v>0</v>
      </c>
      <c r="K123" s="49">
        <v>19</v>
      </c>
      <c r="L123" s="1" t="s">
        <v>32</v>
      </c>
    </row>
    <row r="124" spans="1:12" ht="13" customHeight="1" x14ac:dyDescent="0.2">
      <c r="A124" s="41"/>
      <c r="B124" s="56" t="s">
        <v>87</v>
      </c>
      <c r="C124" s="52">
        <f t="shared" si="54"/>
        <v>7</v>
      </c>
      <c r="D124" s="52">
        <f t="shared" si="54"/>
        <v>7</v>
      </c>
      <c r="E124" s="52">
        <f t="shared" si="54"/>
        <v>7</v>
      </c>
      <c r="F124" s="52">
        <f t="shared" si="54"/>
        <v>7</v>
      </c>
      <c r="G124" s="52">
        <f t="shared" si="54"/>
        <v>7</v>
      </c>
      <c r="H124" s="52">
        <f t="shared" si="54"/>
        <v>0</v>
      </c>
      <c r="I124" s="52">
        <f t="shared" si="54"/>
        <v>0</v>
      </c>
      <c r="J124" s="53">
        <f t="shared" si="53"/>
        <v>35</v>
      </c>
      <c r="K124" s="49">
        <v>20</v>
      </c>
      <c r="L124" s="1" t="s">
        <v>116</v>
      </c>
    </row>
    <row r="125" spans="1:12" ht="13" customHeight="1" x14ac:dyDescent="0.2">
      <c r="A125" s="41"/>
      <c r="B125" s="57" t="s">
        <v>168</v>
      </c>
      <c r="C125" s="52">
        <f t="shared" si="54"/>
        <v>0</v>
      </c>
      <c r="D125" s="52">
        <f t="shared" si="54"/>
        <v>0</v>
      </c>
      <c r="E125" s="52">
        <f t="shared" si="54"/>
        <v>0</v>
      </c>
      <c r="F125" s="52">
        <f t="shared" si="54"/>
        <v>0</v>
      </c>
      <c r="G125" s="52">
        <f t="shared" si="54"/>
        <v>0</v>
      </c>
      <c r="H125" s="52">
        <f t="shared" si="54"/>
        <v>1</v>
      </c>
      <c r="I125" s="52">
        <f t="shared" si="54"/>
        <v>0</v>
      </c>
      <c r="J125" s="53">
        <f t="shared" si="53"/>
        <v>1</v>
      </c>
      <c r="K125" s="49">
        <v>6</v>
      </c>
      <c r="L125" s="1" t="s">
        <v>125</v>
      </c>
    </row>
    <row r="126" spans="1:12" ht="13" customHeight="1" x14ac:dyDescent="0.2">
      <c r="A126" s="41"/>
      <c r="B126" s="58" t="s">
        <v>89</v>
      </c>
      <c r="C126" s="52">
        <f t="shared" si="54"/>
        <v>0</v>
      </c>
      <c r="D126" s="52">
        <f t="shared" si="54"/>
        <v>1</v>
      </c>
      <c r="E126" s="52">
        <f t="shared" si="54"/>
        <v>1</v>
      </c>
      <c r="F126" s="52">
        <f t="shared" si="54"/>
        <v>1</v>
      </c>
      <c r="G126" s="52">
        <f t="shared" si="54"/>
        <v>1</v>
      </c>
      <c r="H126" s="52">
        <f t="shared" si="54"/>
        <v>0</v>
      </c>
      <c r="I126" s="52">
        <f t="shared" si="54"/>
        <v>0</v>
      </c>
      <c r="J126" s="53">
        <f t="shared" si="53"/>
        <v>4</v>
      </c>
      <c r="K126" s="49">
        <v>5</v>
      </c>
      <c r="L126" s="1" t="s">
        <v>37</v>
      </c>
    </row>
    <row r="127" spans="1:12" ht="13" customHeight="1" x14ac:dyDescent="0.2">
      <c r="A127" s="41"/>
      <c r="B127" s="9" t="s">
        <v>90</v>
      </c>
      <c r="C127" s="52">
        <f t="shared" si="54"/>
        <v>1</v>
      </c>
      <c r="D127" s="52">
        <f t="shared" si="54"/>
        <v>1</v>
      </c>
      <c r="E127" s="52">
        <f t="shared" si="54"/>
        <v>1</v>
      </c>
      <c r="F127" s="52">
        <f t="shared" si="54"/>
        <v>1</v>
      </c>
      <c r="G127" s="52">
        <f t="shared" si="54"/>
        <v>1</v>
      </c>
      <c r="H127" s="52">
        <f t="shared" si="54"/>
        <v>1</v>
      </c>
      <c r="I127" s="52">
        <f t="shared" si="54"/>
        <v>1</v>
      </c>
      <c r="J127" s="53">
        <f t="shared" si="53"/>
        <v>7</v>
      </c>
      <c r="K127" s="49">
        <v>7</v>
      </c>
      <c r="L127" s="1" t="s">
        <v>32</v>
      </c>
    </row>
    <row r="128" spans="1:12" ht="13" customHeight="1" x14ac:dyDescent="0.2">
      <c r="A128" s="41"/>
      <c r="B128" s="9" t="s">
        <v>91</v>
      </c>
      <c r="C128" s="52">
        <f t="shared" si="54"/>
        <v>1</v>
      </c>
      <c r="D128" s="52">
        <f t="shared" si="54"/>
        <v>1</v>
      </c>
      <c r="E128" s="52">
        <f t="shared" si="54"/>
        <v>1</v>
      </c>
      <c r="F128" s="52">
        <f t="shared" si="54"/>
        <v>1</v>
      </c>
      <c r="G128" s="52">
        <f t="shared" si="54"/>
        <v>1</v>
      </c>
      <c r="H128" s="52">
        <f t="shared" si="54"/>
        <v>1</v>
      </c>
      <c r="I128" s="52">
        <f t="shared" si="54"/>
        <v>1</v>
      </c>
      <c r="J128" s="53">
        <f t="shared" si="53"/>
        <v>7</v>
      </c>
      <c r="K128" s="49">
        <v>7</v>
      </c>
      <c r="L128" s="1" t="s">
        <v>32</v>
      </c>
    </row>
    <row r="129" spans="1:12" ht="13" customHeight="1" x14ac:dyDescent="0.2">
      <c r="A129" s="41"/>
      <c r="B129" s="9" t="s">
        <v>92</v>
      </c>
      <c r="C129" s="52">
        <f t="shared" si="54"/>
        <v>1</v>
      </c>
      <c r="D129" s="52">
        <f t="shared" si="54"/>
        <v>1</v>
      </c>
      <c r="E129" s="52">
        <f t="shared" si="54"/>
        <v>1</v>
      </c>
      <c r="F129" s="52">
        <f t="shared" si="54"/>
        <v>1</v>
      </c>
      <c r="G129" s="52">
        <f t="shared" si="54"/>
        <v>1</v>
      </c>
      <c r="H129" s="52">
        <f t="shared" si="54"/>
        <v>1</v>
      </c>
      <c r="I129" s="52">
        <f t="shared" si="54"/>
        <v>1</v>
      </c>
      <c r="J129" s="53">
        <f t="shared" si="53"/>
        <v>7</v>
      </c>
      <c r="K129" s="49">
        <v>7</v>
      </c>
      <c r="L129" s="1" t="s">
        <v>96</v>
      </c>
    </row>
    <row r="130" spans="1:12" ht="13" customHeight="1" x14ac:dyDescent="0.2">
      <c r="A130" s="41"/>
      <c r="B130" s="10" t="s">
        <v>31</v>
      </c>
      <c r="C130" s="52">
        <f t="shared" si="54"/>
        <v>1</v>
      </c>
      <c r="D130" s="52">
        <f t="shared" si="54"/>
        <v>1</v>
      </c>
      <c r="E130" s="52">
        <f t="shared" si="54"/>
        <v>1</v>
      </c>
      <c r="F130" s="52">
        <f t="shared" si="54"/>
        <v>1</v>
      </c>
      <c r="G130" s="52">
        <f t="shared" si="54"/>
        <v>1</v>
      </c>
      <c r="H130" s="52">
        <f t="shared" si="54"/>
        <v>1</v>
      </c>
      <c r="I130" s="52">
        <f t="shared" si="54"/>
        <v>1</v>
      </c>
      <c r="J130" s="53">
        <f t="shared" si="53"/>
        <v>7</v>
      </c>
      <c r="K130" s="49">
        <v>7</v>
      </c>
      <c r="L130" s="1" t="s">
        <v>32</v>
      </c>
    </row>
    <row r="131" spans="1:12" ht="13" customHeight="1" x14ac:dyDescent="0.2">
      <c r="A131" s="41"/>
      <c r="B131" s="11" t="s">
        <v>93</v>
      </c>
      <c r="C131" s="52">
        <f t="shared" si="54"/>
        <v>1</v>
      </c>
      <c r="D131" s="52">
        <f t="shared" si="54"/>
        <v>1</v>
      </c>
      <c r="E131" s="52">
        <f t="shared" si="54"/>
        <v>1</v>
      </c>
      <c r="F131" s="52">
        <f t="shared" si="54"/>
        <v>1</v>
      </c>
      <c r="G131" s="52">
        <f t="shared" si="54"/>
        <v>1</v>
      </c>
      <c r="H131" s="52">
        <f t="shared" si="54"/>
        <v>1</v>
      </c>
      <c r="I131" s="52">
        <f t="shared" si="54"/>
        <v>1</v>
      </c>
      <c r="J131" s="53">
        <f t="shared" si="53"/>
        <v>7</v>
      </c>
      <c r="K131" s="49">
        <v>7</v>
      </c>
      <c r="L131" s="1" t="s">
        <v>32</v>
      </c>
    </row>
    <row r="132" spans="1:12" ht="13" customHeight="1" x14ac:dyDescent="0.2">
      <c r="B132" s="19" t="s">
        <v>137</v>
      </c>
      <c r="C132" s="52">
        <f t="shared" ref="C132:I134" si="55">COUNTIF(C$6:C$111,Actions)</f>
        <v>1</v>
      </c>
      <c r="D132" s="52">
        <f t="shared" si="55"/>
        <v>1</v>
      </c>
      <c r="E132" s="52">
        <f t="shared" si="55"/>
        <v>1</v>
      </c>
      <c r="F132" s="52">
        <f t="shared" si="55"/>
        <v>1</v>
      </c>
      <c r="G132" s="52">
        <f t="shared" si="55"/>
        <v>1</v>
      </c>
      <c r="H132" s="52">
        <f t="shared" si="55"/>
        <v>1</v>
      </c>
      <c r="I132" s="52">
        <f t="shared" si="55"/>
        <v>1</v>
      </c>
      <c r="J132" s="53">
        <f t="shared" si="53"/>
        <v>7</v>
      </c>
      <c r="K132" s="59">
        <v>7</v>
      </c>
      <c r="L132" s="2" t="s">
        <v>32</v>
      </c>
    </row>
    <row r="133" spans="1:12" ht="13" customHeight="1" x14ac:dyDescent="0.2">
      <c r="B133" s="18" t="s">
        <v>139</v>
      </c>
      <c r="C133" s="52">
        <f t="shared" si="55"/>
        <v>1</v>
      </c>
      <c r="D133" s="52">
        <f t="shared" si="55"/>
        <v>1</v>
      </c>
      <c r="E133" s="52">
        <f t="shared" si="55"/>
        <v>1</v>
      </c>
      <c r="F133" s="52">
        <f t="shared" si="55"/>
        <v>1</v>
      </c>
      <c r="G133" s="52">
        <f t="shared" si="55"/>
        <v>1</v>
      </c>
      <c r="H133" s="52">
        <f t="shared" si="55"/>
        <v>1</v>
      </c>
      <c r="I133" s="52">
        <f t="shared" si="55"/>
        <v>1</v>
      </c>
      <c r="J133" s="53">
        <f t="shared" si="53"/>
        <v>7</v>
      </c>
      <c r="K133" s="60">
        <v>7</v>
      </c>
      <c r="L133" s="2" t="s">
        <v>140</v>
      </c>
    </row>
    <row r="134" spans="1:12" ht="13" customHeight="1" x14ac:dyDescent="0.2">
      <c r="B134" s="61" t="s">
        <v>153</v>
      </c>
      <c r="C134" s="52">
        <f t="shared" si="55"/>
        <v>1</v>
      </c>
      <c r="D134" s="52">
        <f t="shared" si="55"/>
        <v>1</v>
      </c>
      <c r="E134" s="52">
        <f t="shared" si="55"/>
        <v>1</v>
      </c>
      <c r="F134" s="52">
        <f t="shared" si="55"/>
        <v>1</v>
      </c>
      <c r="G134" s="52">
        <f t="shared" si="55"/>
        <v>1</v>
      </c>
      <c r="H134" s="52">
        <f t="shared" si="55"/>
        <v>1</v>
      </c>
      <c r="I134" s="52">
        <f t="shared" si="55"/>
        <v>1</v>
      </c>
      <c r="J134" s="53">
        <f t="shared" si="53"/>
        <v>7</v>
      </c>
      <c r="K134" s="62">
        <v>7</v>
      </c>
      <c r="L134" s="2" t="s">
        <v>141</v>
      </c>
    </row>
    <row r="135" spans="1:12" ht="13" customHeight="1" x14ac:dyDescent="0.2">
      <c r="A135" s="41"/>
      <c r="B135" s="12" t="s">
        <v>151</v>
      </c>
      <c r="C135" s="52">
        <f t="shared" ref="C135:I142" si="56">COUNTIF(C$6:C$103,$B135)</f>
        <v>0</v>
      </c>
      <c r="D135" s="52">
        <f t="shared" si="56"/>
        <v>0</v>
      </c>
      <c r="E135" s="52">
        <f t="shared" si="56"/>
        <v>0</v>
      </c>
      <c r="F135" s="52">
        <f t="shared" si="56"/>
        <v>0</v>
      </c>
      <c r="G135" s="52">
        <f t="shared" si="56"/>
        <v>0</v>
      </c>
      <c r="H135" s="52">
        <f t="shared" si="56"/>
        <v>1</v>
      </c>
      <c r="I135" s="52">
        <f t="shared" si="56"/>
        <v>1</v>
      </c>
      <c r="J135" s="53">
        <f t="shared" si="53"/>
        <v>2</v>
      </c>
      <c r="K135" s="59">
        <v>2</v>
      </c>
      <c r="L135" s="2" t="s">
        <v>33</v>
      </c>
    </row>
    <row r="136" spans="1:12" ht="13" customHeight="1" x14ac:dyDescent="0.2">
      <c r="A136" s="41"/>
      <c r="B136" s="12" t="s">
        <v>94</v>
      </c>
      <c r="C136" s="52">
        <f t="shared" si="56"/>
        <v>0</v>
      </c>
      <c r="D136" s="52">
        <f t="shared" si="56"/>
        <v>0</v>
      </c>
      <c r="E136" s="52">
        <f t="shared" si="56"/>
        <v>0</v>
      </c>
      <c r="F136" s="52">
        <f t="shared" si="56"/>
        <v>0</v>
      </c>
      <c r="G136" s="52">
        <f t="shared" si="56"/>
        <v>0</v>
      </c>
      <c r="H136" s="52">
        <f t="shared" si="56"/>
        <v>0</v>
      </c>
      <c r="I136" s="52">
        <f t="shared" si="56"/>
        <v>0</v>
      </c>
      <c r="J136" s="53">
        <f t="shared" si="53"/>
        <v>0</v>
      </c>
      <c r="K136" s="60">
        <v>1</v>
      </c>
      <c r="L136" s="2" t="s">
        <v>33</v>
      </c>
    </row>
    <row r="137" spans="1:12" ht="13" customHeight="1" x14ac:dyDescent="0.2">
      <c r="A137" s="41"/>
      <c r="B137" s="63" t="s">
        <v>152</v>
      </c>
      <c r="C137" s="52">
        <f t="shared" si="56"/>
        <v>1</v>
      </c>
      <c r="D137" s="52">
        <f t="shared" si="56"/>
        <v>1</v>
      </c>
      <c r="E137" s="52">
        <f t="shared" si="56"/>
        <v>1</v>
      </c>
      <c r="F137" s="52">
        <f t="shared" si="56"/>
        <v>1</v>
      </c>
      <c r="G137" s="52">
        <f t="shared" si="56"/>
        <v>1</v>
      </c>
      <c r="H137" s="52">
        <f t="shared" si="56"/>
        <v>0</v>
      </c>
      <c r="I137" s="52">
        <f t="shared" si="56"/>
        <v>0</v>
      </c>
      <c r="J137" s="53">
        <f t="shared" si="53"/>
        <v>5</v>
      </c>
      <c r="K137" s="62">
        <v>5</v>
      </c>
      <c r="L137" s="2" t="s">
        <v>33</v>
      </c>
    </row>
    <row r="138" spans="1:12" ht="13" customHeight="1" x14ac:dyDescent="0.2">
      <c r="A138" s="41"/>
      <c r="B138" s="64" t="s">
        <v>40</v>
      </c>
      <c r="C138" s="52">
        <f t="shared" si="56"/>
        <v>2</v>
      </c>
      <c r="D138" s="52">
        <f t="shared" si="56"/>
        <v>1</v>
      </c>
      <c r="E138" s="52">
        <f t="shared" si="56"/>
        <v>1</v>
      </c>
      <c r="F138" s="52">
        <f t="shared" si="56"/>
        <v>1</v>
      </c>
      <c r="G138" s="52">
        <f t="shared" si="56"/>
        <v>1</v>
      </c>
      <c r="H138" s="52">
        <f t="shared" si="56"/>
        <v>0</v>
      </c>
      <c r="I138" s="52">
        <f t="shared" si="56"/>
        <v>0</v>
      </c>
      <c r="J138" s="53">
        <f t="shared" si="53"/>
        <v>6</v>
      </c>
      <c r="K138" s="65">
        <v>7</v>
      </c>
      <c r="L138" s="13"/>
    </row>
    <row r="139" spans="1:12" ht="13" customHeight="1" x14ac:dyDescent="0.2">
      <c r="A139" s="41"/>
      <c r="B139" s="64" t="s">
        <v>41</v>
      </c>
      <c r="C139" s="52">
        <f t="shared" si="56"/>
        <v>0</v>
      </c>
      <c r="D139" s="52">
        <f t="shared" si="56"/>
        <v>0</v>
      </c>
      <c r="E139" s="52">
        <f t="shared" si="56"/>
        <v>0</v>
      </c>
      <c r="F139" s="52">
        <f t="shared" si="56"/>
        <v>0</v>
      </c>
      <c r="G139" s="52">
        <f t="shared" si="56"/>
        <v>0</v>
      </c>
      <c r="H139" s="52">
        <f t="shared" si="56"/>
        <v>0</v>
      </c>
      <c r="I139" s="52">
        <f t="shared" si="56"/>
        <v>0</v>
      </c>
      <c r="J139" s="53">
        <f t="shared" si="53"/>
        <v>0</v>
      </c>
      <c r="K139" s="65">
        <v>0</v>
      </c>
      <c r="L139" s="13"/>
    </row>
    <row r="140" spans="1:12" ht="13" customHeight="1" x14ac:dyDescent="0.2">
      <c r="A140" s="41"/>
      <c r="B140" s="66" t="s">
        <v>95</v>
      </c>
      <c r="C140" s="52">
        <f t="shared" si="56"/>
        <v>2</v>
      </c>
      <c r="D140" s="52">
        <f t="shared" si="56"/>
        <v>3</v>
      </c>
      <c r="E140" s="52">
        <f t="shared" si="56"/>
        <v>2</v>
      </c>
      <c r="F140" s="52">
        <f t="shared" si="56"/>
        <v>1</v>
      </c>
      <c r="G140" s="52">
        <f t="shared" si="56"/>
        <v>1</v>
      </c>
      <c r="H140" s="52">
        <f t="shared" si="56"/>
        <v>14</v>
      </c>
      <c r="I140" s="52">
        <f t="shared" si="56"/>
        <v>18</v>
      </c>
      <c r="J140" s="53">
        <f t="shared" si="53"/>
        <v>41</v>
      </c>
      <c r="K140" s="65">
        <v>25</v>
      </c>
      <c r="L140" s="13"/>
    </row>
    <row r="141" spans="1:12" ht="13" customHeight="1" x14ac:dyDescent="0.2">
      <c r="A141" s="41"/>
      <c r="B141" s="67" t="s">
        <v>99</v>
      </c>
      <c r="C141" s="52">
        <f t="shared" si="56"/>
        <v>1</v>
      </c>
      <c r="D141" s="52">
        <f t="shared" si="56"/>
        <v>0</v>
      </c>
      <c r="E141" s="52">
        <f t="shared" si="56"/>
        <v>0</v>
      </c>
      <c r="F141" s="52">
        <f t="shared" si="56"/>
        <v>0</v>
      </c>
      <c r="G141" s="52">
        <f t="shared" si="56"/>
        <v>0</v>
      </c>
      <c r="H141" s="52">
        <f t="shared" si="56"/>
        <v>0</v>
      </c>
      <c r="I141" s="52">
        <f t="shared" si="56"/>
        <v>0</v>
      </c>
      <c r="J141" s="53">
        <f t="shared" si="53"/>
        <v>1</v>
      </c>
      <c r="K141" s="65">
        <v>0</v>
      </c>
      <c r="L141" s="13"/>
    </row>
    <row r="142" spans="1:12" ht="13" customHeight="1" x14ac:dyDescent="0.2">
      <c r="A142" s="41"/>
      <c r="B142" s="67" t="s">
        <v>100</v>
      </c>
      <c r="C142" s="52">
        <f t="shared" si="56"/>
        <v>0</v>
      </c>
      <c r="D142" s="52">
        <f t="shared" si="56"/>
        <v>0</v>
      </c>
      <c r="E142" s="52">
        <f t="shared" si="56"/>
        <v>0</v>
      </c>
      <c r="F142" s="52">
        <f t="shared" si="56"/>
        <v>0</v>
      </c>
      <c r="G142" s="52">
        <f t="shared" si="56"/>
        <v>0</v>
      </c>
      <c r="H142" s="52">
        <f t="shared" si="56"/>
        <v>0</v>
      </c>
      <c r="I142" s="52">
        <f t="shared" si="56"/>
        <v>0</v>
      </c>
      <c r="J142" s="53">
        <f t="shared" si="53"/>
        <v>0</v>
      </c>
      <c r="K142" s="65">
        <v>0</v>
      </c>
      <c r="L142" s="13" t="s">
        <v>101</v>
      </c>
    </row>
    <row r="143" spans="1:12" ht="13" customHeight="1" x14ac:dyDescent="0.2">
      <c r="A143" s="41"/>
      <c r="B143" s="68"/>
      <c r="C143" s="69">
        <f t="shared" ref="C143:I143" si="57">SUM(C106:C137)-SUM(C123:C126)-C106</f>
        <v>25</v>
      </c>
      <c r="D143" s="69">
        <f t="shared" si="57"/>
        <v>25</v>
      </c>
      <c r="E143" s="69">
        <f t="shared" si="57"/>
        <v>27</v>
      </c>
      <c r="F143" s="69">
        <f t="shared" si="57"/>
        <v>24</v>
      </c>
      <c r="G143" s="69">
        <f t="shared" si="57"/>
        <v>26</v>
      </c>
      <c r="H143" s="69">
        <f t="shared" si="57"/>
        <v>25</v>
      </c>
      <c r="I143" s="69">
        <f t="shared" si="57"/>
        <v>24</v>
      </c>
      <c r="J143" s="69">
        <f>SUM(J106:J137)</f>
        <v>216</v>
      </c>
    </row>
  </sheetData>
  <mergeCells count="100">
    <mergeCell ref="B1:B2"/>
    <mergeCell ref="C4:I4"/>
    <mergeCell ref="B6:B7"/>
    <mergeCell ref="J6:J7"/>
    <mergeCell ref="B8:B9"/>
    <mergeCell ref="J8:J9"/>
    <mergeCell ref="B10:B11"/>
    <mergeCell ref="J10:J11"/>
    <mergeCell ref="B12:B13"/>
    <mergeCell ref="J12:J13"/>
    <mergeCell ref="B14:B15"/>
    <mergeCell ref="J14:J15"/>
    <mergeCell ref="B16:B17"/>
    <mergeCell ref="J16:J17"/>
    <mergeCell ref="B18:B19"/>
    <mergeCell ref="J18:J19"/>
    <mergeCell ref="B20:B21"/>
    <mergeCell ref="J20:J21"/>
    <mergeCell ref="B22:B23"/>
    <mergeCell ref="J22:J23"/>
    <mergeCell ref="B24:B25"/>
    <mergeCell ref="J24:J25"/>
    <mergeCell ref="B26:B27"/>
    <mergeCell ref="J26:J27"/>
    <mergeCell ref="B28:B29"/>
    <mergeCell ref="J28:J29"/>
    <mergeCell ref="B30:B31"/>
    <mergeCell ref="J30:J31"/>
    <mergeCell ref="B32:B33"/>
    <mergeCell ref="J32:J33"/>
    <mergeCell ref="B34:B35"/>
    <mergeCell ref="J34:J35"/>
    <mergeCell ref="B36:B37"/>
    <mergeCell ref="J36:J37"/>
    <mergeCell ref="B38:B39"/>
    <mergeCell ref="J38:J39"/>
    <mergeCell ref="B40:B41"/>
    <mergeCell ref="J40:J41"/>
    <mergeCell ref="B42:B43"/>
    <mergeCell ref="J42:J43"/>
    <mergeCell ref="B44:B45"/>
    <mergeCell ref="J44:J45"/>
    <mergeCell ref="B46:B47"/>
    <mergeCell ref="J46:J47"/>
    <mergeCell ref="B48:B49"/>
    <mergeCell ref="J48:J49"/>
    <mergeCell ref="B50:B51"/>
    <mergeCell ref="J50:J51"/>
    <mergeCell ref="B52:B53"/>
    <mergeCell ref="J52:J53"/>
    <mergeCell ref="B54:B55"/>
    <mergeCell ref="J54:J55"/>
    <mergeCell ref="B56:B57"/>
    <mergeCell ref="J56:J57"/>
    <mergeCell ref="B58:B59"/>
    <mergeCell ref="J58:J59"/>
    <mergeCell ref="B60:B61"/>
    <mergeCell ref="J60:J61"/>
    <mergeCell ref="B62:B63"/>
    <mergeCell ref="J62:J63"/>
    <mergeCell ref="B64:B65"/>
    <mergeCell ref="J64:J65"/>
    <mergeCell ref="B66:B67"/>
    <mergeCell ref="J66:J67"/>
    <mergeCell ref="B68:B69"/>
    <mergeCell ref="J68:J69"/>
    <mergeCell ref="B70:B71"/>
    <mergeCell ref="J70:J71"/>
    <mergeCell ref="B72:B73"/>
    <mergeCell ref="J72:J73"/>
    <mergeCell ref="B74:B75"/>
    <mergeCell ref="J74:J75"/>
    <mergeCell ref="B76:B77"/>
    <mergeCell ref="J76:J77"/>
    <mergeCell ref="B78:B79"/>
    <mergeCell ref="J78:J79"/>
    <mergeCell ref="B80:B81"/>
    <mergeCell ref="J80:J81"/>
    <mergeCell ref="B82:B83"/>
    <mergeCell ref="J82:J83"/>
    <mergeCell ref="B84:B85"/>
    <mergeCell ref="J84:J85"/>
    <mergeCell ref="B86:B87"/>
    <mergeCell ref="J86:J87"/>
    <mergeCell ref="B88:B89"/>
    <mergeCell ref="J88:J89"/>
    <mergeCell ref="B90:B91"/>
    <mergeCell ref="J90:J91"/>
    <mergeCell ref="B92:B93"/>
    <mergeCell ref="J92:J93"/>
    <mergeCell ref="B100:B101"/>
    <mergeCell ref="J100:J101"/>
    <mergeCell ref="B102:B103"/>
    <mergeCell ref="J102:J103"/>
    <mergeCell ref="B94:B95"/>
    <mergeCell ref="J94:J95"/>
    <mergeCell ref="B96:B97"/>
    <mergeCell ref="J96:J97"/>
    <mergeCell ref="B98:B99"/>
    <mergeCell ref="J98:J99"/>
  </mergeCells>
  <conditionalFormatting sqref="C143:I143">
    <cfRule type="cellIs" dxfId="2524" priority="296" operator="lessThan">
      <formula>22</formula>
    </cfRule>
  </conditionalFormatting>
  <conditionalFormatting sqref="J113:J114 J116:J119 J121:J131 J106:J111">
    <cfRule type="cellIs" dxfId="2523" priority="295" operator="notEqual">
      <formula>$K106</formula>
    </cfRule>
  </conditionalFormatting>
  <conditionalFormatting sqref="J135">
    <cfRule type="expression" dxfId="2522" priority="294">
      <formula>$J$135+$J$136&lt;$K$135</formula>
    </cfRule>
  </conditionalFormatting>
  <conditionalFormatting sqref="J136">
    <cfRule type="expression" dxfId="2521" priority="293">
      <formula>$J$135+$J$136&lt;$K$135</formula>
    </cfRule>
  </conditionalFormatting>
  <conditionalFormatting sqref="J138:J142">
    <cfRule type="cellIs" dxfId="2520" priority="292" operator="notEqual">
      <formula>$K138</formula>
    </cfRule>
  </conditionalFormatting>
  <conditionalFormatting sqref="C89:I89">
    <cfRule type="expression" dxfId="2519" priority="291">
      <formula>C89=$B$112</formula>
    </cfRule>
  </conditionalFormatting>
  <conditionalFormatting sqref="J112">
    <cfRule type="cellIs" dxfId="2518" priority="290" operator="notEqual">
      <formula>$K112</formula>
    </cfRule>
  </conditionalFormatting>
  <conditionalFormatting sqref="C75:I75">
    <cfRule type="expression" dxfId="2517" priority="288">
      <formula>C75=$B$112</formula>
    </cfRule>
  </conditionalFormatting>
  <conditionalFormatting sqref="C75:I75">
    <cfRule type="expression" dxfId="2516" priority="289">
      <formula>C75=$B$107</formula>
    </cfRule>
  </conditionalFormatting>
  <conditionalFormatting sqref="J115">
    <cfRule type="cellIs" dxfId="2515" priority="287" operator="notEqual">
      <formula>$K115</formula>
    </cfRule>
  </conditionalFormatting>
  <conditionalFormatting sqref="J120">
    <cfRule type="cellIs" dxfId="2514" priority="286" operator="notEqual">
      <formula>$K120</formula>
    </cfRule>
  </conditionalFormatting>
  <conditionalFormatting sqref="H50">
    <cfRule type="expression" dxfId="2513" priority="284">
      <formula>H50=$B$112</formula>
    </cfRule>
  </conditionalFormatting>
  <conditionalFormatting sqref="H50">
    <cfRule type="expression" dxfId="2512" priority="285">
      <formula>H50=$B$107</formula>
    </cfRule>
  </conditionalFormatting>
  <conditionalFormatting sqref="C36">
    <cfRule type="expression" dxfId="2511" priority="282">
      <formula>C36=$B$112</formula>
    </cfRule>
  </conditionalFormatting>
  <conditionalFormatting sqref="C36">
    <cfRule type="expression" dxfId="2510" priority="283">
      <formula>C36=$B$107</formula>
    </cfRule>
  </conditionalFormatting>
  <conditionalFormatting sqref="C102:I103 F92 H48:I48 C58:G58 C89:I90 C50:I57 C66:I69 C59:I63 C70:F70 I64 C71:I81 C84:I87 C94:I97 C6:I47">
    <cfRule type="expression" dxfId="2509" priority="298">
      <formula>C6=$B$126</formula>
    </cfRule>
    <cfRule type="expression" dxfId="2508" priority="299">
      <formula>C6=$B$124</formula>
    </cfRule>
    <cfRule type="expression" dxfId="2507" priority="300">
      <formula>C6=$B$120</formula>
    </cfRule>
    <cfRule type="expression" dxfId="2506" priority="301">
      <formula>C6=$B$115</formula>
    </cfRule>
    <cfRule type="expression" dxfId="2505" priority="302">
      <formula>C6=$B$112</formula>
    </cfRule>
    <cfRule type="expression" dxfId="2504" priority="303">
      <formula>C6=$B$109</formula>
    </cfRule>
    <cfRule type="expression" dxfId="2503" priority="304">
      <formula>C6=$B$112</formula>
    </cfRule>
    <cfRule type="expression" dxfId="2502" priority="305">
      <formula>C6=$B$142</formula>
    </cfRule>
    <cfRule type="expression" dxfId="2501" priority="306">
      <formula>C6=$B$114</formula>
    </cfRule>
    <cfRule type="expression" dxfId="2500" priority="307">
      <formula>C6=$B$142</formula>
    </cfRule>
    <cfRule type="expression" dxfId="2499" priority="308">
      <formula>C6=$B$141</formula>
    </cfRule>
    <cfRule type="expression" dxfId="2498" priority="309">
      <formula>C6=$B$140</formula>
    </cfRule>
    <cfRule type="expression" dxfId="2497" priority="310">
      <formula>C6=$B$139</formula>
    </cfRule>
    <cfRule type="expression" dxfId="2496" priority="311">
      <formula>C6=$B$138</formula>
    </cfRule>
    <cfRule type="expression" dxfId="2495" priority="312">
      <formula>C6=$B$137</formula>
    </cfRule>
    <cfRule type="expression" dxfId="2494" priority="313">
      <formula>C6=$B$136</formula>
    </cfRule>
    <cfRule type="expression" dxfId="2493" priority="314">
      <formula>C6=$B$135</formula>
    </cfRule>
    <cfRule type="expression" dxfId="2492" priority="315">
      <formula>C6=$B$131</formula>
    </cfRule>
    <cfRule type="expression" dxfId="2491" priority="316">
      <formula>C6=$B$130</formula>
    </cfRule>
    <cfRule type="expression" dxfId="2490" priority="317">
      <formula>C6=$B$129</formula>
    </cfRule>
    <cfRule type="expression" dxfId="2489" priority="318">
      <formula>C6=$B$128</formula>
    </cfRule>
    <cfRule type="expression" dxfId="2488" priority="319">
      <formula>C6=$B$127</formula>
    </cfRule>
    <cfRule type="expression" dxfId="2487" priority="320" stopIfTrue="1">
      <formula>C6=$B$126</formula>
    </cfRule>
    <cfRule type="expression" dxfId="2486" priority="321">
      <formula>C6=$B$125</formula>
    </cfRule>
    <cfRule type="expression" dxfId="2485" priority="322" stopIfTrue="1">
      <formula>C6=$B$124</formula>
    </cfRule>
    <cfRule type="expression" dxfId="2484" priority="323">
      <formula>C6=$B$123</formula>
    </cfRule>
    <cfRule type="expression" dxfId="2483" priority="324">
      <formula>C6=$B$122</formula>
    </cfRule>
    <cfRule type="expression" dxfId="2482" priority="325">
      <formula>C6=$B$121</formula>
    </cfRule>
    <cfRule type="expression" dxfId="2481" priority="326" stopIfTrue="1">
      <formula>C6=$B$119</formula>
    </cfRule>
    <cfRule type="expression" dxfId="2480" priority="327" stopIfTrue="1">
      <formula>C6=$B$118</formula>
    </cfRule>
    <cfRule type="expression" dxfId="2479" priority="328" stopIfTrue="1">
      <formula>C6=$B$117</formula>
    </cfRule>
    <cfRule type="expression" dxfId="2478" priority="329">
      <formula>C6=$B$116</formula>
    </cfRule>
    <cfRule type="expression" dxfId="2477" priority="330">
      <formula>C6=$B$113</formula>
    </cfRule>
    <cfRule type="expression" dxfId="2476" priority="331" stopIfTrue="1">
      <formula>C6=$B$111</formula>
    </cfRule>
    <cfRule type="expression" dxfId="2475" priority="332">
      <formula>C6=$B$110</formula>
    </cfRule>
    <cfRule type="expression" dxfId="2474" priority="333">
      <formula>C6=$B$109</formula>
    </cfRule>
    <cfRule type="expression" dxfId="2473" priority="334">
      <formula>C6=$B$108</formula>
    </cfRule>
    <cfRule type="expression" dxfId="2472" priority="335">
      <formula>C6=$B$106</formula>
    </cfRule>
    <cfRule type="expression" dxfId="2471" priority="336" stopIfTrue="1">
      <formula>C6=$B$107</formula>
    </cfRule>
    <cfRule type="expression" dxfId="2470" priority="337" stopIfTrue="1">
      <formula>C$5=TODAY()</formula>
    </cfRule>
  </conditionalFormatting>
  <conditionalFormatting sqref="J137">
    <cfRule type="cellIs" dxfId="2469" priority="281" operator="notEqual">
      <formula>$K137</formula>
    </cfRule>
  </conditionalFormatting>
  <conditionalFormatting sqref="C98:I101 G90:I90 C91:I93 H86:I86 H30:I30 H42:I42 C38:D38 H58:I58 C48:I49 C64:I65 H94:I94 H68:I68 H34:I34 C83:I83 H22:I22 G70 I70">
    <cfRule type="expression" dxfId="2468" priority="240">
      <formula>C22=$B$141</formula>
    </cfRule>
    <cfRule type="expression" dxfId="2467" priority="241">
      <formula>C22=$B$126</formula>
    </cfRule>
    <cfRule type="expression" dxfId="2466" priority="242">
      <formula>C22=$B$124</formula>
    </cfRule>
    <cfRule type="expression" dxfId="2465" priority="243">
      <formula>C22=$B$120</formula>
    </cfRule>
    <cfRule type="expression" dxfId="2464" priority="244">
      <formula>C22=$B$115</formula>
    </cfRule>
    <cfRule type="expression" dxfId="2463" priority="245">
      <formula>C22=$B$112</formula>
    </cfRule>
    <cfRule type="expression" dxfId="2462" priority="246">
      <formula>C22=$B$109</formula>
    </cfRule>
    <cfRule type="expression" dxfId="2461" priority="247">
      <formula>C22=$B$112</formula>
    </cfRule>
    <cfRule type="expression" dxfId="2460" priority="248">
      <formula>C22=$B$142</formula>
    </cfRule>
    <cfRule type="expression" dxfId="2459" priority="249">
      <formula>C22=$B$114</formula>
    </cfRule>
    <cfRule type="expression" dxfId="2458" priority="250">
      <formula>C22=$B$142</formula>
    </cfRule>
    <cfRule type="expression" dxfId="2457" priority="251">
      <formula>C22=$B$141</formula>
    </cfRule>
    <cfRule type="expression" dxfId="2456" priority="252">
      <formula>C22=$B$140</formula>
    </cfRule>
    <cfRule type="expression" dxfId="2455" priority="253">
      <formula>C22=$B$139</formula>
    </cfRule>
    <cfRule type="expression" dxfId="2454" priority="254">
      <formula>C22=$B$138</formula>
    </cfRule>
    <cfRule type="expression" dxfId="2453" priority="255">
      <formula>C22=$B$137</formula>
    </cfRule>
    <cfRule type="expression" dxfId="2452" priority="256">
      <formula>C22=$B$136</formula>
    </cfRule>
    <cfRule type="expression" dxfId="2451" priority="257">
      <formula>C22=$B$135</formula>
    </cfRule>
    <cfRule type="expression" dxfId="2450" priority="258">
      <formula>C22=$B$131</formula>
    </cfRule>
    <cfRule type="expression" dxfId="2449" priority="259">
      <formula>C22=$B$130</formula>
    </cfRule>
    <cfRule type="expression" dxfId="2448" priority="260">
      <formula>C22=$B$129</formula>
    </cfRule>
    <cfRule type="expression" dxfId="2447" priority="261">
      <formula>C22=$B$128</formula>
    </cfRule>
    <cfRule type="expression" dxfId="2446" priority="262">
      <formula>C22=$B$127</formula>
    </cfRule>
    <cfRule type="expression" dxfId="2445" priority="263" stopIfTrue="1">
      <formula>C22=$B$126</formula>
    </cfRule>
    <cfRule type="expression" dxfId="2444" priority="264">
      <formula>C22=$B$125</formula>
    </cfRule>
    <cfRule type="expression" dxfId="2443" priority="265" stopIfTrue="1">
      <formula>C22=$B$124</formula>
    </cfRule>
    <cfRule type="expression" dxfId="2442" priority="266">
      <formula>C22=$B$123</formula>
    </cfRule>
    <cfRule type="expression" dxfId="2441" priority="267">
      <formula>C22=$B$122</formula>
    </cfRule>
    <cfRule type="expression" dxfId="2440" priority="268">
      <formula>C22=$B$121</formula>
    </cfRule>
    <cfRule type="expression" dxfId="2439" priority="269" stopIfTrue="1">
      <formula>C22=$B$119</formula>
    </cfRule>
    <cfRule type="expression" dxfId="2438" priority="270" stopIfTrue="1">
      <formula>C22=$B$118</formula>
    </cfRule>
    <cfRule type="expression" dxfId="2437" priority="271" stopIfTrue="1">
      <formula>C22=$B$117</formula>
    </cfRule>
    <cfRule type="expression" dxfId="2436" priority="272">
      <formula>C22=$B$116</formula>
    </cfRule>
    <cfRule type="expression" dxfId="2435" priority="273">
      <formula>C22=$B$113</formula>
    </cfRule>
    <cfRule type="expression" dxfId="2434" priority="274" stopIfTrue="1">
      <formula>C22=$B$111</formula>
    </cfRule>
    <cfRule type="expression" dxfId="2433" priority="275">
      <formula>C22=$B$110</formula>
    </cfRule>
    <cfRule type="expression" dxfId="2432" priority="276">
      <formula>C22=$B$109</formula>
    </cfRule>
    <cfRule type="expression" dxfId="2431" priority="277">
      <formula>C22=$B$108</formula>
    </cfRule>
    <cfRule type="expression" dxfId="2430" priority="278">
      <formula>C22=$B$106</formula>
    </cfRule>
    <cfRule type="expression" dxfId="2429" priority="279" stopIfTrue="1">
      <formula>C22=$B$107</formula>
    </cfRule>
    <cfRule type="expression" dxfId="2428" priority="280" stopIfTrue="1">
      <formula>C$5=TODAY()</formula>
    </cfRule>
  </conditionalFormatting>
  <conditionalFormatting sqref="H48">
    <cfRule type="expression" dxfId="2427" priority="238">
      <formula>H48=$B$112</formula>
    </cfRule>
  </conditionalFormatting>
  <conditionalFormatting sqref="H48">
    <cfRule type="expression" dxfId="2426" priority="239">
      <formula>H48=$B$107</formula>
    </cfRule>
  </conditionalFormatting>
  <conditionalFormatting sqref="H92">
    <cfRule type="expression" dxfId="2425" priority="236">
      <formula>H92=$B$112</formula>
    </cfRule>
  </conditionalFormatting>
  <conditionalFormatting sqref="H92">
    <cfRule type="expression" dxfId="2424" priority="237">
      <formula>H92=$B$107</formula>
    </cfRule>
  </conditionalFormatting>
  <conditionalFormatting sqref="C74 C102:I103 C44:E44 C38:D38 C40 F92 C89:I89 C71:I73 H38:I38 C50:I57 C66:I69 C59:I63 E74:I74 C75:I81 C84:I87 C94:I97 C6:I37">
    <cfRule type="expression" dxfId="2423" priority="297">
      <formula>C6=$B$141</formula>
    </cfRule>
  </conditionalFormatting>
  <conditionalFormatting sqref="G90:I90 D46:I46 C89:I89 C47:I57 C59:I69 C71:I81 C83:I87 C92:I101 C6:I45">
    <cfRule type="expression" dxfId="2422" priority="233">
      <formula>C6=$B$133</formula>
    </cfRule>
    <cfRule type="expression" dxfId="2421" priority="234">
      <formula>C6=$B$134</formula>
    </cfRule>
    <cfRule type="expression" dxfId="2420" priority="235">
      <formula>C6=$B$132</formula>
    </cfRule>
  </conditionalFormatting>
  <conditionalFormatting sqref="H90">
    <cfRule type="expression" dxfId="2419" priority="231">
      <formula>H90=$B$112</formula>
    </cfRule>
  </conditionalFormatting>
  <conditionalFormatting sqref="H90">
    <cfRule type="expression" dxfId="2418" priority="232">
      <formula>H90=$B$107</formula>
    </cfRule>
  </conditionalFormatting>
  <conditionalFormatting sqref="C91:I91">
    <cfRule type="expression" dxfId="2417" priority="228">
      <formula>C91=$B$133</formula>
    </cfRule>
    <cfRule type="expression" dxfId="2416" priority="229">
      <formula>C91=$B$134</formula>
    </cfRule>
    <cfRule type="expression" dxfId="2415" priority="230">
      <formula>C91=$B$132</formula>
    </cfRule>
  </conditionalFormatting>
  <conditionalFormatting sqref="C90:I90">
    <cfRule type="expression" dxfId="2414" priority="227">
      <formula>C90=$B$141</formula>
    </cfRule>
  </conditionalFormatting>
  <conditionalFormatting sqref="C90:I90">
    <cfRule type="expression" dxfId="2413" priority="224">
      <formula>C90=$B$133</formula>
    </cfRule>
    <cfRule type="expression" dxfId="2412" priority="225">
      <formula>C90=$B$134</formula>
    </cfRule>
    <cfRule type="expression" dxfId="2411" priority="226">
      <formula>C90=$B$132</formula>
    </cfRule>
  </conditionalFormatting>
  <conditionalFormatting sqref="J134">
    <cfRule type="cellIs" dxfId="2410" priority="223" operator="notEqual">
      <formula>$K134</formula>
    </cfRule>
  </conditionalFormatting>
  <conditionalFormatting sqref="H58:I58">
    <cfRule type="expression" dxfId="2409" priority="220">
      <formula>H58=$B$133</formula>
    </cfRule>
    <cfRule type="expression" dxfId="2408" priority="221">
      <formula>H58=$B$134</formula>
    </cfRule>
    <cfRule type="expression" dxfId="2407" priority="222">
      <formula>H58=$B$132</formula>
    </cfRule>
  </conditionalFormatting>
  <conditionalFormatting sqref="H58">
    <cfRule type="expression" dxfId="2406" priority="218">
      <formula>H58=$B$112</formula>
    </cfRule>
  </conditionalFormatting>
  <conditionalFormatting sqref="H58">
    <cfRule type="expression" dxfId="2405" priority="219">
      <formula>H58=$B$107</formula>
    </cfRule>
  </conditionalFormatting>
  <conditionalFormatting sqref="C58:F58">
    <cfRule type="expression" dxfId="2404" priority="217">
      <formula>C58=$B$141</formula>
    </cfRule>
  </conditionalFormatting>
  <conditionalFormatting sqref="C58:F58">
    <cfRule type="expression" dxfId="2403" priority="214">
      <formula>C58=$B$133</formula>
    </cfRule>
    <cfRule type="expression" dxfId="2402" priority="215">
      <formula>C58=$B$134</formula>
    </cfRule>
    <cfRule type="expression" dxfId="2401" priority="216">
      <formula>C58=$B$132</formula>
    </cfRule>
  </conditionalFormatting>
  <conditionalFormatting sqref="J132">
    <cfRule type="cellIs" dxfId="2400" priority="213" operator="notEqual">
      <formula>$K132</formula>
    </cfRule>
  </conditionalFormatting>
  <conditionalFormatting sqref="A6:A102">
    <cfRule type="cellIs" dxfId="2399" priority="211" operator="lessThan">
      <formula>5</formula>
    </cfRule>
    <cfRule type="cellIs" dxfId="2398" priority="212" operator="greaterThanOrEqual">
      <formula>5</formula>
    </cfRule>
  </conditionalFormatting>
  <conditionalFormatting sqref="J133">
    <cfRule type="cellIs" dxfId="2397" priority="210" operator="notEqual">
      <formula>$K133</formula>
    </cfRule>
  </conditionalFormatting>
  <conditionalFormatting sqref="H42:I42">
    <cfRule type="expression" dxfId="2396" priority="209">
      <formula>H42=$B$141</formula>
    </cfRule>
  </conditionalFormatting>
  <conditionalFormatting sqref="I46">
    <cfRule type="expression" dxfId="2395" priority="208">
      <formula>I46=$B$141</formula>
    </cfRule>
  </conditionalFormatting>
  <conditionalFormatting sqref="C46">
    <cfRule type="expression" dxfId="2394" priority="207">
      <formula>C46=$B$141</formula>
    </cfRule>
  </conditionalFormatting>
  <conditionalFormatting sqref="C46">
    <cfRule type="expression" dxfId="2393" priority="204">
      <formula>C46=$B$133</formula>
    </cfRule>
    <cfRule type="expression" dxfId="2392" priority="205">
      <formula>C46=$B$134</formula>
    </cfRule>
    <cfRule type="expression" dxfId="2391" priority="206">
      <formula>C46=$B$132</formula>
    </cfRule>
  </conditionalFormatting>
  <conditionalFormatting sqref="C72">
    <cfRule type="expression" dxfId="2390" priority="203">
      <formula>C72=$B$141</formula>
    </cfRule>
  </conditionalFormatting>
  <conditionalFormatting sqref="C72">
    <cfRule type="expression" dxfId="2389" priority="200">
      <formula>C72=$B$133</formula>
    </cfRule>
    <cfRule type="expression" dxfId="2388" priority="201">
      <formula>C72=$B$134</formula>
    </cfRule>
    <cfRule type="expression" dxfId="2387" priority="202">
      <formula>C72=$B$132</formula>
    </cfRule>
  </conditionalFormatting>
  <conditionalFormatting sqref="C44:E44">
    <cfRule type="expression" dxfId="2386" priority="199">
      <formula>C44=$B$141</formula>
    </cfRule>
  </conditionalFormatting>
  <conditionalFormatting sqref="H64">
    <cfRule type="expression" dxfId="2385" priority="197">
      <formula>H64=$B$112</formula>
    </cfRule>
  </conditionalFormatting>
  <conditionalFormatting sqref="H64">
    <cfRule type="expression" dxfId="2384" priority="198">
      <formula>H64=$B$107</formula>
    </cfRule>
  </conditionalFormatting>
  <conditionalFormatting sqref="H48:I48">
    <cfRule type="expression" dxfId="2383" priority="196">
      <formula>H48=$B$141</formula>
    </cfRule>
  </conditionalFormatting>
  <conditionalFormatting sqref="G58">
    <cfRule type="expression" dxfId="2382" priority="195">
      <formula>G58=$B$141</formula>
    </cfRule>
  </conditionalFormatting>
  <conditionalFormatting sqref="G58">
    <cfRule type="expression" dxfId="2381" priority="192">
      <formula>G58=$B$133</formula>
    </cfRule>
    <cfRule type="expression" dxfId="2380" priority="193">
      <formula>G58=$B$134</formula>
    </cfRule>
    <cfRule type="expression" dxfId="2379" priority="194">
      <formula>G58=$B$132</formula>
    </cfRule>
  </conditionalFormatting>
  <conditionalFormatting sqref="C50">
    <cfRule type="expression" dxfId="2378" priority="191">
      <formula>C50=$B$141</formula>
    </cfRule>
  </conditionalFormatting>
  <conditionalFormatting sqref="C50">
    <cfRule type="expression" dxfId="2377" priority="188">
      <formula>C50=$B$133</formula>
    </cfRule>
    <cfRule type="expression" dxfId="2376" priority="189">
      <formula>C50=$B$134</formula>
    </cfRule>
    <cfRule type="expression" dxfId="2375" priority="190">
      <formula>C50=$B$132</formula>
    </cfRule>
  </conditionalFormatting>
  <conditionalFormatting sqref="G70 I70">
    <cfRule type="expression" dxfId="2374" priority="185">
      <formula>G70=$B$133</formula>
    </cfRule>
    <cfRule type="expression" dxfId="2373" priority="186">
      <formula>G70=$B$134</formula>
    </cfRule>
    <cfRule type="expression" dxfId="2372" priority="187">
      <formula>G70=$B$132</formula>
    </cfRule>
  </conditionalFormatting>
  <conditionalFormatting sqref="E70:F70">
    <cfRule type="expression" dxfId="2371" priority="184">
      <formula>E70=$B$141</formula>
    </cfRule>
  </conditionalFormatting>
  <conditionalFormatting sqref="E70:F70">
    <cfRule type="expression" dxfId="2370" priority="181">
      <formula>E70=$B$133</formula>
    </cfRule>
    <cfRule type="expression" dxfId="2369" priority="182">
      <formula>E70=$B$134</formula>
    </cfRule>
    <cfRule type="expression" dxfId="2368" priority="183">
      <formula>E70=$B$132</formula>
    </cfRule>
  </conditionalFormatting>
  <conditionalFormatting sqref="C88:I88">
    <cfRule type="expression" dxfId="2367" priority="141">
      <formula>C88=$B$126</formula>
    </cfRule>
    <cfRule type="expression" dxfId="2366" priority="142">
      <formula>C88=$B$124</formula>
    </cfRule>
    <cfRule type="expression" dxfId="2365" priority="143">
      <formula>C88=$B$120</formula>
    </cfRule>
    <cfRule type="expression" dxfId="2364" priority="144">
      <formula>C88=$B$115</formula>
    </cfRule>
    <cfRule type="expression" dxfId="2363" priority="145">
      <formula>C88=$B$112</formula>
    </cfRule>
    <cfRule type="expression" dxfId="2362" priority="146">
      <formula>C88=$B$109</formula>
    </cfRule>
    <cfRule type="expression" dxfId="2361" priority="147">
      <formula>C88=$B$112</formula>
    </cfRule>
    <cfRule type="expression" dxfId="2360" priority="148">
      <formula>C88=$B$142</formula>
    </cfRule>
    <cfRule type="expression" dxfId="2359" priority="149">
      <formula>C88=$B$114</formula>
    </cfRule>
    <cfRule type="expression" dxfId="2358" priority="150">
      <formula>C88=$B$142</formula>
    </cfRule>
    <cfRule type="expression" dxfId="2357" priority="151">
      <formula>C88=$B$141</formula>
    </cfRule>
    <cfRule type="expression" dxfId="2356" priority="152">
      <formula>C88=$B$140</formula>
    </cfRule>
    <cfRule type="expression" dxfId="2355" priority="153">
      <formula>C88=$B$139</formula>
    </cfRule>
    <cfRule type="expression" dxfId="2354" priority="154">
      <formula>C88=$B$138</formula>
    </cfRule>
    <cfRule type="expression" dxfId="2353" priority="155">
      <formula>C88=$B$137</formula>
    </cfRule>
    <cfRule type="expression" dxfId="2352" priority="156">
      <formula>C88=$B$136</formula>
    </cfRule>
    <cfRule type="expression" dxfId="2351" priority="157">
      <formula>C88=$B$135</formula>
    </cfRule>
    <cfRule type="expression" dxfId="2350" priority="158">
      <formula>C88=$B$131</formula>
    </cfRule>
    <cfRule type="expression" dxfId="2349" priority="159">
      <formula>C88=$B$130</formula>
    </cfRule>
    <cfRule type="expression" dxfId="2348" priority="160">
      <formula>C88=$B$129</formula>
    </cfRule>
    <cfRule type="expression" dxfId="2347" priority="161">
      <formula>C88=$B$128</formula>
    </cfRule>
    <cfRule type="expression" dxfId="2346" priority="162">
      <formula>C88=$B$127</formula>
    </cfRule>
    <cfRule type="expression" dxfId="2345" priority="163" stopIfTrue="1">
      <formula>C88=$B$126</formula>
    </cfRule>
    <cfRule type="expression" dxfId="2344" priority="164">
      <formula>C88=$B$125</formula>
    </cfRule>
    <cfRule type="expression" dxfId="2343" priority="165" stopIfTrue="1">
      <formula>C88=$B$124</formula>
    </cfRule>
    <cfRule type="expression" dxfId="2342" priority="166">
      <formula>C88=$B$123</formula>
    </cfRule>
    <cfRule type="expression" dxfId="2341" priority="167">
      <formula>C88=$B$122</formula>
    </cfRule>
    <cfRule type="expression" dxfId="2340" priority="168">
      <formula>C88=$B$121</formula>
    </cfRule>
    <cfRule type="expression" dxfId="2339" priority="169" stopIfTrue="1">
      <formula>C88=$B$119</formula>
    </cfRule>
    <cfRule type="expression" dxfId="2338" priority="170" stopIfTrue="1">
      <formula>C88=$B$118</formula>
    </cfRule>
    <cfRule type="expression" dxfId="2337" priority="171" stopIfTrue="1">
      <formula>C88=$B$117</formula>
    </cfRule>
    <cfRule type="expression" dxfId="2336" priority="172">
      <formula>C88=$B$116</formula>
    </cfRule>
    <cfRule type="expression" dxfId="2335" priority="173">
      <formula>C88=$B$113</formula>
    </cfRule>
    <cfRule type="expression" dxfId="2334" priority="174" stopIfTrue="1">
      <formula>C88=$B$111</formula>
    </cfRule>
    <cfRule type="expression" dxfId="2333" priority="175">
      <formula>C88=$B$110</formula>
    </cfRule>
    <cfRule type="expression" dxfId="2332" priority="176">
      <formula>C88=$B$109</formula>
    </cfRule>
    <cfRule type="expression" dxfId="2331" priority="177">
      <formula>C88=$B$108</formula>
    </cfRule>
    <cfRule type="expression" dxfId="2330" priority="178">
      <formula>C88=$B$106</formula>
    </cfRule>
    <cfRule type="expression" dxfId="2329" priority="179" stopIfTrue="1">
      <formula>C88=$B$107</formula>
    </cfRule>
    <cfRule type="expression" dxfId="2328" priority="180" stopIfTrue="1">
      <formula>C$5=TODAY()</formula>
    </cfRule>
  </conditionalFormatting>
  <conditionalFormatting sqref="C88:I88">
    <cfRule type="expression" dxfId="2327" priority="140">
      <formula>C88=$B$141</formula>
    </cfRule>
  </conditionalFormatting>
  <conditionalFormatting sqref="C88:I88">
    <cfRule type="expression" dxfId="2326" priority="137">
      <formula>C88=$B$133</formula>
    </cfRule>
    <cfRule type="expression" dxfId="2325" priority="138">
      <formula>C88=$B$134</formula>
    </cfRule>
    <cfRule type="expression" dxfId="2324" priority="139">
      <formula>C88=$B$132</formula>
    </cfRule>
  </conditionalFormatting>
  <conditionalFormatting sqref="D74">
    <cfRule type="expression" dxfId="2323" priority="136">
      <formula>D74=$B$141</formula>
    </cfRule>
  </conditionalFormatting>
  <conditionalFormatting sqref="C82:I82">
    <cfRule type="expression" dxfId="2322" priority="96">
      <formula>C82=$B$126</formula>
    </cfRule>
    <cfRule type="expression" dxfId="2321" priority="97">
      <formula>C82=$B$124</formula>
    </cfRule>
    <cfRule type="expression" dxfId="2320" priority="98">
      <formula>C82=$B$120</formula>
    </cfRule>
    <cfRule type="expression" dxfId="2319" priority="99">
      <formula>C82=$B$115</formula>
    </cfRule>
    <cfRule type="expression" dxfId="2318" priority="100">
      <formula>C82=$B$112</formula>
    </cfRule>
    <cfRule type="expression" dxfId="2317" priority="101">
      <formula>C82=$B$109</formula>
    </cfRule>
    <cfRule type="expression" dxfId="2316" priority="102">
      <formula>C82=$B$112</formula>
    </cfRule>
    <cfRule type="expression" dxfId="2315" priority="103">
      <formula>C82=$B$142</formula>
    </cfRule>
    <cfRule type="expression" dxfId="2314" priority="104">
      <formula>C82=$B$114</formula>
    </cfRule>
    <cfRule type="expression" dxfId="2313" priority="105">
      <formula>C82=$B$142</formula>
    </cfRule>
    <cfRule type="expression" dxfId="2312" priority="106">
      <formula>C82=$B$141</formula>
    </cfRule>
    <cfRule type="expression" dxfId="2311" priority="107">
      <formula>C82=$B$140</formula>
    </cfRule>
    <cfRule type="expression" dxfId="2310" priority="108">
      <formula>C82=$B$139</formula>
    </cfRule>
    <cfRule type="expression" dxfId="2309" priority="109">
      <formula>C82=$B$138</formula>
    </cfRule>
    <cfRule type="expression" dxfId="2308" priority="110">
      <formula>C82=$B$137</formula>
    </cfRule>
    <cfRule type="expression" dxfId="2307" priority="111">
      <formula>C82=$B$136</formula>
    </cfRule>
    <cfRule type="expression" dxfId="2306" priority="112">
      <formula>C82=$B$135</formula>
    </cfRule>
    <cfRule type="expression" dxfId="2305" priority="113">
      <formula>C82=$B$131</formula>
    </cfRule>
    <cfRule type="expression" dxfId="2304" priority="114">
      <formula>C82=$B$130</formula>
    </cfRule>
    <cfRule type="expression" dxfId="2303" priority="115">
      <formula>C82=$B$129</formula>
    </cfRule>
    <cfRule type="expression" dxfId="2302" priority="116">
      <formula>C82=$B$128</formula>
    </cfRule>
    <cfRule type="expression" dxfId="2301" priority="117">
      <formula>C82=$B$127</formula>
    </cfRule>
    <cfRule type="expression" dxfId="2300" priority="118" stopIfTrue="1">
      <formula>C82=$B$126</formula>
    </cfRule>
    <cfRule type="expression" dxfId="2299" priority="119">
      <formula>C82=$B$125</formula>
    </cfRule>
    <cfRule type="expression" dxfId="2298" priority="120" stopIfTrue="1">
      <formula>C82=$B$124</formula>
    </cfRule>
    <cfRule type="expression" dxfId="2297" priority="121">
      <formula>C82=$B$123</formula>
    </cfRule>
    <cfRule type="expression" dxfId="2296" priority="122">
      <formula>C82=$B$122</formula>
    </cfRule>
    <cfRule type="expression" dxfId="2295" priority="123">
      <formula>C82=$B$121</formula>
    </cfRule>
    <cfRule type="expression" dxfId="2294" priority="124" stopIfTrue="1">
      <formula>C82=$B$119</formula>
    </cfRule>
    <cfRule type="expression" dxfId="2293" priority="125" stopIfTrue="1">
      <formula>C82=$B$118</formula>
    </cfRule>
    <cfRule type="expression" dxfId="2292" priority="126" stopIfTrue="1">
      <formula>C82=$B$117</formula>
    </cfRule>
    <cfRule type="expression" dxfId="2291" priority="127">
      <formula>C82=$B$116</formula>
    </cfRule>
    <cfRule type="expression" dxfId="2290" priority="128">
      <formula>C82=$B$113</formula>
    </cfRule>
    <cfRule type="expression" dxfId="2289" priority="129" stopIfTrue="1">
      <formula>C82=$B$111</formula>
    </cfRule>
    <cfRule type="expression" dxfId="2288" priority="130">
      <formula>C82=$B$110</formula>
    </cfRule>
    <cfRule type="expression" dxfId="2287" priority="131">
      <formula>C82=$B$109</formula>
    </cfRule>
    <cfRule type="expression" dxfId="2286" priority="132">
      <formula>C82=$B$108</formula>
    </cfRule>
    <cfRule type="expression" dxfId="2285" priority="133">
      <formula>C82=$B$106</formula>
    </cfRule>
    <cfRule type="expression" dxfId="2284" priority="134" stopIfTrue="1">
      <formula>C82=$B$107</formula>
    </cfRule>
    <cfRule type="expression" dxfId="2283" priority="135" stopIfTrue="1">
      <formula>C$5=TODAY()</formula>
    </cfRule>
  </conditionalFormatting>
  <conditionalFormatting sqref="H82:I82">
    <cfRule type="expression" dxfId="2282" priority="54">
      <formula>H82=$B$141</formula>
    </cfRule>
    <cfRule type="expression" dxfId="2281" priority="55">
      <formula>H82=$B$126</formula>
    </cfRule>
    <cfRule type="expression" dxfId="2280" priority="56">
      <formula>H82=$B$124</formula>
    </cfRule>
    <cfRule type="expression" dxfId="2279" priority="57">
      <formula>H82=$B$120</formula>
    </cfRule>
    <cfRule type="expression" dxfId="2278" priority="58">
      <formula>H82=$B$115</formula>
    </cfRule>
    <cfRule type="expression" dxfId="2277" priority="59">
      <formula>H82=$B$112</formula>
    </cfRule>
    <cfRule type="expression" dxfId="2276" priority="60">
      <formula>H82=$B$109</formula>
    </cfRule>
    <cfRule type="expression" dxfId="2275" priority="61">
      <formula>H82=$B$112</formula>
    </cfRule>
    <cfRule type="expression" dxfId="2274" priority="62">
      <formula>H82=$B$142</formula>
    </cfRule>
    <cfRule type="expression" dxfId="2273" priority="63">
      <formula>H82=$B$114</formula>
    </cfRule>
    <cfRule type="expression" dxfId="2272" priority="64">
      <formula>H82=$B$142</formula>
    </cfRule>
    <cfRule type="expression" dxfId="2271" priority="65">
      <formula>H82=$B$141</formula>
    </cfRule>
    <cfRule type="expression" dxfId="2270" priority="66">
      <formula>H82=$B$140</formula>
    </cfRule>
    <cfRule type="expression" dxfId="2269" priority="67">
      <formula>H82=$B$139</formula>
    </cfRule>
    <cfRule type="expression" dxfId="2268" priority="68">
      <formula>H82=$B$138</formula>
    </cfRule>
    <cfRule type="expression" dxfId="2267" priority="69">
      <formula>H82=$B$137</formula>
    </cfRule>
    <cfRule type="expression" dxfId="2266" priority="70">
      <formula>H82=$B$136</formula>
    </cfRule>
    <cfRule type="expression" dxfId="2265" priority="71">
      <formula>H82=$B$135</formula>
    </cfRule>
    <cfRule type="expression" dxfId="2264" priority="72">
      <formula>H82=$B$131</formula>
    </cfRule>
    <cfRule type="expression" dxfId="2263" priority="73">
      <formula>H82=$B$130</formula>
    </cfRule>
    <cfRule type="expression" dxfId="2262" priority="74">
      <formula>H82=$B$129</formula>
    </cfRule>
    <cfRule type="expression" dxfId="2261" priority="75">
      <formula>H82=$B$128</formula>
    </cfRule>
    <cfRule type="expression" dxfId="2260" priority="76">
      <formula>H82=$B$127</formula>
    </cfRule>
    <cfRule type="expression" dxfId="2259" priority="77" stopIfTrue="1">
      <formula>H82=$B$126</formula>
    </cfRule>
    <cfRule type="expression" dxfId="2258" priority="78">
      <formula>H82=$B$125</formula>
    </cfRule>
    <cfRule type="expression" dxfId="2257" priority="79" stopIfTrue="1">
      <formula>H82=$B$124</formula>
    </cfRule>
    <cfRule type="expression" dxfId="2256" priority="80">
      <formula>H82=$B$123</formula>
    </cfRule>
    <cfRule type="expression" dxfId="2255" priority="81">
      <formula>H82=$B$122</formula>
    </cfRule>
    <cfRule type="expression" dxfId="2254" priority="82">
      <formula>H82=$B$121</formula>
    </cfRule>
    <cfRule type="expression" dxfId="2253" priority="83" stopIfTrue="1">
      <formula>H82=$B$119</formula>
    </cfRule>
    <cfRule type="expression" dxfId="2252" priority="84" stopIfTrue="1">
      <formula>H82=$B$118</formula>
    </cfRule>
    <cfRule type="expression" dxfId="2251" priority="85" stopIfTrue="1">
      <formula>H82=$B$117</formula>
    </cfRule>
    <cfRule type="expression" dxfId="2250" priority="86">
      <formula>H82=$B$116</formula>
    </cfRule>
    <cfRule type="expression" dxfId="2249" priority="87">
      <formula>H82=$B$113</formula>
    </cfRule>
    <cfRule type="expression" dxfId="2248" priority="88" stopIfTrue="1">
      <formula>H82=$B$111</formula>
    </cfRule>
    <cfRule type="expression" dxfId="2247" priority="89">
      <formula>H82=$B$110</formula>
    </cfRule>
    <cfRule type="expression" dxfId="2246" priority="90">
      <formula>H82=$B$109</formula>
    </cfRule>
    <cfRule type="expression" dxfId="2245" priority="91">
      <formula>H82=$B$108</formula>
    </cfRule>
    <cfRule type="expression" dxfId="2244" priority="92">
      <formula>H82=$B$106</formula>
    </cfRule>
    <cfRule type="expression" dxfId="2243" priority="93" stopIfTrue="1">
      <formula>H82=$B$107</formula>
    </cfRule>
    <cfRule type="expression" dxfId="2242" priority="94" stopIfTrue="1">
      <formula>H$5=TODAY()</formula>
    </cfRule>
  </conditionalFormatting>
  <conditionalFormatting sqref="C82:I82">
    <cfRule type="expression" dxfId="2241" priority="95">
      <formula>C82=$B$141</formula>
    </cfRule>
  </conditionalFormatting>
  <conditionalFormatting sqref="C82:I82">
    <cfRule type="expression" dxfId="2240" priority="51">
      <formula>C82=$B$133</formula>
    </cfRule>
    <cfRule type="expression" dxfId="2239" priority="52">
      <formula>C82=$B$134</formula>
    </cfRule>
    <cfRule type="expression" dxfId="2238" priority="53">
      <formula>C82=$B$132</formula>
    </cfRule>
  </conditionalFormatting>
  <conditionalFormatting sqref="F40">
    <cfRule type="expression" dxfId="2237" priority="50">
      <formula>F40=$B$141</formula>
    </cfRule>
  </conditionalFormatting>
  <conditionalFormatting sqref="C70:D70">
    <cfRule type="expression" dxfId="2236" priority="49">
      <formula>C70=$B$141</formula>
    </cfRule>
  </conditionalFormatting>
  <conditionalFormatting sqref="C70:D70">
    <cfRule type="expression" dxfId="2235" priority="46">
      <formula>C70=$B$133</formula>
    </cfRule>
    <cfRule type="expression" dxfId="2234" priority="47">
      <formula>C70=$B$134</formula>
    </cfRule>
    <cfRule type="expression" dxfId="2233" priority="48">
      <formula>C70=$B$132</formula>
    </cfRule>
  </conditionalFormatting>
  <conditionalFormatting sqref="I64">
    <cfRule type="expression" dxfId="2232" priority="45">
      <formula>I64=$B$141</formula>
    </cfRule>
  </conditionalFormatting>
  <conditionalFormatting sqref="H70">
    <cfRule type="expression" dxfId="2231" priority="5">
      <formula>H70=$B$126</formula>
    </cfRule>
    <cfRule type="expression" dxfId="2230" priority="6">
      <formula>H70=$B$124</formula>
    </cfRule>
    <cfRule type="expression" dxfId="2229" priority="7">
      <formula>H70=$B$120</formula>
    </cfRule>
    <cfRule type="expression" dxfId="2228" priority="8">
      <formula>H70=$B$115</formula>
    </cfRule>
    <cfRule type="expression" dxfId="2227" priority="9">
      <formula>H70=$B$112</formula>
    </cfRule>
    <cfRule type="expression" dxfId="2226" priority="10">
      <formula>H70=$B$109</formula>
    </cfRule>
    <cfRule type="expression" dxfId="2225" priority="11">
      <formula>H70=$B$112</formula>
    </cfRule>
    <cfRule type="expression" dxfId="2224" priority="12">
      <formula>H70=$B$142</formula>
    </cfRule>
    <cfRule type="expression" dxfId="2223" priority="13">
      <formula>H70=$B$114</formula>
    </cfRule>
    <cfRule type="expression" dxfId="2222" priority="14">
      <formula>H70=$B$142</formula>
    </cfRule>
    <cfRule type="expression" dxfId="2221" priority="15">
      <formula>H70=$B$141</formula>
    </cfRule>
    <cfRule type="expression" dxfId="2220" priority="16">
      <formula>H70=$B$140</formula>
    </cfRule>
    <cfRule type="expression" dxfId="2219" priority="17">
      <formula>H70=$B$139</formula>
    </cfRule>
    <cfRule type="expression" dxfId="2218" priority="18">
      <formula>H70=$B$138</formula>
    </cfRule>
    <cfRule type="expression" dxfId="2217" priority="19">
      <formula>H70=$B$137</formula>
    </cfRule>
    <cfRule type="expression" dxfId="2216" priority="20">
      <formula>H70=$B$136</formula>
    </cfRule>
    <cfRule type="expression" dxfId="2215" priority="21">
      <formula>H70=$B$135</formula>
    </cfRule>
    <cfRule type="expression" dxfId="2214" priority="22">
      <formula>H70=$B$131</formula>
    </cfRule>
    <cfRule type="expression" dxfId="2213" priority="23">
      <formula>H70=$B$130</formula>
    </cfRule>
    <cfRule type="expression" dxfId="2212" priority="24">
      <formula>H70=$B$129</formula>
    </cfRule>
    <cfRule type="expression" dxfId="2211" priority="25">
      <formula>H70=$B$128</formula>
    </cfRule>
    <cfRule type="expression" dxfId="2210" priority="26">
      <formula>H70=$B$127</formula>
    </cfRule>
    <cfRule type="expression" dxfId="2209" priority="27" stopIfTrue="1">
      <formula>H70=$B$126</formula>
    </cfRule>
    <cfRule type="expression" dxfId="2208" priority="28">
      <formula>H70=$B$125</formula>
    </cfRule>
    <cfRule type="expression" dxfId="2207" priority="29" stopIfTrue="1">
      <formula>H70=$B$124</formula>
    </cfRule>
    <cfRule type="expression" dxfId="2206" priority="30">
      <formula>H70=$B$123</formula>
    </cfRule>
    <cfRule type="expression" dxfId="2205" priority="31">
      <formula>H70=$B$122</formula>
    </cfRule>
    <cfRule type="expression" dxfId="2204" priority="32">
      <formula>H70=$B$121</formula>
    </cfRule>
    <cfRule type="expression" dxfId="2203" priority="33" stopIfTrue="1">
      <formula>H70=$B$119</formula>
    </cfRule>
    <cfRule type="expression" dxfId="2202" priority="34" stopIfTrue="1">
      <formula>H70=$B$118</formula>
    </cfRule>
    <cfRule type="expression" dxfId="2201" priority="35" stopIfTrue="1">
      <formula>H70=$B$117</formula>
    </cfRule>
    <cfRule type="expression" dxfId="2200" priority="36">
      <formula>H70=$B$116</formula>
    </cfRule>
    <cfRule type="expression" dxfId="2199" priority="37">
      <formula>H70=$B$113</formula>
    </cfRule>
    <cfRule type="expression" dxfId="2198" priority="38" stopIfTrue="1">
      <formula>H70=$B$111</formula>
    </cfRule>
    <cfRule type="expression" dxfId="2197" priority="39">
      <formula>H70=$B$110</formula>
    </cfRule>
    <cfRule type="expression" dxfId="2196" priority="40">
      <formula>H70=$B$109</formula>
    </cfRule>
    <cfRule type="expression" dxfId="2195" priority="41">
      <formula>H70=$B$108</formula>
    </cfRule>
    <cfRule type="expression" dxfId="2194" priority="42">
      <formula>H70=$B$106</formula>
    </cfRule>
    <cfRule type="expression" dxfId="2193" priority="43" stopIfTrue="1">
      <formula>H70=$B$107</formula>
    </cfRule>
    <cfRule type="expression" dxfId="2192" priority="44" stopIfTrue="1">
      <formula>H$5=TODAY()</formula>
    </cfRule>
  </conditionalFormatting>
  <conditionalFormatting sqref="H70">
    <cfRule type="expression" dxfId="2191" priority="4">
      <formula>H70=$B$141</formula>
    </cfRule>
  </conditionalFormatting>
  <conditionalFormatting sqref="H70">
    <cfRule type="expression" dxfId="2190" priority="1">
      <formula>H70=$B$133</formula>
    </cfRule>
    <cfRule type="expression" dxfId="2189" priority="2">
      <formula>H70=$B$134</formula>
    </cfRule>
    <cfRule type="expression" dxfId="2188" priority="3">
      <formula>H70=$B$132</formula>
    </cfRule>
  </conditionalFormatting>
  <dataValidations count="1">
    <dataValidation type="list" allowBlank="1" showInputMessage="1" showErrorMessage="1" sqref="C52:I52 C102:I102 C16:I16 C30:I30 C90:I90 C98:I98 C48:I48 C44:I44 C8:I8 C34:I34 C58:I58 C86:I86 C38:I38 C68:I68 C74:I74 C6:I6 C24:I24 C10:I10 C82:I82 C72:I72 C12:I12 C26:I26 C56:I56 C42:I42 C18:I18 C50:I50 C60:I60 C14:I14 C46:I46 C54:I54 C64:I64 C40:I40 C20:I20 C28:I28 C36:I36 C94:I94 C88:I88 C22:I22 C84:I84 C92:I92 C62:I62 C70:I70 C80:I80 C66:I66 C78:I78 C96:I96 C100:I100 C76:I76 C32:I32" xr:uid="{832449E2-A1E8-734C-B0FF-3EC00D2B81C7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7"/>
  <dimension ref="A1:L143"/>
  <sheetViews>
    <sheetView zoomScale="140" zoomScaleNormal="140" zoomScalePageLayoutView="125" workbookViewId="0">
      <pane ySplit="5" topLeftCell="A6" activePane="bottomLeft" state="frozen"/>
      <selection pane="bottomLeft" activeCell="E52" sqref="E52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COUNTIF(C6:C103,$B$123)+COUNTIF(C6:C103,$B$124)+COUNTIF(C6:C103,$B$125)+COUNTIF(C6:C103,$B$126)</f>
        <v>8</v>
      </c>
      <c r="D1" s="22">
        <f t="shared" si="0"/>
        <v>8</v>
      </c>
      <c r="E1" s="22">
        <f t="shared" si="0"/>
        <v>8</v>
      </c>
      <c r="F1" s="22">
        <f t="shared" si="0"/>
        <v>8</v>
      </c>
      <c r="G1" s="22">
        <f t="shared" si="0"/>
        <v>8</v>
      </c>
      <c r="H1" s="22">
        <f t="shared" si="0"/>
        <v>1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43164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169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43164</v>
      </c>
      <c r="D5" s="33">
        <f t="shared" ref="D5:I5" si="1">C5+1</f>
        <v>43165</v>
      </c>
      <c r="E5" s="33">
        <f t="shared" si="1"/>
        <v>43166</v>
      </c>
      <c r="F5" s="33">
        <f t="shared" si="1"/>
        <v>43167</v>
      </c>
      <c r="G5" s="33">
        <f t="shared" si="1"/>
        <v>43168</v>
      </c>
      <c r="H5" s="33">
        <f t="shared" si="1"/>
        <v>43169</v>
      </c>
      <c r="I5" s="33">
        <f t="shared" si="1"/>
        <v>43170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7-(COUNTIF(C6:I6,"")+COUNTIF(C6:I6,$B$140))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IF(ISBLANK(C6),"",VLOOKUP(C6,$B$106:$L$142,11,0))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7-(COUNTIF(C8:I8,"")+COUNTIF(C8:I8,$B$140))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IF(ISBLANK(C8),"",VLOOKUP(C8,$B$106:$L$142,11,0))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7-(COUNTIF(C10:I10,"")+COUNTIF(C10:I10,$B$140))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IF(ISBLANK(C10),"",VLOOKUP(C10,$B$106:$L$142,11,0))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7-(COUNTIF(C12:I12,"")+COUNTIF(C12:I12,$B$140))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IF(ISBLANK(C12),"",VLOOKUP(C12,$B$106:$L$142,11,0))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7-(COUNTIF(C14:I14,"")+COUNTIF(C14:I14,$B$140))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IF(ISBLANK(C14),"",VLOOKUP(C14,$B$106:$L$142,11,0))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7-(COUNTIF(C16:I16,"")+COUNTIF(C16:I16,$B$140))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IF(ISBLANK(C16),"",VLOOKUP(C16,$B$106:$L$142,11,0))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7-(COUNTIF(C18:I18,"")+COUNTIF(C18:I18,$B$140))</f>
        <v>5</v>
      </c>
      <c r="B18" s="186" t="s">
        <v>7</v>
      </c>
      <c r="C18" s="38" t="s">
        <v>89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IF(ISBLANK(C18),"",VLOOKUP(C18,$B$106:$L$142,11,0))</f>
        <v>18H00-22H00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7-(COUNTIF(C20:I20,"")+COUNTIF(C20:I20,$B$140))</f>
        <v>4</v>
      </c>
      <c r="B20" s="178" t="s">
        <v>111</v>
      </c>
      <c r="C20" s="36" t="s">
        <v>154</v>
      </c>
      <c r="D20" s="36" t="s">
        <v>152</v>
      </c>
      <c r="E20" s="36"/>
      <c r="F20" s="36"/>
      <c r="G20" s="36"/>
      <c r="H20" s="36" t="s">
        <v>80</v>
      </c>
      <c r="I20" s="36" t="s">
        <v>79</v>
      </c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IF(ISBLANK(C20),"",VLOOKUP(C20,$B$106:$L$142,11,0))</f>
        <v>13H00-21H30</v>
      </c>
      <c r="D21" s="37" t="str">
        <f t="shared" si="9"/>
        <v>08H30-17H00</v>
      </c>
      <c r="E21" s="37" t="str">
        <f t="shared" si="9"/>
        <v/>
      </c>
      <c r="F21" s="37" t="str">
        <f t="shared" si="9"/>
        <v/>
      </c>
      <c r="G21" s="37" t="str">
        <f t="shared" si="9"/>
        <v/>
      </c>
      <c r="H21" s="37" t="str">
        <f t="shared" si="9"/>
        <v>06H00-14H30</v>
      </c>
      <c r="I21" s="37" t="str">
        <f t="shared" si="9"/>
        <v>09H00-17H30</v>
      </c>
      <c r="J21" s="181"/>
      <c r="K21" s="139"/>
      <c r="L21" s="40"/>
    </row>
    <row r="22" spans="1:12" ht="13" customHeight="1" thickTop="1" x14ac:dyDescent="0.2">
      <c r="A22" s="21">
        <f>7-(COUNTIF(C22:I22,"")+COUNTIF(C22:I22,$B$140))</f>
        <v>5</v>
      </c>
      <c r="B22" s="193" t="s">
        <v>3</v>
      </c>
      <c r="C22" s="36" t="s">
        <v>84</v>
      </c>
      <c r="D22" s="36"/>
      <c r="E22" s="36" t="s">
        <v>91</v>
      </c>
      <c r="F22" s="36" t="s">
        <v>150</v>
      </c>
      <c r="G22" s="36" t="s">
        <v>137</v>
      </c>
      <c r="H22" s="36"/>
      <c r="I22" s="36" t="s">
        <v>85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IF(ISBLANK(C22),"",VLOOKUP(C22,$B$106:$L$142,11,0))</f>
        <v>13H30-22H00</v>
      </c>
      <c r="D23" s="37" t="str">
        <f t="shared" si="10"/>
        <v/>
      </c>
      <c r="E23" s="37" t="str">
        <f t="shared" si="10"/>
        <v>06H00-14H30</v>
      </c>
      <c r="F23" s="37" t="str">
        <f t="shared" si="10"/>
        <v>09H00-17H30</v>
      </c>
      <c r="G23" s="37" t="str">
        <f t="shared" si="10"/>
        <v>06H00-14H30</v>
      </c>
      <c r="H23" s="37" t="str">
        <f t="shared" si="10"/>
        <v/>
      </c>
      <c r="I23" s="37" t="str">
        <f t="shared" si="10"/>
        <v>14H30-23H00</v>
      </c>
      <c r="J23" s="181"/>
      <c r="K23" s="139"/>
    </row>
    <row r="24" spans="1:12" s="39" customFormat="1" ht="13" customHeight="1" thickTop="1" x14ac:dyDescent="0.2">
      <c r="A24" s="21">
        <f>7-(COUNTIF(C24:I24,"")+COUNTIF(C24:I24,$B$140))</f>
        <v>4</v>
      </c>
      <c r="B24" s="211" t="s">
        <v>8</v>
      </c>
      <c r="C24" s="36" t="s">
        <v>95</v>
      </c>
      <c r="D24" s="36"/>
      <c r="E24" s="36" t="s">
        <v>123</v>
      </c>
      <c r="F24" s="36"/>
      <c r="G24" s="36" t="s">
        <v>150</v>
      </c>
      <c r="H24" s="36" t="s">
        <v>31</v>
      </c>
      <c r="I24" s="36" t="s">
        <v>137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4"/>
      <c r="C25" s="37">
        <f t="shared" ref="C25:I25" si="11">IF(ISBLANK(C24),"",VLOOKUP(C24,$B$106:$L$142,11,0))</f>
        <v>0</v>
      </c>
      <c r="D25" s="37" t="str">
        <f t="shared" si="11"/>
        <v/>
      </c>
      <c r="E25" s="37" t="str">
        <f t="shared" si="11"/>
        <v>14H30-23H00</v>
      </c>
      <c r="F25" s="37" t="str">
        <f t="shared" si="11"/>
        <v/>
      </c>
      <c r="G25" s="37" t="str">
        <f t="shared" si="11"/>
        <v>09H00-17H30</v>
      </c>
      <c r="H25" s="37" t="str">
        <f t="shared" si="11"/>
        <v>06H00-14H30</v>
      </c>
      <c r="I25" s="37" t="str">
        <f t="shared" si="11"/>
        <v>06H00-14H30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7-(COUNTIF(C26:I26,"")+COUNTIF(C26:I26,$B$140))</f>
        <v>5</v>
      </c>
      <c r="B26" s="178" t="s">
        <v>9</v>
      </c>
      <c r="C26" s="36" t="s">
        <v>84</v>
      </c>
      <c r="D26" s="36" t="s">
        <v>92</v>
      </c>
      <c r="E26" s="36"/>
      <c r="F26" s="36" t="s">
        <v>79</v>
      </c>
      <c r="G26" s="36" t="s">
        <v>80</v>
      </c>
      <c r="H26" s="36" t="s">
        <v>139</v>
      </c>
      <c r="I26" s="36" t="s">
        <v>95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IF(ISBLANK(C26),"",VLOOKUP(C26,$B$106:$L$142,11,0))</f>
        <v>13H30-22H00</v>
      </c>
      <c r="D27" s="37" t="str">
        <f t="shared" si="12"/>
        <v>10H00-18H30</v>
      </c>
      <c r="E27" s="37" t="str">
        <f t="shared" si="12"/>
        <v/>
      </c>
      <c r="F27" s="37" t="str">
        <f t="shared" si="12"/>
        <v>09H00-17H30</v>
      </c>
      <c r="G27" s="37" t="str">
        <f t="shared" si="12"/>
        <v>06H00-14H30</v>
      </c>
      <c r="H27" s="37" t="str">
        <f t="shared" si="12"/>
        <v>14H00-22H30</v>
      </c>
      <c r="I27" s="37">
        <f t="shared" si="12"/>
        <v>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7-(COUNTIF(C28:I28,"")+COUNTIF(C28:I28,$B$140))</f>
        <v>4</v>
      </c>
      <c r="B28" s="178" t="s">
        <v>10</v>
      </c>
      <c r="C28" s="36"/>
      <c r="D28" s="36" t="s">
        <v>85</v>
      </c>
      <c r="E28" s="36"/>
      <c r="F28" s="36"/>
      <c r="G28" s="36" t="s">
        <v>31</v>
      </c>
      <c r="H28" s="36" t="s">
        <v>122</v>
      </c>
      <c r="I28" s="36" t="s">
        <v>93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IF(ISBLANK(C28),"",VLOOKUP(C28,$B$106:$L$142,11,0))</f>
        <v/>
      </c>
      <c r="D29" s="37" t="str">
        <f t="shared" si="13"/>
        <v>14H30-23H00</v>
      </c>
      <c r="E29" s="37" t="str">
        <f t="shared" si="13"/>
        <v/>
      </c>
      <c r="F29" s="37" t="str">
        <f t="shared" si="13"/>
        <v/>
      </c>
      <c r="G29" s="37" t="str">
        <f t="shared" si="13"/>
        <v>06H00-14H30</v>
      </c>
      <c r="H29" s="37" t="str">
        <f t="shared" si="13"/>
        <v>06H00-14H30</v>
      </c>
      <c r="I29" s="37" t="str">
        <f t="shared" si="13"/>
        <v>06H00-14H30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7-(COUNTIF(C30:I30,"")+COUNTIF(C30:I30,$B$140))</f>
        <v>5</v>
      </c>
      <c r="B30" s="178" t="s">
        <v>11</v>
      </c>
      <c r="C30" s="36" t="s">
        <v>84</v>
      </c>
      <c r="D30" s="36"/>
      <c r="E30" s="36" t="s">
        <v>90</v>
      </c>
      <c r="F30" s="36"/>
      <c r="G30" s="36" t="s">
        <v>90</v>
      </c>
      <c r="H30" s="36" t="s">
        <v>79</v>
      </c>
      <c r="I30" s="36" t="s">
        <v>84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IF(ISBLANK(C30),"",VLOOKUP(C30,$B$106:$L$142,11,0))</f>
        <v>13H30-22H00</v>
      </c>
      <c r="D31" s="37" t="str">
        <f t="shared" si="14"/>
        <v/>
      </c>
      <c r="E31" s="37" t="str">
        <f t="shared" si="14"/>
        <v>06H00-14H30</v>
      </c>
      <c r="F31" s="37" t="str">
        <f t="shared" si="14"/>
        <v/>
      </c>
      <c r="G31" s="37" t="str">
        <f t="shared" si="14"/>
        <v>06H00-14H30</v>
      </c>
      <c r="H31" s="37" t="str">
        <f t="shared" si="14"/>
        <v>09H00-17H30</v>
      </c>
      <c r="I31" s="37" t="str">
        <f t="shared" si="14"/>
        <v>13H30-22H00</v>
      </c>
      <c r="J31" s="181" t="s">
        <v>49</v>
      </c>
      <c r="K31" s="139"/>
      <c r="L31" s="40"/>
    </row>
    <row r="32" spans="1:12" s="39" customFormat="1" ht="13" customHeight="1" thickTop="1" x14ac:dyDescent="0.2">
      <c r="A32" s="21">
        <f>7-(COUNTIF(C32:I32,"")+COUNTIF(C32:I32,$B$140))</f>
        <v>5</v>
      </c>
      <c r="B32" s="201" t="s">
        <v>12</v>
      </c>
      <c r="C32" s="36"/>
      <c r="D32" s="36" t="s">
        <v>31</v>
      </c>
      <c r="E32" s="36" t="s">
        <v>79</v>
      </c>
      <c r="F32" s="36"/>
      <c r="G32" s="36" t="s">
        <v>167</v>
      </c>
      <c r="H32" s="36" t="s">
        <v>85</v>
      </c>
      <c r="I32" s="36" t="s">
        <v>149</v>
      </c>
      <c r="J32" s="180" t="s">
        <v>50</v>
      </c>
      <c r="K32" s="139">
        <v>5</v>
      </c>
      <c r="L32" s="40"/>
    </row>
    <row r="33" spans="1:12" s="39" customFormat="1" ht="13" customHeight="1" thickBot="1" x14ac:dyDescent="0.25">
      <c r="B33" s="196"/>
      <c r="C33" s="37" t="str">
        <f t="shared" ref="C33:I33" si="15">IF(ISBLANK(C32),"",VLOOKUP(C32,$B$106:$L$142,11,0))</f>
        <v/>
      </c>
      <c r="D33" s="37" t="str">
        <f t="shared" si="15"/>
        <v>06H00-14H30</v>
      </c>
      <c r="E33" s="37" t="str">
        <f t="shared" si="15"/>
        <v>09H00-17H30</v>
      </c>
      <c r="F33" s="37" t="str">
        <f t="shared" si="15"/>
        <v/>
      </c>
      <c r="G33" s="37" t="str">
        <f t="shared" si="15"/>
        <v>08H00-16H30</v>
      </c>
      <c r="H33" s="37" t="str">
        <f t="shared" si="15"/>
        <v>14H30-23H00</v>
      </c>
      <c r="I33" s="37" t="str">
        <f t="shared" si="15"/>
        <v>09H00-17H30</v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7-(COUNTIF(C34:I34,"")+COUNTIF(C34:I34,$B$140))</f>
        <v>3</v>
      </c>
      <c r="B34" s="201" t="s">
        <v>13</v>
      </c>
      <c r="C34" s="36" t="s">
        <v>167</v>
      </c>
      <c r="D34" s="36"/>
      <c r="E34" s="36" t="s">
        <v>167</v>
      </c>
      <c r="F34" s="36"/>
      <c r="G34" s="36"/>
      <c r="H34" s="36" t="s">
        <v>168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6"/>
      <c r="C35" s="37" t="str">
        <f t="shared" ref="C35:I35" si="16">IF(ISBLANK(C34),"",VLOOKUP(C34,$B$106:$L$142,11,0))</f>
        <v>08H00-16H30</v>
      </c>
      <c r="D35" s="37" t="str">
        <f t="shared" si="16"/>
        <v/>
      </c>
      <c r="E35" s="37" t="str">
        <f t="shared" si="16"/>
        <v>08H00-16H30</v>
      </c>
      <c r="F35" s="37" t="str">
        <f t="shared" si="16"/>
        <v/>
      </c>
      <c r="G35" s="37" t="str">
        <f t="shared" si="16"/>
        <v/>
      </c>
      <c r="H35" s="37" t="str">
        <f t="shared" si="16"/>
        <v>13H00-21H30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7-(COUNTIF(C36:I36,"")+COUNTIF(C36:I36,$B$140))</f>
        <v>5</v>
      </c>
      <c r="B36" s="193" t="s">
        <v>43</v>
      </c>
      <c r="C36" s="36"/>
      <c r="D36" s="36" t="s">
        <v>81</v>
      </c>
      <c r="E36" s="36" t="s">
        <v>84</v>
      </c>
      <c r="F36" s="36" t="s">
        <v>149</v>
      </c>
      <c r="G36" s="36"/>
      <c r="H36" s="36" t="s">
        <v>93</v>
      </c>
      <c r="I36" s="36" t="s">
        <v>82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194"/>
      <c r="C37" s="37" t="str">
        <f t="shared" ref="C37:I37" si="17">IF(ISBLANK(C36),"",VLOOKUP(C36,$B$106:$L$142,11,0))</f>
        <v/>
      </c>
      <c r="D37" s="37" t="str">
        <f t="shared" si="17"/>
        <v>14H30-23H00</v>
      </c>
      <c r="E37" s="37" t="str">
        <f t="shared" si="17"/>
        <v>13H30-22H00</v>
      </c>
      <c r="F37" s="37" t="str">
        <f t="shared" si="17"/>
        <v>09H00-17H30</v>
      </c>
      <c r="G37" s="37" t="str">
        <f t="shared" si="17"/>
        <v/>
      </c>
      <c r="H37" s="37" t="str">
        <f t="shared" si="17"/>
        <v>06H00-14H30</v>
      </c>
      <c r="I37" s="37" t="str">
        <f t="shared" si="17"/>
        <v>06H00-14H30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7-(COUNTIF(C38:I38,"")+COUNTIF(C38:I38,$B$140))</f>
        <v>5</v>
      </c>
      <c r="B38" s="178" t="s">
        <v>14</v>
      </c>
      <c r="C38" s="36" t="s">
        <v>85</v>
      </c>
      <c r="D38" s="36" t="s">
        <v>83</v>
      </c>
      <c r="E38" s="36" t="s">
        <v>31</v>
      </c>
      <c r="F38" s="36" t="s">
        <v>40</v>
      </c>
      <c r="G38" s="36" t="s">
        <v>40</v>
      </c>
      <c r="H38" s="36" t="s">
        <v>95</v>
      </c>
      <c r="I38" s="36" t="s">
        <v>95</v>
      </c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IF(ISBLANK(C38),"",VLOOKUP(C38,$B$106:$L$142,11,0))</f>
        <v>14H30-23H00</v>
      </c>
      <c r="D39" s="37" t="str">
        <f t="shared" si="18"/>
        <v>09H00-17H30</v>
      </c>
      <c r="E39" s="37" t="str">
        <f t="shared" si="18"/>
        <v>06H00-14H30</v>
      </c>
      <c r="F39" s="37">
        <f t="shared" si="18"/>
        <v>0</v>
      </c>
      <c r="G39" s="37">
        <f t="shared" si="18"/>
        <v>0</v>
      </c>
      <c r="H39" s="37">
        <f t="shared" si="18"/>
        <v>0</v>
      </c>
      <c r="I39" s="37">
        <f t="shared" si="18"/>
        <v>0</v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7-(COUNTIF(C40:I40,"")+COUNTIF(C40:I40,$B$140))</f>
        <v>5</v>
      </c>
      <c r="B40" s="201" t="s">
        <v>15</v>
      </c>
      <c r="C40" s="36" t="s">
        <v>167</v>
      </c>
      <c r="D40" s="36" t="s">
        <v>154</v>
      </c>
      <c r="E40" s="36" t="s">
        <v>152</v>
      </c>
      <c r="F40" s="36" t="s">
        <v>137</v>
      </c>
      <c r="G40" s="36" t="s">
        <v>84</v>
      </c>
      <c r="H40" s="36" t="s">
        <v>95</v>
      </c>
      <c r="I40" s="36" t="s">
        <v>95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IF(ISBLANK(C40),"",VLOOKUP(C40,$B$106:$L$142,11,0))</f>
        <v>08H00-16H30</v>
      </c>
      <c r="D41" s="37" t="str">
        <f t="shared" si="19"/>
        <v>13H00-21H30</v>
      </c>
      <c r="E41" s="37" t="str">
        <f t="shared" si="19"/>
        <v>08H30-17H00</v>
      </c>
      <c r="F41" s="37" t="str">
        <f t="shared" si="19"/>
        <v>06H00-14H30</v>
      </c>
      <c r="G41" s="37" t="str">
        <f t="shared" si="19"/>
        <v>13H30-22H00</v>
      </c>
      <c r="H41" s="37">
        <f t="shared" si="19"/>
        <v>0</v>
      </c>
      <c r="I41" s="37">
        <f t="shared" si="19"/>
        <v>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7-(COUNTIF(C42:I42,"")+COUNTIF(C42:I42,$B$140))</f>
        <v>5</v>
      </c>
      <c r="B42" s="186" t="s">
        <v>119</v>
      </c>
      <c r="C42" s="38" t="s">
        <v>91</v>
      </c>
      <c r="D42" s="38" t="s">
        <v>123</v>
      </c>
      <c r="E42" s="36"/>
      <c r="F42" s="38" t="s">
        <v>80</v>
      </c>
      <c r="G42" s="36" t="s">
        <v>92</v>
      </c>
      <c r="H42" s="36" t="s">
        <v>84</v>
      </c>
      <c r="I42" s="36" t="s">
        <v>95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IF(ISBLANK(C42),"",VLOOKUP(C42,$B$106:$L$142,11,0))</f>
        <v>06H00-14H30</v>
      </c>
      <c r="D43" s="43" t="str">
        <f t="shared" si="20"/>
        <v>14H30-23H00</v>
      </c>
      <c r="E43" s="43" t="str">
        <f t="shared" si="20"/>
        <v/>
      </c>
      <c r="F43" s="43" t="str">
        <f t="shared" si="20"/>
        <v>06H00-14H30</v>
      </c>
      <c r="G43" s="43" t="str">
        <f t="shared" si="20"/>
        <v>10H00-18H30</v>
      </c>
      <c r="H43" s="43" t="str">
        <f t="shared" si="20"/>
        <v>13H30-22H00</v>
      </c>
      <c r="I43" s="43">
        <f t="shared" si="20"/>
        <v>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7-(COUNTIF(C44:I44,"")+COUNTIF(C44:I44,$B$140))</f>
        <v>5</v>
      </c>
      <c r="B44" s="178" t="s">
        <v>16</v>
      </c>
      <c r="C44" s="36" t="s">
        <v>149</v>
      </c>
      <c r="D44" s="36" t="s">
        <v>82</v>
      </c>
      <c r="E44" s="36" t="s">
        <v>82</v>
      </c>
      <c r="F44" s="36" t="s">
        <v>85</v>
      </c>
      <c r="G44" s="36" t="s">
        <v>40</v>
      </c>
      <c r="H44" s="36" t="s">
        <v>95</v>
      </c>
      <c r="I44" s="36" t="s">
        <v>95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 t="str">
        <f t="shared" ref="C45:I45" si="21">IF(ISBLANK(C44),"",VLOOKUP(C44,$B$106:$L$142,11,0))</f>
        <v>09H00-17H30</v>
      </c>
      <c r="D45" s="37" t="str">
        <f t="shared" si="21"/>
        <v>06H00-14H30</v>
      </c>
      <c r="E45" s="37" t="str">
        <f t="shared" si="21"/>
        <v>06H00-14H30</v>
      </c>
      <c r="F45" s="37" t="str">
        <f t="shared" si="21"/>
        <v>14H30-23H00</v>
      </c>
      <c r="G45" s="37">
        <f t="shared" si="21"/>
        <v>0</v>
      </c>
      <c r="H45" s="37">
        <f t="shared" si="21"/>
        <v>0</v>
      </c>
      <c r="I45" s="37">
        <f t="shared" si="21"/>
        <v>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7-(COUNTIF(C46:I46,"")+COUNTIF(C46:I46,$B$140))</f>
        <v>5</v>
      </c>
      <c r="B46" s="178" t="s">
        <v>102</v>
      </c>
      <c r="C46" s="36" t="s">
        <v>137</v>
      </c>
      <c r="D46" s="36"/>
      <c r="E46" s="36" t="s">
        <v>84</v>
      </c>
      <c r="F46" s="36"/>
      <c r="G46" s="36" t="s">
        <v>152</v>
      </c>
      <c r="H46" s="36" t="s">
        <v>82</v>
      </c>
      <c r="I46" s="36" t="s">
        <v>81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 t="str">
        <f t="shared" ref="C47:I47" si="22">IF(ISBLANK(C46),"",VLOOKUP(C46,$B$106:$L$142,11,0))</f>
        <v>06H00-14H30</v>
      </c>
      <c r="D47" s="37" t="str">
        <f t="shared" si="22"/>
        <v/>
      </c>
      <c r="E47" s="37" t="str">
        <f t="shared" si="22"/>
        <v>13H30-22H00</v>
      </c>
      <c r="F47" s="37" t="str">
        <f t="shared" si="22"/>
        <v/>
      </c>
      <c r="G47" s="37" t="str">
        <f t="shared" si="22"/>
        <v>08H30-17H00</v>
      </c>
      <c r="H47" s="37" t="str">
        <f t="shared" si="22"/>
        <v>06H00-14H30</v>
      </c>
      <c r="I47" s="37" t="str">
        <f t="shared" si="22"/>
        <v>14H30-23H00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7-(COUNTIF(C48:I48,"")+COUNTIF(C48:I48,$B$140))</f>
        <v>5</v>
      </c>
      <c r="B48" s="178" t="s">
        <v>132</v>
      </c>
      <c r="C48" s="36"/>
      <c r="D48" s="36" t="s">
        <v>149</v>
      </c>
      <c r="E48" s="36" t="s">
        <v>122</v>
      </c>
      <c r="F48" s="36" t="s">
        <v>84</v>
      </c>
      <c r="G48" s="36" t="s">
        <v>85</v>
      </c>
      <c r="H48" s="36"/>
      <c r="I48" s="36" t="s">
        <v>91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IF(ISBLANK(C48),"",VLOOKUP(C48,$B$106:$L$142,11,0))</f>
        <v/>
      </c>
      <c r="D49" s="37" t="str">
        <f t="shared" si="23"/>
        <v>09H00-17H30</v>
      </c>
      <c r="E49" s="37" t="str">
        <f t="shared" si="23"/>
        <v>06H00-14H30</v>
      </c>
      <c r="F49" s="37" t="str">
        <f t="shared" si="23"/>
        <v>13H30-22H00</v>
      </c>
      <c r="G49" s="37" t="str">
        <f t="shared" si="23"/>
        <v>14H30-23H00</v>
      </c>
      <c r="H49" s="37" t="str">
        <f t="shared" si="23"/>
        <v/>
      </c>
      <c r="I49" s="37" t="str">
        <f t="shared" si="23"/>
        <v>06H00-14H30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7-(COUNTIF(C50:I50,"")+COUNTIF(C50:I50,$B$140))</f>
        <v>5</v>
      </c>
      <c r="B50" s="193" t="s">
        <v>17</v>
      </c>
      <c r="C50" s="36" t="s">
        <v>80</v>
      </c>
      <c r="D50" s="36" t="s">
        <v>82</v>
      </c>
      <c r="E50" s="36" t="s">
        <v>139</v>
      </c>
      <c r="F50" s="36" t="s">
        <v>92</v>
      </c>
      <c r="G50" s="36" t="s">
        <v>84</v>
      </c>
      <c r="H50" s="36" t="s">
        <v>95</v>
      </c>
      <c r="I50" s="36" t="s">
        <v>95</v>
      </c>
      <c r="J50" s="180" t="s">
        <v>56</v>
      </c>
      <c r="K50" s="139">
        <v>5</v>
      </c>
      <c r="L50" s="40"/>
    </row>
    <row r="51" spans="1:12" ht="13" customHeight="1" thickBot="1" x14ac:dyDescent="0.25">
      <c r="B51" s="194"/>
      <c r="C51" s="37" t="str">
        <f t="shared" ref="C51:I51" si="24">IF(ISBLANK(C50),"",VLOOKUP(C50,$B$106:$L$142,11,0))</f>
        <v>06H00-14H30</v>
      </c>
      <c r="D51" s="37" t="str">
        <f t="shared" si="24"/>
        <v>06H00-14H30</v>
      </c>
      <c r="E51" s="37" t="str">
        <f t="shared" si="24"/>
        <v>14H00-22H30</v>
      </c>
      <c r="F51" s="37" t="str">
        <f t="shared" si="24"/>
        <v>10H00-18H30</v>
      </c>
      <c r="G51" s="37" t="str">
        <f t="shared" si="24"/>
        <v>13H30-22H00</v>
      </c>
      <c r="H51" s="37">
        <f t="shared" si="24"/>
        <v>0</v>
      </c>
      <c r="I51" s="37">
        <f t="shared" si="24"/>
        <v>0</v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7-(COUNTIF(C52:I52,"")+COUNTIF(C52:I52,$B$140))</f>
        <v>4</v>
      </c>
      <c r="B52" s="178" t="s">
        <v>127</v>
      </c>
      <c r="C52" s="36" t="s">
        <v>139</v>
      </c>
      <c r="D52" s="36" t="s">
        <v>95</v>
      </c>
      <c r="E52" s="36" t="s">
        <v>95</v>
      </c>
      <c r="F52" s="36" t="s">
        <v>82</v>
      </c>
      <c r="G52" s="36" t="s">
        <v>93</v>
      </c>
      <c r="H52" s="36"/>
      <c r="I52" s="36" t="s">
        <v>80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IF(ISBLANK(C52),"",VLOOKUP(C52,$B$106:$L$142,11,0))</f>
        <v>14H00-22H30</v>
      </c>
      <c r="D53" s="37">
        <f t="shared" si="25"/>
        <v>0</v>
      </c>
      <c r="E53" s="37">
        <f t="shared" si="25"/>
        <v>0</v>
      </c>
      <c r="F53" s="37" t="str">
        <f t="shared" si="25"/>
        <v>06H00-14H30</v>
      </c>
      <c r="G53" s="37" t="str">
        <f t="shared" si="25"/>
        <v>06H00-14H30</v>
      </c>
      <c r="H53" s="37" t="str">
        <f t="shared" si="25"/>
        <v/>
      </c>
      <c r="I53" s="37" t="str">
        <f t="shared" si="25"/>
        <v>06H00-14H30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7-(COUNTIF(C54:I54,"")+COUNTIF(C54:I54,$B$140))</f>
        <v>4</v>
      </c>
      <c r="B54" s="193" t="s">
        <v>18</v>
      </c>
      <c r="C54" s="36"/>
      <c r="D54" s="36" t="s">
        <v>153</v>
      </c>
      <c r="E54" s="36"/>
      <c r="F54" s="36" t="s">
        <v>110</v>
      </c>
      <c r="G54" s="36"/>
      <c r="H54" s="36" t="s">
        <v>84</v>
      </c>
      <c r="I54" s="36" t="s">
        <v>84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4"/>
      <c r="C55" s="37" t="str">
        <f t="shared" ref="C55:I55" si="26">IF(ISBLANK(C54),"",VLOOKUP(C54,$B$106:$L$142,11,0))</f>
        <v/>
      </c>
      <c r="D55" s="37" t="str">
        <f t="shared" si="26"/>
        <v>22H00-06H30</v>
      </c>
      <c r="E55" s="37" t="str">
        <f t="shared" si="26"/>
        <v/>
      </c>
      <c r="F55" s="37" t="str">
        <f t="shared" si="26"/>
        <v>21H45-06H15</v>
      </c>
      <c r="G55" s="37" t="str">
        <f t="shared" si="26"/>
        <v/>
      </c>
      <c r="H55" s="37" t="str">
        <f t="shared" si="26"/>
        <v>13H30-22H00</v>
      </c>
      <c r="I55" s="37" t="str">
        <f t="shared" si="26"/>
        <v>13H30-22H00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7-(COUNTIF(C56:I56,"")+COUNTIF(C56:I56,$B$140))</f>
        <v>5</v>
      </c>
      <c r="B56" s="178" t="s">
        <v>19</v>
      </c>
      <c r="C56" s="36"/>
      <c r="D56" s="36" t="s">
        <v>90</v>
      </c>
      <c r="E56" s="36" t="s">
        <v>84</v>
      </c>
      <c r="F56" s="36" t="s">
        <v>81</v>
      </c>
      <c r="G56" s="36"/>
      <c r="H56" s="36" t="s">
        <v>137</v>
      </c>
      <c r="I56" s="36" t="s">
        <v>31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IF(ISBLANK(C56),"",VLOOKUP(C56,$B$106:$L$142,11,0))</f>
        <v/>
      </c>
      <c r="D57" s="37" t="str">
        <f t="shared" si="27"/>
        <v>06H00-14H30</v>
      </c>
      <c r="E57" s="37" t="str">
        <f t="shared" si="27"/>
        <v>13H30-22H00</v>
      </c>
      <c r="F57" s="37" t="str">
        <f t="shared" si="27"/>
        <v>14H30-23H00</v>
      </c>
      <c r="G57" s="37" t="str">
        <f t="shared" si="27"/>
        <v/>
      </c>
      <c r="H57" s="37" t="str">
        <f t="shared" si="27"/>
        <v>06H00-14H30</v>
      </c>
      <c r="I57" s="37" t="str">
        <f t="shared" si="27"/>
        <v>06H00-14H30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7-(COUNTIF(C58:I58,"")+COUNTIF(C58:I58,$B$140))</f>
        <v>5</v>
      </c>
      <c r="B58" s="178" t="s">
        <v>20</v>
      </c>
      <c r="C58" s="36"/>
      <c r="D58" s="36" t="s">
        <v>93</v>
      </c>
      <c r="E58" s="36" t="s">
        <v>81</v>
      </c>
      <c r="F58" s="36"/>
      <c r="G58" s="36" t="s">
        <v>83</v>
      </c>
      <c r="H58" s="36" t="s">
        <v>91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IF(ISBLANK(C58),"",VLOOKUP(C58,$B$106:$L$142,11,0))</f>
        <v/>
      </c>
      <c r="D59" s="38" t="str">
        <f t="shared" si="28"/>
        <v>06H00-14H30</v>
      </c>
      <c r="E59" s="38" t="str">
        <f t="shared" si="28"/>
        <v>14H30-23H00</v>
      </c>
      <c r="F59" s="38" t="str">
        <f t="shared" si="28"/>
        <v/>
      </c>
      <c r="G59" s="38" t="str">
        <f t="shared" si="28"/>
        <v>09H00-17H30</v>
      </c>
      <c r="H59" s="38" t="str">
        <f t="shared" si="28"/>
        <v>06H00-14H30</v>
      </c>
      <c r="I59" s="38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7-(COUNTIF(C60:I60,"")+COUNTIF(C60:I60,$B$140))</f>
        <v>5</v>
      </c>
      <c r="B60" s="193" t="s">
        <v>133</v>
      </c>
      <c r="C60" s="36" t="s">
        <v>82</v>
      </c>
      <c r="D60" s="36"/>
      <c r="E60" s="36" t="s">
        <v>85</v>
      </c>
      <c r="F60" s="36" t="s">
        <v>84</v>
      </c>
      <c r="G60" s="36"/>
      <c r="H60" s="36" t="s">
        <v>149</v>
      </c>
      <c r="I60" s="36" t="s">
        <v>122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IF(ISBLANK(C60),"",VLOOKUP(C60,$B$106:$L$142,11,0))</f>
        <v>06H00-14H30</v>
      </c>
      <c r="D61" s="37" t="str">
        <f t="shared" si="29"/>
        <v/>
      </c>
      <c r="E61" s="37" t="str">
        <f t="shared" si="29"/>
        <v>14H30-23H00</v>
      </c>
      <c r="F61" s="37" t="str">
        <f t="shared" si="29"/>
        <v>13H30-22H00</v>
      </c>
      <c r="G61" s="37" t="str">
        <f t="shared" si="29"/>
        <v/>
      </c>
      <c r="H61" s="37" t="str">
        <f t="shared" si="29"/>
        <v>09H00-17H30</v>
      </c>
      <c r="I61" s="37" t="str">
        <f t="shared" si="29"/>
        <v>06H00-14H30</v>
      </c>
      <c r="J61" s="181"/>
      <c r="K61" s="139"/>
    </row>
    <row r="62" spans="1:12" s="39" customFormat="1" ht="13" customHeight="1" thickTop="1" x14ac:dyDescent="0.2">
      <c r="A62" s="21">
        <f>7-(COUNTIF(C62:I62,"")+COUNTIF(C62:I62,$B$140))</f>
        <v>5</v>
      </c>
      <c r="B62" s="178" t="s">
        <v>21</v>
      </c>
      <c r="C62" s="36" t="s">
        <v>83</v>
      </c>
      <c r="D62" s="36" t="s">
        <v>139</v>
      </c>
      <c r="E62" s="36"/>
      <c r="F62" s="36"/>
      <c r="G62" s="36" t="s">
        <v>122</v>
      </c>
      <c r="H62" s="36" t="s">
        <v>92</v>
      </c>
      <c r="I62" s="36" t="s">
        <v>82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IF(ISBLANK(C62),"",VLOOKUP(C62,$B$106:$L$142,11,0))</f>
        <v>09H00-17H30</v>
      </c>
      <c r="D63" s="37" t="str">
        <f t="shared" si="30"/>
        <v>14H00-22H30</v>
      </c>
      <c r="E63" s="37" t="str">
        <f t="shared" si="30"/>
        <v/>
      </c>
      <c r="F63" s="37" t="str">
        <f t="shared" si="30"/>
        <v/>
      </c>
      <c r="G63" s="37" t="str">
        <f t="shared" si="30"/>
        <v>06H00-14H30</v>
      </c>
      <c r="H63" s="37" t="str">
        <f t="shared" si="30"/>
        <v>10H00-18H30</v>
      </c>
      <c r="I63" s="37" t="str">
        <f t="shared" si="30"/>
        <v>06H00-14H30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7-(COUNTIF(C64:I64,"")+COUNTIF(C64:I64,$B$140))</f>
        <v>5</v>
      </c>
      <c r="B64" s="193" t="s">
        <v>131</v>
      </c>
      <c r="C64" s="36" t="s">
        <v>81</v>
      </c>
      <c r="D64" s="36"/>
      <c r="E64" s="36" t="s">
        <v>93</v>
      </c>
      <c r="F64" s="36" t="s">
        <v>84</v>
      </c>
      <c r="G64" s="36"/>
      <c r="H64" s="36" t="s">
        <v>82</v>
      </c>
      <c r="I64" s="36" t="s">
        <v>90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IF(ISBLANK(C64),"",VLOOKUP(C64,$B$106:$L$142,11,0))</f>
        <v>14H30-23H00</v>
      </c>
      <c r="D65" s="37" t="str">
        <f t="shared" si="31"/>
        <v/>
      </c>
      <c r="E65" s="37" t="str">
        <f t="shared" si="31"/>
        <v>06H00-14H30</v>
      </c>
      <c r="F65" s="37" t="str">
        <f t="shared" si="31"/>
        <v>13H30-22H00</v>
      </c>
      <c r="G65" s="37" t="str">
        <f t="shared" si="31"/>
        <v/>
      </c>
      <c r="H65" s="37" t="str">
        <f t="shared" si="31"/>
        <v>06H00-14H30</v>
      </c>
      <c r="I65" s="37" t="str">
        <f t="shared" si="31"/>
        <v>06H00-14H30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7-(COUNTIF(C66:I66,"")+COUNTIF(C66:I66,$B$140))</f>
        <v>5</v>
      </c>
      <c r="B66" s="178" t="s">
        <v>124</v>
      </c>
      <c r="C66" s="36" t="s">
        <v>95</v>
      </c>
      <c r="D66" s="36" t="s">
        <v>91</v>
      </c>
      <c r="E66" s="36" t="s">
        <v>82</v>
      </c>
      <c r="F66" s="36" t="s">
        <v>122</v>
      </c>
      <c r="G66" s="36" t="s">
        <v>82</v>
      </c>
      <c r="H66" s="36" t="s">
        <v>81</v>
      </c>
      <c r="I66" s="36" t="s">
        <v>95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>
        <f t="shared" ref="C67:I67" si="32">IF(ISBLANK(C66),"",VLOOKUP(C66,$B$106:$L$142,11,0))</f>
        <v>0</v>
      </c>
      <c r="D67" s="37" t="str">
        <f t="shared" si="32"/>
        <v>06H00-14H30</v>
      </c>
      <c r="E67" s="37" t="str">
        <f t="shared" si="32"/>
        <v>06H00-14H30</v>
      </c>
      <c r="F67" s="37" t="str">
        <f t="shared" si="32"/>
        <v>06H00-14H30</v>
      </c>
      <c r="G67" s="37" t="str">
        <f t="shared" si="32"/>
        <v>06H00-14H30</v>
      </c>
      <c r="H67" s="37" t="str">
        <f t="shared" si="32"/>
        <v>14H30-23H00</v>
      </c>
      <c r="I67" s="37">
        <f t="shared" si="32"/>
        <v>0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7-(COUNTIF(C68:I68,"")+COUNTIF(C68:I68,$B$140))</f>
        <v>5</v>
      </c>
      <c r="B68" s="186" t="s">
        <v>146</v>
      </c>
      <c r="C68" s="38" t="s">
        <v>92</v>
      </c>
      <c r="D68" s="36" t="s">
        <v>122</v>
      </c>
      <c r="E68" s="36" t="s">
        <v>110</v>
      </c>
      <c r="F68" s="36"/>
      <c r="G68" s="36" t="s">
        <v>110</v>
      </c>
      <c r="H68" s="35"/>
      <c r="I68" s="35" t="s">
        <v>153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 t="str">
        <f t="shared" ref="C69:I69" si="33">IF(ISBLANK(C68),"",VLOOKUP(C68,$B$106:$L$142,11,0))</f>
        <v>10H00-18H30</v>
      </c>
      <c r="D69" s="37" t="str">
        <f t="shared" si="33"/>
        <v>06H00-14H30</v>
      </c>
      <c r="E69" s="37" t="str">
        <f t="shared" si="33"/>
        <v>21H45-06H15</v>
      </c>
      <c r="F69" s="37" t="str">
        <f t="shared" si="33"/>
        <v/>
      </c>
      <c r="G69" s="37" t="str">
        <f t="shared" si="33"/>
        <v>21H45-06H15</v>
      </c>
      <c r="H69" s="37" t="str">
        <f t="shared" si="33"/>
        <v/>
      </c>
      <c r="I69" s="37" t="str">
        <f t="shared" si="33"/>
        <v>22H00-06H30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7-(COUNTIF(C70:I70,"")+COUNTIF(C70:I70,$B$140))</f>
        <v>5</v>
      </c>
      <c r="B70" s="178" t="s">
        <v>104</v>
      </c>
      <c r="C70" s="36" t="s">
        <v>82</v>
      </c>
      <c r="D70" s="36" t="s">
        <v>84</v>
      </c>
      <c r="E70" s="36" t="s">
        <v>92</v>
      </c>
      <c r="F70" s="36" t="s">
        <v>83</v>
      </c>
      <c r="G70" s="36" t="s">
        <v>123</v>
      </c>
      <c r="H70" s="36" t="s">
        <v>95</v>
      </c>
      <c r="I70" s="36" t="s">
        <v>95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IF(ISBLANK(C70),"",VLOOKUP(C70,$B$106:$L$142,11,0))</f>
        <v>06H00-14H30</v>
      </c>
      <c r="D71" s="37" t="str">
        <f t="shared" si="34"/>
        <v>13H30-22H00</v>
      </c>
      <c r="E71" s="37" t="str">
        <f t="shared" si="34"/>
        <v>10H00-18H30</v>
      </c>
      <c r="F71" s="37" t="str">
        <f t="shared" si="34"/>
        <v>09H00-17H30</v>
      </c>
      <c r="G71" s="37" t="str">
        <f t="shared" si="34"/>
        <v>14H30-23H00</v>
      </c>
      <c r="H71" s="37">
        <f t="shared" si="34"/>
        <v>0</v>
      </c>
      <c r="I71" s="37">
        <f t="shared" si="34"/>
        <v>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7-(COUNTIF(C72:I72,"")+COUNTIF(C72:I72,$B$140))</f>
        <v>5</v>
      </c>
      <c r="B72" s="201" t="s">
        <v>23</v>
      </c>
      <c r="C72" s="36"/>
      <c r="D72" s="36" t="s">
        <v>167</v>
      </c>
      <c r="E72" s="36" t="s">
        <v>137</v>
      </c>
      <c r="F72" s="36" t="s">
        <v>93</v>
      </c>
      <c r="G72" s="36" t="s">
        <v>84</v>
      </c>
      <c r="H72" s="36"/>
      <c r="I72" s="36" t="s">
        <v>123</v>
      </c>
      <c r="J72" s="180" t="s">
        <v>68</v>
      </c>
      <c r="K72" s="139">
        <v>5</v>
      </c>
      <c r="L72" s="40"/>
    </row>
    <row r="73" spans="1:12" s="39" customFormat="1" ht="13" customHeight="1" thickBot="1" x14ac:dyDescent="0.25">
      <c r="B73" s="196"/>
      <c r="C73" s="37" t="str">
        <f t="shared" ref="C73:I73" si="35">IF(ISBLANK(C72),"",VLOOKUP(C72,$B$106:$L$142,11,0))</f>
        <v/>
      </c>
      <c r="D73" s="37" t="str">
        <f t="shared" si="35"/>
        <v>08H00-16H30</v>
      </c>
      <c r="E73" s="37" t="str">
        <f t="shared" si="35"/>
        <v>06H00-14H30</v>
      </c>
      <c r="F73" s="37" t="str">
        <f t="shared" si="35"/>
        <v>06H00-14H30</v>
      </c>
      <c r="G73" s="37" t="str">
        <f t="shared" si="35"/>
        <v>13H30-22H00</v>
      </c>
      <c r="H73" s="37" t="str">
        <f t="shared" si="35"/>
        <v/>
      </c>
      <c r="I73" s="37" t="str">
        <f t="shared" si="35"/>
        <v>14H30-23H00</v>
      </c>
      <c r="J73" s="181" t="s">
        <v>69</v>
      </c>
      <c r="K73" s="139"/>
      <c r="L73" s="40"/>
    </row>
    <row r="74" spans="1:12" s="39" customFormat="1" ht="13" customHeight="1" thickTop="1" x14ac:dyDescent="0.2">
      <c r="A74" s="21">
        <f>7-(COUNTIF(C74:I74,"")+COUNTIF(C74:I74,$B$140))</f>
        <v>4</v>
      </c>
      <c r="B74" s="193" t="s">
        <v>120</v>
      </c>
      <c r="C74" s="36" t="s">
        <v>123</v>
      </c>
      <c r="D74" s="36"/>
      <c r="E74" s="36"/>
      <c r="F74" s="36"/>
      <c r="G74" s="36" t="s">
        <v>82</v>
      </c>
      <c r="H74" s="36" t="s">
        <v>90</v>
      </c>
      <c r="I74" s="36" t="s">
        <v>83</v>
      </c>
      <c r="J74" s="180" t="s">
        <v>121</v>
      </c>
      <c r="K74" s="139">
        <v>4</v>
      </c>
      <c r="L74" s="40"/>
    </row>
    <row r="75" spans="1:12" s="39" customFormat="1" ht="13" customHeight="1" thickBot="1" x14ac:dyDescent="0.25">
      <c r="B75" s="194"/>
      <c r="C75" s="37" t="str">
        <f t="shared" ref="C75:I75" si="36">IF(ISBLANK(C74),"",VLOOKUP(C74,$B$106:$L$142,11,0))</f>
        <v>14H30-23H00</v>
      </c>
      <c r="D75" s="37" t="str">
        <f t="shared" si="36"/>
        <v/>
      </c>
      <c r="E75" s="37" t="str">
        <f t="shared" si="36"/>
        <v/>
      </c>
      <c r="F75" s="37" t="str">
        <f t="shared" si="36"/>
        <v/>
      </c>
      <c r="G75" s="37" t="str">
        <f t="shared" si="36"/>
        <v>06H00-14H30</v>
      </c>
      <c r="H75" s="37" t="str">
        <f t="shared" si="36"/>
        <v>06H00-14H30</v>
      </c>
      <c r="I75" s="37" t="str">
        <f t="shared" si="36"/>
        <v>09H00-17H30</v>
      </c>
      <c r="J75" s="181" t="s">
        <v>63</v>
      </c>
      <c r="K75" s="139"/>
      <c r="L75" s="40"/>
    </row>
    <row r="76" spans="1:12" s="39" customFormat="1" ht="13" customHeight="1" thickTop="1" x14ac:dyDescent="0.2">
      <c r="A76" s="21">
        <f>7-(COUNTIF(C76:I76,"")+COUNTIF(C76:I76,$B$140))</f>
        <v>5</v>
      </c>
      <c r="B76" s="178" t="s">
        <v>113</v>
      </c>
      <c r="C76" s="36" t="s">
        <v>93</v>
      </c>
      <c r="D76" s="36"/>
      <c r="E76" s="36" t="s">
        <v>83</v>
      </c>
      <c r="F76" s="36" t="s">
        <v>139</v>
      </c>
      <c r="G76" s="36" t="s">
        <v>149</v>
      </c>
      <c r="H76" s="36" t="s">
        <v>84</v>
      </c>
      <c r="I76" s="36"/>
      <c r="J76" s="180" t="s">
        <v>45</v>
      </c>
      <c r="K76" s="139">
        <v>5</v>
      </c>
      <c r="L76" s="40"/>
    </row>
    <row r="77" spans="1:12" s="39" customFormat="1" ht="13" customHeight="1" thickBot="1" x14ac:dyDescent="0.25">
      <c r="B77" s="202"/>
      <c r="C77" s="37" t="str">
        <f t="shared" ref="C77:I77" si="37">IF(ISBLANK(C76),"",VLOOKUP(C76,$B$106:$L$142,11,0))</f>
        <v>06H00-14H30</v>
      </c>
      <c r="D77" s="37" t="str">
        <f t="shared" si="37"/>
        <v/>
      </c>
      <c r="E77" s="37" t="str">
        <f t="shared" si="37"/>
        <v>09H00-17H30</v>
      </c>
      <c r="F77" s="37" t="str">
        <f t="shared" si="37"/>
        <v>14H00-22H30</v>
      </c>
      <c r="G77" s="37" t="str">
        <f t="shared" si="37"/>
        <v>09H00-17H30</v>
      </c>
      <c r="H77" s="37" t="str">
        <f t="shared" si="37"/>
        <v>13H30-22H00</v>
      </c>
      <c r="I77" s="37" t="str">
        <f t="shared" si="37"/>
        <v/>
      </c>
      <c r="J77" s="181" t="s">
        <v>44</v>
      </c>
      <c r="K77" s="139"/>
      <c r="L77" s="40"/>
    </row>
    <row r="78" spans="1:12" s="39" customFormat="1" ht="13" customHeight="1" thickTop="1" x14ac:dyDescent="0.2">
      <c r="A78" s="21">
        <f>7-(COUNTIF(C78:I78,"")+COUNTIF(C78:I78,$B$140))</f>
        <v>5</v>
      </c>
      <c r="B78" s="209" t="s">
        <v>25</v>
      </c>
      <c r="C78" s="36" t="s">
        <v>152</v>
      </c>
      <c r="D78" s="36" t="s">
        <v>82</v>
      </c>
      <c r="E78" s="36"/>
      <c r="F78" s="36" t="s">
        <v>31</v>
      </c>
      <c r="G78" s="36" t="s">
        <v>154</v>
      </c>
      <c r="H78" s="36"/>
      <c r="I78" s="36" t="s">
        <v>139</v>
      </c>
      <c r="J78" s="180" t="s">
        <v>70</v>
      </c>
      <c r="K78" s="139">
        <v>5</v>
      </c>
      <c r="L78" s="40"/>
    </row>
    <row r="79" spans="1:12" s="39" customFormat="1" ht="13" customHeight="1" thickBot="1" x14ac:dyDescent="0.25">
      <c r="B79" s="210"/>
      <c r="C79" s="38" t="str">
        <f t="shared" ref="C79:I79" si="38">IF(ISBLANK(C78),"",VLOOKUP(C78,$B$106:$L$142,11,0))</f>
        <v>08H30-17H00</v>
      </c>
      <c r="D79" s="38" t="str">
        <f t="shared" si="38"/>
        <v>06H00-14H30</v>
      </c>
      <c r="E79" s="38" t="str">
        <f t="shared" si="38"/>
        <v/>
      </c>
      <c r="F79" s="38" t="str">
        <f t="shared" si="38"/>
        <v>06H00-14H30</v>
      </c>
      <c r="G79" s="38" t="str">
        <f t="shared" si="38"/>
        <v>13H00-21H30</v>
      </c>
      <c r="H79" s="38" t="str">
        <f t="shared" si="38"/>
        <v/>
      </c>
      <c r="I79" s="38" t="str">
        <f t="shared" si="38"/>
        <v>14H00-22H30</v>
      </c>
      <c r="J79" s="188" t="s">
        <v>71</v>
      </c>
      <c r="K79" s="139"/>
      <c r="L79" s="40"/>
    </row>
    <row r="80" spans="1:12" s="39" customFormat="1" ht="13" customHeight="1" thickTop="1" x14ac:dyDescent="0.2">
      <c r="A80" s="21">
        <f>7-(COUNTIF(C80:I80,"")+COUNTIF(C80:I80,$B$140))</f>
        <v>5</v>
      </c>
      <c r="B80" s="178" t="s">
        <v>105</v>
      </c>
      <c r="C80" s="36"/>
      <c r="D80" s="36" t="s">
        <v>137</v>
      </c>
      <c r="E80" s="36" t="s">
        <v>80</v>
      </c>
      <c r="F80" s="36" t="s">
        <v>152</v>
      </c>
      <c r="G80" s="36" t="s">
        <v>79</v>
      </c>
      <c r="H80" s="36" t="s">
        <v>154</v>
      </c>
      <c r="I80" s="36" t="s">
        <v>95</v>
      </c>
      <c r="J80" s="180" t="s">
        <v>71</v>
      </c>
      <c r="K80" s="139">
        <v>5</v>
      </c>
      <c r="L80" s="40"/>
    </row>
    <row r="81" spans="1:12" s="39" customFormat="1" ht="13" customHeight="1" thickBot="1" x14ac:dyDescent="0.25">
      <c r="B81" s="179"/>
      <c r="C81" s="37" t="str">
        <f t="shared" ref="C81:I81" si="39">IF(ISBLANK(C80),"",VLOOKUP(C80,$B$106:$L$142,11,0))</f>
        <v/>
      </c>
      <c r="D81" s="37" t="str">
        <f t="shared" si="39"/>
        <v>06H00-14H30</v>
      </c>
      <c r="E81" s="37" t="str">
        <f t="shared" si="39"/>
        <v>06H00-14H30</v>
      </c>
      <c r="F81" s="37" t="str">
        <f t="shared" si="39"/>
        <v>08H30-17H00</v>
      </c>
      <c r="G81" s="37" t="str">
        <f t="shared" si="39"/>
        <v>09H00-17H30</v>
      </c>
      <c r="H81" s="37" t="str">
        <f t="shared" si="39"/>
        <v>13H00-21H30</v>
      </c>
      <c r="I81" s="37">
        <f t="shared" si="39"/>
        <v>0</v>
      </c>
      <c r="J81" s="181" t="s">
        <v>72</v>
      </c>
      <c r="K81" s="139"/>
      <c r="L81" s="40"/>
    </row>
    <row r="82" spans="1:12" s="39" customFormat="1" ht="13" customHeight="1" thickTop="1" x14ac:dyDescent="0.2">
      <c r="A82" s="21">
        <f>7-(COUNTIF(C82:I82,"")+COUNTIF(C82:I82,$B$140))</f>
        <v>5</v>
      </c>
      <c r="B82" s="178" t="s">
        <v>143</v>
      </c>
      <c r="C82" s="38" t="s">
        <v>110</v>
      </c>
      <c r="D82" s="36"/>
      <c r="E82" s="36" t="s">
        <v>149</v>
      </c>
      <c r="F82" s="36" t="s">
        <v>91</v>
      </c>
      <c r="G82" s="36" t="s">
        <v>153</v>
      </c>
      <c r="H82" s="35" t="s">
        <v>153</v>
      </c>
      <c r="I82" s="35"/>
      <c r="J82" s="180" t="s">
        <v>142</v>
      </c>
      <c r="K82" s="139">
        <v>4</v>
      </c>
      <c r="L82" s="40"/>
    </row>
    <row r="83" spans="1:12" ht="13" customHeight="1" thickBot="1" x14ac:dyDescent="0.25">
      <c r="A83" s="41"/>
      <c r="B83" s="179"/>
      <c r="C83" s="37" t="str">
        <f t="shared" ref="C83:I83" si="40">IF(ISBLANK(C82),"",VLOOKUP(C82,$B$106:$L$142,11,0))</f>
        <v>21H45-06H15</v>
      </c>
      <c r="D83" s="37" t="str">
        <f t="shared" si="40"/>
        <v/>
      </c>
      <c r="E83" s="37" t="str">
        <f t="shared" si="40"/>
        <v>09H00-17H30</v>
      </c>
      <c r="F83" s="37" t="str">
        <f t="shared" si="40"/>
        <v>06H00-14H30</v>
      </c>
      <c r="G83" s="37" t="str">
        <f t="shared" si="40"/>
        <v>22H00-06H30</v>
      </c>
      <c r="H83" s="37" t="str">
        <f t="shared" si="40"/>
        <v>22H00-06H30</v>
      </c>
      <c r="I83" s="37" t="str">
        <f t="shared" si="40"/>
        <v/>
      </c>
      <c r="J83" s="181" t="s">
        <v>57</v>
      </c>
      <c r="K83" s="139"/>
    </row>
    <row r="84" spans="1:12" s="39" customFormat="1" ht="13" customHeight="1" thickTop="1" x14ac:dyDescent="0.2">
      <c r="A84" s="21">
        <f>7-(COUNTIF(C84:I84,"")+COUNTIF(C84:I84,$B$140))</f>
        <v>5</v>
      </c>
      <c r="B84" s="201" t="s">
        <v>26</v>
      </c>
      <c r="C84" s="38"/>
      <c r="D84" s="36" t="s">
        <v>79</v>
      </c>
      <c r="E84" s="36" t="s">
        <v>167</v>
      </c>
      <c r="F84" s="36" t="s">
        <v>167</v>
      </c>
      <c r="G84" s="36" t="s">
        <v>139</v>
      </c>
      <c r="H84" s="36" t="s">
        <v>151</v>
      </c>
      <c r="I84" s="36"/>
      <c r="J84" s="180" t="s">
        <v>72</v>
      </c>
      <c r="K84" s="139">
        <v>5</v>
      </c>
      <c r="L84" s="40"/>
    </row>
    <row r="85" spans="1:12" s="39" customFormat="1" ht="13" customHeight="1" thickBot="1" x14ac:dyDescent="0.25">
      <c r="B85" s="196"/>
      <c r="C85" s="37" t="str">
        <f t="shared" ref="C85:I85" si="41">IF(ISBLANK(C84),"",VLOOKUP(C84,$B$106:$L$142,11,0))</f>
        <v/>
      </c>
      <c r="D85" s="37" t="str">
        <f t="shared" si="41"/>
        <v>09H00-17H30</v>
      </c>
      <c r="E85" s="37" t="str">
        <f t="shared" si="41"/>
        <v>08H00-16H30</v>
      </c>
      <c r="F85" s="37" t="str">
        <f t="shared" si="41"/>
        <v>08H00-16H30</v>
      </c>
      <c r="G85" s="37" t="str">
        <f t="shared" si="41"/>
        <v>14H00-22H30</v>
      </c>
      <c r="H85" s="37" t="str">
        <f t="shared" si="41"/>
        <v>08H30-17H00</v>
      </c>
      <c r="I85" s="37" t="str">
        <f t="shared" si="41"/>
        <v/>
      </c>
      <c r="J85" s="181" t="s">
        <v>73</v>
      </c>
      <c r="K85" s="139"/>
      <c r="L85" s="40"/>
    </row>
    <row r="86" spans="1:12" s="39" customFormat="1" ht="13" customHeight="1" thickTop="1" x14ac:dyDescent="0.2">
      <c r="A86" s="21">
        <f>7-(COUNTIF(C86:I86,"")+COUNTIF(C86:I86,$B$140))</f>
        <v>5</v>
      </c>
      <c r="B86" s="193" t="s">
        <v>27</v>
      </c>
      <c r="C86" s="36" t="s">
        <v>31</v>
      </c>
      <c r="D86" s="36" t="s">
        <v>150</v>
      </c>
      <c r="E86" s="36"/>
      <c r="F86" s="36" t="s">
        <v>123</v>
      </c>
      <c r="G86" s="36"/>
      <c r="H86" s="36" t="s">
        <v>83</v>
      </c>
      <c r="I86" s="36" t="s">
        <v>92</v>
      </c>
      <c r="J86" s="180" t="s">
        <v>74</v>
      </c>
      <c r="K86" s="139">
        <v>5</v>
      </c>
      <c r="L86" s="40"/>
    </row>
    <row r="87" spans="1:12" s="39" customFormat="1" ht="13" customHeight="1" thickBot="1" x14ac:dyDescent="0.25">
      <c r="B87" s="194"/>
      <c r="C87" s="37" t="str">
        <f t="shared" ref="C87:I87" si="42">IF(ISBLANK(C86),"",VLOOKUP(C86,$B$106:$L$142,11,0))</f>
        <v>06H00-14H30</v>
      </c>
      <c r="D87" s="37" t="str">
        <f t="shared" si="42"/>
        <v>09H00-17H30</v>
      </c>
      <c r="E87" s="37" t="str">
        <f t="shared" si="42"/>
        <v/>
      </c>
      <c r="F87" s="37" t="str">
        <f t="shared" si="42"/>
        <v>14H30-23H00</v>
      </c>
      <c r="G87" s="37" t="str">
        <f t="shared" si="42"/>
        <v/>
      </c>
      <c r="H87" s="37" t="str">
        <f t="shared" si="42"/>
        <v>09H00-17H30</v>
      </c>
      <c r="I87" s="37" t="str">
        <f t="shared" si="42"/>
        <v>10H00-18H30</v>
      </c>
      <c r="J87" s="181" t="s">
        <v>75</v>
      </c>
      <c r="K87" s="139"/>
      <c r="L87" s="40"/>
    </row>
    <row r="88" spans="1:12" s="39" customFormat="1" ht="13" customHeight="1" thickTop="1" x14ac:dyDescent="0.2">
      <c r="A88" s="21">
        <f>7-(COUNTIF(C88:I88,"")+COUNTIF(C88:I88,$B$140))</f>
        <v>5</v>
      </c>
      <c r="B88" s="193" t="s">
        <v>115</v>
      </c>
      <c r="C88" s="36" t="s">
        <v>153</v>
      </c>
      <c r="D88" s="36"/>
      <c r="E88" s="36" t="s">
        <v>153</v>
      </c>
      <c r="F88" s="36"/>
      <c r="G88" s="36" t="s">
        <v>91</v>
      </c>
      <c r="H88" s="36" t="s">
        <v>150</v>
      </c>
      <c r="I88" s="36" t="s">
        <v>110</v>
      </c>
      <c r="J88" s="188" t="s">
        <v>63</v>
      </c>
      <c r="K88" s="139">
        <v>5</v>
      </c>
      <c r="L88" s="40"/>
    </row>
    <row r="89" spans="1:12" s="39" customFormat="1" ht="13" customHeight="1" thickBot="1" x14ac:dyDescent="0.25">
      <c r="B89" s="206"/>
      <c r="C89" s="43" t="str">
        <f t="shared" ref="C89:I89" si="43">IF(ISBLANK(C88),"",VLOOKUP(C88,$B$106:$L$142,11,0))</f>
        <v>22H00-06H30</v>
      </c>
      <c r="D89" s="43" t="str">
        <f t="shared" si="43"/>
        <v/>
      </c>
      <c r="E89" s="43" t="str">
        <f t="shared" si="43"/>
        <v>22H00-06H30</v>
      </c>
      <c r="F89" s="43" t="str">
        <f t="shared" si="43"/>
        <v/>
      </c>
      <c r="G89" s="43" t="str">
        <f t="shared" si="43"/>
        <v>06H00-14H30</v>
      </c>
      <c r="H89" s="43" t="str">
        <f t="shared" si="43"/>
        <v>09H00-17H30</v>
      </c>
      <c r="I89" s="43" t="str">
        <f t="shared" si="43"/>
        <v>21H45-06H15</v>
      </c>
      <c r="J89" s="203"/>
      <c r="K89" s="139"/>
      <c r="L89" s="40"/>
    </row>
    <row r="90" spans="1:12" s="39" customFormat="1" ht="13" customHeight="1" thickTop="1" x14ac:dyDescent="0.2">
      <c r="A90" s="21">
        <f>7-(COUNTIF(C90:I90,"")+COUNTIF(C90:I90,$B$140))</f>
        <v>4</v>
      </c>
      <c r="B90" s="178" t="s">
        <v>148</v>
      </c>
      <c r="C90" s="36" t="s">
        <v>150</v>
      </c>
      <c r="D90" s="36" t="s">
        <v>110</v>
      </c>
      <c r="E90" s="36"/>
      <c r="F90" s="36" t="s">
        <v>153</v>
      </c>
      <c r="G90" s="36"/>
      <c r="H90" s="36" t="s">
        <v>110</v>
      </c>
      <c r="I90" s="36"/>
      <c r="J90" s="180" t="s">
        <v>144</v>
      </c>
      <c r="K90" s="139">
        <v>4</v>
      </c>
      <c r="L90" s="40"/>
    </row>
    <row r="91" spans="1:12" ht="13" customHeight="1" thickBot="1" x14ac:dyDescent="0.25">
      <c r="A91" s="41"/>
      <c r="B91" s="179"/>
      <c r="C91" s="37" t="str">
        <f t="shared" ref="C91:I91" si="44">IF(ISBLANK(C90),"",VLOOKUP(C90,$B$106:$L$142,11,0))</f>
        <v>09H00-17H30</v>
      </c>
      <c r="D91" s="37" t="str">
        <f t="shared" si="44"/>
        <v>21H45-06H15</v>
      </c>
      <c r="E91" s="37" t="str">
        <f t="shared" si="44"/>
        <v/>
      </c>
      <c r="F91" s="37" t="str">
        <f t="shared" si="44"/>
        <v>22H00-06H30</v>
      </c>
      <c r="G91" s="37" t="str">
        <f t="shared" si="44"/>
        <v/>
      </c>
      <c r="H91" s="37" t="str">
        <f t="shared" si="44"/>
        <v>21H45-06H15</v>
      </c>
      <c r="I91" s="37" t="str">
        <f t="shared" si="44"/>
        <v/>
      </c>
      <c r="J91" s="181" t="s">
        <v>57</v>
      </c>
      <c r="K91" s="139"/>
    </row>
    <row r="92" spans="1:12" s="39" customFormat="1" ht="13" customHeight="1" thickTop="1" x14ac:dyDescent="0.2">
      <c r="A92" s="21">
        <f>7-(COUNTIF(C92:I92,"")+COUNTIF(C92:I92,$B$140))</f>
        <v>5</v>
      </c>
      <c r="B92" s="178" t="s">
        <v>147</v>
      </c>
      <c r="C92" s="36" t="s">
        <v>122</v>
      </c>
      <c r="D92" s="36" t="s">
        <v>84</v>
      </c>
      <c r="E92" s="36" t="s">
        <v>150</v>
      </c>
      <c r="F92" s="36" t="s">
        <v>90</v>
      </c>
      <c r="G92" s="36" t="s">
        <v>81</v>
      </c>
      <c r="H92" s="36" t="s">
        <v>95</v>
      </c>
      <c r="I92" s="36" t="s">
        <v>95</v>
      </c>
      <c r="J92" s="180" t="s">
        <v>145</v>
      </c>
      <c r="K92" s="139">
        <v>4</v>
      </c>
      <c r="L92" s="40"/>
    </row>
    <row r="93" spans="1:12" ht="13" customHeight="1" thickBot="1" x14ac:dyDescent="0.25">
      <c r="A93" s="41"/>
      <c r="B93" s="179"/>
      <c r="C93" s="37" t="str">
        <f t="shared" ref="C93:I93" si="45">IF(ISBLANK(C92),"",VLOOKUP(C92,$B$106:$L$142,11,0))</f>
        <v>06H00-14H30</v>
      </c>
      <c r="D93" s="37" t="str">
        <f t="shared" si="45"/>
        <v>13H30-22H00</v>
      </c>
      <c r="E93" s="37" t="str">
        <f t="shared" si="45"/>
        <v>09H00-17H30</v>
      </c>
      <c r="F93" s="37" t="str">
        <f t="shared" si="45"/>
        <v>06H00-14H30</v>
      </c>
      <c r="G93" s="37" t="str">
        <f t="shared" si="45"/>
        <v>14H30-23H00</v>
      </c>
      <c r="H93" s="37">
        <f t="shared" si="45"/>
        <v>0</v>
      </c>
      <c r="I93" s="37">
        <f t="shared" si="45"/>
        <v>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7-(COUNTIF(C94:I94,"")+COUNTIF(C94:I94,$B$140))</f>
        <v>5</v>
      </c>
      <c r="B94" s="201" t="s">
        <v>106</v>
      </c>
      <c r="C94" s="36" t="s">
        <v>79</v>
      </c>
      <c r="D94" s="36" t="s">
        <v>167</v>
      </c>
      <c r="E94" s="36"/>
      <c r="F94" s="36" t="s">
        <v>167</v>
      </c>
      <c r="G94" s="36" t="s">
        <v>167</v>
      </c>
      <c r="H94" s="36"/>
      <c r="I94" s="36" t="s">
        <v>151</v>
      </c>
      <c r="J94" s="180" t="s">
        <v>75</v>
      </c>
      <c r="K94" s="139">
        <v>5</v>
      </c>
      <c r="L94" s="40"/>
    </row>
    <row r="95" spans="1:12" s="39" customFormat="1" ht="13" customHeight="1" thickBot="1" x14ac:dyDescent="0.25">
      <c r="B95" s="196"/>
      <c r="C95" s="37" t="str">
        <f t="shared" ref="C95:I95" si="46">IF(ISBLANK(C94),"",VLOOKUP(C94,$B$106:$L$142,11,0))</f>
        <v>09H00-17H30</v>
      </c>
      <c r="D95" s="37" t="str">
        <f t="shared" si="46"/>
        <v>08H00-16H30</v>
      </c>
      <c r="E95" s="37" t="str">
        <f t="shared" si="46"/>
        <v/>
      </c>
      <c r="F95" s="37" t="str">
        <f t="shared" si="46"/>
        <v>08H00-16H30</v>
      </c>
      <c r="G95" s="37" t="str">
        <f t="shared" si="46"/>
        <v>08H00-16H30</v>
      </c>
      <c r="H95" s="37" t="str">
        <f t="shared" si="46"/>
        <v/>
      </c>
      <c r="I95" s="37" t="str">
        <f t="shared" si="46"/>
        <v>08H30-17H00</v>
      </c>
      <c r="J95" s="181" t="s">
        <v>76</v>
      </c>
      <c r="K95" s="139"/>
      <c r="L95" s="40"/>
    </row>
    <row r="96" spans="1:12" s="39" customFormat="1" ht="13" customHeight="1" thickTop="1" x14ac:dyDescent="0.2">
      <c r="A96" s="21">
        <f>7-(COUNTIF(C96:I96,"")+COUNTIF(C96:I96,$B$140))</f>
        <v>5</v>
      </c>
      <c r="B96" s="178" t="s">
        <v>28</v>
      </c>
      <c r="C96" s="36" t="s">
        <v>90</v>
      </c>
      <c r="D96" s="36" t="s">
        <v>84</v>
      </c>
      <c r="E96" s="38"/>
      <c r="F96" s="38" t="s">
        <v>82</v>
      </c>
      <c r="G96" s="36"/>
      <c r="H96" s="38" t="s">
        <v>123</v>
      </c>
      <c r="I96" s="38" t="s">
        <v>150</v>
      </c>
      <c r="J96" s="180" t="s">
        <v>76</v>
      </c>
      <c r="K96" s="139">
        <v>5</v>
      </c>
      <c r="L96" s="40"/>
    </row>
    <row r="97" spans="1:12" s="39" customFormat="1" ht="13" customHeight="1" thickBot="1" x14ac:dyDescent="0.25">
      <c r="B97" s="179"/>
      <c r="C97" s="37" t="str">
        <f t="shared" ref="C97:I97" si="47">IF(ISBLANK(C96),"",VLOOKUP(C96,$B$106:$L$142,11,0))</f>
        <v>06H00-14H30</v>
      </c>
      <c r="D97" s="37" t="str">
        <f t="shared" si="47"/>
        <v>13H30-22H00</v>
      </c>
      <c r="E97" s="37" t="str">
        <f t="shared" si="47"/>
        <v/>
      </c>
      <c r="F97" s="37" t="str">
        <f t="shared" si="47"/>
        <v>06H00-14H30</v>
      </c>
      <c r="G97" s="37" t="str">
        <f t="shared" si="47"/>
        <v/>
      </c>
      <c r="H97" s="37" t="str">
        <f t="shared" si="47"/>
        <v>14H30-23H00</v>
      </c>
      <c r="I97" s="37" t="str">
        <f t="shared" si="47"/>
        <v>09H00-17H30</v>
      </c>
      <c r="J97" s="181" t="s">
        <v>77</v>
      </c>
      <c r="K97" s="139"/>
      <c r="L97" s="40"/>
    </row>
    <row r="98" spans="1:12" s="39" customFormat="1" ht="13" customHeight="1" thickTop="1" x14ac:dyDescent="0.2">
      <c r="A98" s="21"/>
      <c r="B98" s="178" t="s">
        <v>136</v>
      </c>
      <c r="C98" s="36"/>
      <c r="D98" s="35" t="s">
        <v>95</v>
      </c>
      <c r="E98" s="36"/>
      <c r="F98" s="35" t="s">
        <v>95</v>
      </c>
      <c r="G98" s="35" t="s">
        <v>95</v>
      </c>
      <c r="H98" s="35" t="s">
        <v>95</v>
      </c>
      <c r="I98" s="35" t="s">
        <v>95</v>
      </c>
      <c r="J98" s="180"/>
      <c r="K98" s="139">
        <v>2</v>
      </c>
      <c r="L98" s="40"/>
    </row>
    <row r="99" spans="1:12" ht="13" customHeight="1" thickBot="1" x14ac:dyDescent="0.25">
      <c r="A99" s="41"/>
      <c r="B99" s="179"/>
      <c r="C99" s="37" t="str">
        <f t="shared" ref="C99:I99" si="48">IF(ISBLANK(C98),"",VLOOKUP(C98,$B$106:$L$142,11,0))</f>
        <v/>
      </c>
      <c r="D99" s="37">
        <f t="shared" si="48"/>
        <v>0</v>
      </c>
      <c r="E99" s="37" t="str">
        <f t="shared" si="48"/>
        <v/>
      </c>
      <c r="F99" s="37">
        <f t="shared" si="48"/>
        <v>0</v>
      </c>
      <c r="G99" s="37">
        <f t="shared" si="48"/>
        <v>0</v>
      </c>
      <c r="H99" s="37">
        <f t="shared" si="48"/>
        <v>0</v>
      </c>
      <c r="I99" s="37">
        <f t="shared" si="48"/>
        <v>0</v>
      </c>
      <c r="J99" s="181" t="s">
        <v>57</v>
      </c>
      <c r="K99" s="139"/>
    </row>
    <row r="100" spans="1:12" s="39" customFormat="1" ht="13" customHeight="1" thickTop="1" x14ac:dyDescent="0.2">
      <c r="A100" s="21"/>
      <c r="B100" s="178" t="s">
        <v>135</v>
      </c>
      <c r="C100" s="36"/>
      <c r="D100" s="35"/>
      <c r="E100" s="36" t="s">
        <v>95</v>
      </c>
      <c r="F100" s="35"/>
      <c r="G100" s="36"/>
      <c r="H100" s="35" t="s">
        <v>95</v>
      </c>
      <c r="I100" s="35" t="s">
        <v>95</v>
      </c>
      <c r="J100" s="180"/>
      <c r="K100" s="139">
        <v>4</v>
      </c>
      <c r="L100" s="40"/>
    </row>
    <row r="101" spans="1:12" ht="13" customHeight="1" thickBot="1" x14ac:dyDescent="0.25">
      <c r="A101" s="41"/>
      <c r="B101" s="179"/>
      <c r="C101" s="37" t="str">
        <f t="shared" ref="C101:I101" si="49">IF(ISBLANK(C100),"",VLOOKUP(C100,$B$106:$L$142,11,0))</f>
        <v/>
      </c>
      <c r="D101" s="37" t="str">
        <f t="shared" si="49"/>
        <v/>
      </c>
      <c r="E101" s="37">
        <f t="shared" si="49"/>
        <v>0</v>
      </c>
      <c r="F101" s="37" t="str">
        <f t="shared" si="49"/>
        <v/>
      </c>
      <c r="G101" s="37" t="str">
        <f t="shared" si="49"/>
        <v/>
      </c>
      <c r="H101" s="37">
        <f t="shared" si="49"/>
        <v>0</v>
      </c>
      <c r="I101" s="37">
        <f t="shared" si="49"/>
        <v>0</v>
      </c>
      <c r="J101" s="181" t="s">
        <v>57</v>
      </c>
      <c r="K101" s="139"/>
    </row>
    <row r="102" spans="1:12" s="39" customFormat="1" ht="13" customHeight="1" thickTop="1" x14ac:dyDescent="0.2">
      <c r="A102" s="21">
        <f>7-(COUNTIF(C102:I102,"")+COUNTIF(C102:I102,$B$140))</f>
        <v>5</v>
      </c>
      <c r="B102" s="178" t="s">
        <v>29</v>
      </c>
      <c r="C102" s="35" t="s">
        <v>87</v>
      </c>
      <c r="D102" s="35" t="s">
        <v>87</v>
      </c>
      <c r="E102" s="35" t="s">
        <v>87</v>
      </c>
      <c r="F102" s="35" t="s">
        <v>87</v>
      </c>
      <c r="G102" s="35" t="s">
        <v>87</v>
      </c>
      <c r="H102" s="35" t="s">
        <v>95</v>
      </c>
      <c r="I102" s="35" t="s">
        <v>95</v>
      </c>
      <c r="J102" s="180"/>
      <c r="K102" s="139">
        <v>5</v>
      </c>
      <c r="L102" s="40"/>
    </row>
    <row r="103" spans="1:12" s="39" customFormat="1" ht="13" customHeight="1" thickBot="1" x14ac:dyDescent="0.25">
      <c r="B103" s="202"/>
      <c r="C103" s="43" t="str">
        <f t="shared" ref="C103:I103" si="50">IF(ISBLANK(C102),"",VLOOKUP(C102,$B$106:$L$142,11,0))</f>
        <v>08H00-16H30</v>
      </c>
      <c r="D103" s="43" t="str">
        <f t="shared" si="50"/>
        <v>08H00-16H30</v>
      </c>
      <c r="E103" s="43" t="str">
        <f t="shared" si="50"/>
        <v>08H00-16H30</v>
      </c>
      <c r="F103" s="43" t="str">
        <f t="shared" si="50"/>
        <v>08H00-16H30</v>
      </c>
      <c r="G103" s="43" t="str">
        <f t="shared" si="50"/>
        <v>08H00-16H30</v>
      </c>
      <c r="H103" s="43">
        <f t="shared" si="50"/>
        <v>0</v>
      </c>
      <c r="I103" s="43">
        <f t="shared" si="50"/>
        <v>0</v>
      </c>
      <c r="J103" s="203"/>
      <c r="K103" s="139"/>
      <c r="L103" s="40"/>
    </row>
    <row r="104" spans="1:12" s="39" customFormat="1" ht="13" customHeight="1" thickTop="1" x14ac:dyDescent="0.2">
      <c r="C104" s="45">
        <f>C5</f>
        <v>43164</v>
      </c>
      <c r="D104" s="45">
        <f t="shared" ref="D104:I104" si="51">C104+1</f>
        <v>43165</v>
      </c>
      <c r="E104" s="45">
        <f t="shared" si="51"/>
        <v>43166</v>
      </c>
      <c r="F104" s="45">
        <f t="shared" si="51"/>
        <v>43167</v>
      </c>
      <c r="G104" s="45">
        <f t="shared" si="51"/>
        <v>43168</v>
      </c>
      <c r="H104" s="45">
        <f t="shared" si="51"/>
        <v>43169</v>
      </c>
      <c r="I104" s="45">
        <f t="shared" si="51"/>
        <v>43170</v>
      </c>
      <c r="L104" s="40"/>
    </row>
    <row r="105" spans="1:12" ht="13" customHeight="1" x14ac:dyDescent="0.2">
      <c r="A105" s="41"/>
      <c r="B105" s="46" t="s">
        <v>39</v>
      </c>
      <c r="C105" s="47"/>
      <c r="D105" s="47"/>
      <c r="E105" s="47"/>
      <c r="F105" s="47"/>
      <c r="G105" s="47"/>
      <c r="H105" s="39"/>
      <c r="I105" s="39"/>
      <c r="J105" s="48" t="s">
        <v>98</v>
      </c>
      <c r="K105" s="49" t="s">
        <v>107</v>
      </c>
      <c r="L105" s="50" t="s">
        <v>97</v>
      </c>
    </row>
    <row r="106" spans="1:12" ht="13" customHeight="1" x14ac:dyDescent="0.2">
      <c r="A106" s="41"/>
      <c r="B106" s="51" t="s">
        <v>117</v>
      </c>
      <c r="C106" s="52">
        <f t="shared" ref="C106:I115" si="52">COUNTIF(C$6:C$103,$B106)</f>
        <v>0</v>
      </c>
      <c r="D106" s="52">
        <f t="shared" si="52"/>
        <v>0</v>
      </c>
      <c r="E106" s="52">
        <f t="shared" si="52"/>
        <v>0</v>
      </c>
      <c r="F106" s="52">
        <f t="shared" si="52"/>
        <v>0</v>
      </c>
      <c r="G106" s="52">
        <f t="shared" si="52"/>
        <v>0</v>
      </c>
      <c r="H106" s="52">
        <f t="shared" si="52"/>
        <v>0</v>
      </c>
      <c r="I106" s="52">
        <f t="shared" si="52"/>
        <v>0</v>
      </c>
      <c r="J106" s="53">
        <f t="shared" ref="J106:J142" si="53">SUM(C106:I106)</f>
        <v>0</v>
      </c>
      <c r="K106" s="49">
        <v>3</v>
      </c>
      <c r="L106" s="1" t="s">
        <v>118</v>
      </c>
    </row>
    <row r="107" spans="1:12" ht="13" customHeight="1" x14ac:dyDescent="0.2">
      <c r="A107" s="41"/>
      <c r="B107" s="54" t="s">
        <v>167</v>
      </c>
      <c r="C107" s="52">
        <f t="shared" si="52"/>
        <v>2</v>
      </c>
      <c r="D107" s="52">
        <f t="shared" si="52"/>
        <v>2</v>
      </c>
      <c r="E107" s="52">
        <f t="shared" si="52"/>
        <v>2</v>
      </c>
      <c r="F107" s="52">
        <f t="shared" si="52"/>
        <v>2</v>
      </c>
      <c r="G107" s="52">
        <f t="shared" si="52"/>
        <v>2</v>
      </c>
      <c r="H107" s="52">
        <f t="shared" si="52"/>
        <v>0</v>
      </c>
      <c r="I107" s="52">
        <f t="shared" si="52"/>
        <v>0</v>
      </c>
      <c r="J107" s="53">
        <f t="shared" si="53"/>
        <v>10</v>
      </c>
      <c r="K107" s="49">
        <v>10</v>
      </c>
      <c r="L107" s="1" t="s">
        <v>116</v>
      </c>
    </row>
    <row r="108" spans="1:12" ht="13" customHeight="1" x14ac:dyDescent="0.2">
      <c r="A108" s="41"/>
      <c r="B108" s="55" t="s">
        <v>79</v>
      </c>
      <c r="C108" s="52">
        <f t="shared" si="52"/>
        <v>1</v>
      </c>
      <c r="D108" s="52">
        <f t="shared" si="52"/>
        <v>1</v>
      </c>
      <c r="E108" s="52">
        <f t="shared" si="52"/>
        <v>1</v>
      </c>
      <c r="F108" s="52">
        <f t="shared" si="52"/>
        <v>1</v>
      </c>
      <c r="G108" s="52">
        <f t="shared" si="52"/>
        <v>1</v>
      </c>
      <c r="H108" s="52">
        <f t="shared" si="52"/>
        <v>1</v>
      </c>
      <c r="I108" s="52">
        <f t="shared" si="52"/>
        <v>1</v>
      </c>
      <c r="J108" s="53">
        <f t="shared" si="53"/>
        <v>7</v>
      </c>
      <c r="K108" s="49">
        <v>7</v>
      </c>
      <c r="L108" s="1" t="s">
        <v>34</v>
      </c>
    </row>
    <row r="109" spans="1:12" ht="13" customHeight="1" x14ac:dyDescent="0.2">
      <c r="A109" s="41"/>
      <c r="B109" s="70" t="s">
        <v>150</v>
      </c>
      <c r="C109" s="52">
        <f t="shared" si="52"/>
        <v>1</v>
      </c>
      <c r="D109" s="52">
        <f t="shared" si="52"/>
        <v>1</v>
      </c>
      <c r="E109" s="52">
        <f t="shared" si="52"/>
        <v>1</v>
      </c>
      <c r="F109" s="52">
        <f t="shared" si="52"/>
        <v>1</v>
      </c>
      <c r="G109" s="52">
        <f t="shared" si="52"/>
        <v>1</v>
      </c>
      <c r="H109" s="52">
        <f t="shared" si="52"/>
        <v>1</v>
      </c>
      <c r="I109" s="52">
        <f t="shared" si="52"/>
        <v>1</v>
      </c>
      <c r="J109" s="53">
        <f t="shared" si="53"/>
        <v>7</v>
      </c>
      <c r="K109" s="49">
        <v>7</v>
      </c>
      <c r="L109" s="1" t="s">
        <v>34</v>
      </c>
    </row>
    <row r="110" spans="1:12" ht="13" customHeight="1" x14ac:dyDescent="0.2">
      <c r="A110" s="41"/>
      <c r="B110" s="3" t="s">
        <v>80</v>
      </c>
      <c r="C110" s="52">
        <f t="shared" si="52"/>
        <v>1</v>
      </c>
      <c r="D110" s="52">
        <f t="shared" si="52"/>
        <v>0</v>
      </c>
      <c r="E110" s="52">
        <f t="shared" si="52"/>
        <v>1</v>
      </c>
      <c r="F110" s="52">
        <f t="shared" si="52"/>
        <v>1</v>
      </c>
      <c r="G110" s="52">
        <f t="shared" si="52"/>
        <v>1</v>
      </c>
      <c r="H110" s="52">
        <f t="shared" si="52"/>
        <v>1</v>
      </c>
      <c r="I110" s="52">
        <f t="shared" si="52"/>
        <v>1</v>
      </c>
      <c r="J110" s="53">
        <f t="shared" si="53"/>
        <v>6</v>
      </c>
      <c r="K110" s="49">
        <v>7</v>
      </c>
      <c r="L110" s="1" t="s">
        <v>32</v>
      </c>
    </row>
    <row r="111" spans="1:12" ht="13" customHeight="1" x14ac:dyDescent="0.2">
      <c r="A111" s="41"/>
      <c r="B111" s="4" t="s">
        <v>81</v>
      </c>
      <c r="C111" s="52">
        <f t="shared" si="52"/>
        <v>1</v>
      </c>
      <c r="D111" s="52">
        <f t="shared" si="52"/>
        <v>1</v>
      </c>
      <c r="E111" s="52">
        <f t="shared" si="52"/>
        <v>1</v>
      </c>
      <c r="F111" s="52">
        <f t="shared" si="52"/>
        <v>1</v>
      </c>
      <c r="G111" s="52">
        <f t="shared" si="52"/>
        <v>1</v>
      </c>
      <c r="H111" s="52">
        <f t="shared" si="52"/>
        <v>1</v>
      </c>
      <c r="I111" s="52">
        <f t="shared" si="52"/>
        <v>1</v>
      </c>
      <c r="J111" s="53">
        <f t="shared" si="53"/>
        <v>7</v>
      </c>
      <c r="K111" s="49">
        <v>7</v>
      </c>
      <c r="L111" s="1" t="s">
        <v>36</v>
      </c>
    </row>
    <row r="112" spans="1:12" ht="13" customHeight="1" x14ac:dyDescent="0.2">
      <c r="B112" s="15" t="s">
        <v>154</v>
      </c>
      <c r="C112" s="52">
        <f t="shared" si="52"/>
        <v>1</v>
      </c>
      <c r="D112" s="52">
        <f t="shared" si="52"/>
        <v>1</v>
      </c>
      <c r="E112" s="52">
        <f t="shared" si="52"/>
        <v>0</v>
      </c>
      <c r="F112" s="52">
        <f t="shared" si="52"/>
        <v>0</v>
      </c>
      <c r="G112" s="52">
        <f t="shared" si="52"/>
        <v>1</v>
      </c>
      <c r="H112" s="52">
        <f t="shared" si="52"/>
        <v>1</v>
      </c>
      <c r="I112" s="52">
        <f t="shared" si="52"/>
        <v>0</v>
      </c>
      <c r="J112" s="53">
        <f t="shared" si="53"/>
        <v>4</v>
      </c>
      <c r="K112" s="49">
        <v>7</v>
      </c>
      <c r="L112" s="1" t="s">
        <v>125</v>
      </c>
    </row>
    <row r="113" spans="1:12" ht="13" customHeight="1" x14ac:dyDescent="0.2">
      <c r="A113" s="41"/>
      <c r="B113" s="5" t="s">
        <v>103</v>
      </c>
      <c r="C113" s="52">
        <f t="shared" si="52"/>
        <v>0</v>
      </c>
      <c r="D113" s="52">
        <f t="shared" si="52"/>
        <v>0</v>
      </c>
      <c r="E113" s="52">
        <f t="shared" si="52"/>
        <v>0</v>
      </c>
      <c r="F113" s="52">
        <f t="shared" si="52"/>
        <v>0</v>
      </c>
      <c r="G113" s="52">
        <f t="shared" si="52"/>
        <v>0</v>
      </c>
      <c r="H113" s="52">
        <f t="shared" si="52"/>
        <v>0</v>
      </c>
      <c r="I113" s="52">
        <f t="shared" si="52"/>
        <v>0</v>
      </c>
      <c r="J113" s="53">
        <f t="shared" si="53"/>
        <v>0</v>
      </c>
      <c r="K113" s="49">
        <v>0</v>
      </c>
      <c r="L113" s="1" t="s">
        <v>38</v>
      </c>
    </row>
    <row r="114" spans="1:12" ht="13" customHeight="1" x14ac:dyDescent="0.2">
      <c r="A114" s="41"/>
      <c r="B114" s="14" t="s">
        <v>149</v>
      </c>
      <c r="C114" s="52">
        <f t="shared" si="52"/>
        <v>1</v>
      </c>
      <c r="D114" s="52">
        <f t="shared" si="52"/>
        <v>1</v>
      </c>
      <c r="E114" s="52">
        <f t="shared" si="52"/>
        <v>1</v>
      </c>
      <c r="F114" s="52">
        <f t="shared" si="52"/>
        <v>1</v>
      </c>
      <c r="G114" s="52">
        <f t="shared" si="52"/>
        <v>1</v>
      </c>
      <c r="H114" s="52">
        <f t="shared" si="52"/>
        <v>1</v>
      </c>
      <c r="I114" s="52">
        <f t="shared" si="52"/>
        <v>1</v>
      </c>
      <c r="J114" s="53">
        <f t="shared" si="53"/>
        <v>7</v>
      </c>
      <c r="K114" s="49">
        <v>7</v>
      </c>
      <c r="L114" s="1" t="s">
        <v>34</v>
      </c>
    </row>
    <row r="115" spans="1:12" ht="13" customHeight="1" x14ac:dyDescent="0.2">
      <c r="A115" s="41"/>
      <c r="B115" s="16" t="s">
        <v>122</v>
      </c>
      <c r="C115" s="52">
        <f t="shared" si="52"/>
        <v>1</v>
      </c>
      <c r="D115" s="52">
        <f t="shared" si="52"/>
        <v>1</v>
      </c>
      <c r="E115" s="52">
        <f t="shared" si="52"/>
        <v>1</v>
      </c>
      <c r="F115" s="52">
        <f t="shared" si="52"/>
        <v>1</v>
      </c>
      <c r="G115" s="52">
        <f t="shared" si="52"/>
        <v>1</v>
      </c>
      <c r="H115" s="52">
        <f t="shared" si="52"/>
        <v>1</v>
      </c>
      <c r="I115" s="52">
        <f t="shared" si="52"/>
        <v>1</v>
      </c>
      <c r="J115" s="53">
        <f>SUM(C115:I115)</f>
        <v>7</v>
      </c>
      <c r="K115" s="49">
        <v>7</v>
      </c>
      <c r="L115" s="1" t="s">
        <v>32</v>
      </c>
    </row>
    <row r="116" spans="1:12" ht="13" customHeight="1" x14ac:dyDescent="0.2">
      <c r="A116" s="41"/>
      <c r="B116" s="6" t="s">
        <v>82</v>
      </c>
      <c r="C116" s="52">
        <f t="shared" ref="C116:I125" si="54">COUNTIF(C$6:C$103,$B116)</f>
        <v>2</v>
      </c>
      <c r="D116" s="52">
        <f t="shared" si="54"/>
        <v>3</v>
      </c>
      <c r="E116" s="52">
        <f t="shared" si="54"/>
        <v>2</v>
      </c>
      <c r="F116" s="52">
        <f t="shared" si="54"/>
        <v>2</v>
      </c>
      <c r="G116" s="52">
        <f t="shared" si="54"/>
        <v>2</v>
      </c>
      <c r="H116" s="52">
        <f t="shared" si="54"/>
        <v>2</v>
      </c>
      <c r="I116" s="52">
        <f t="shared" si="54"/>
        <v>2</v>
      </c>
      <c r="J116" s="53">
        <f t="shared" si="53"/>
        <v>15</v>
      </c>
      <c r="K116" s="49">
        <v>14</v>
      </c>
      <c r="L116" s="1" t="s">
        <v>32</v>
      </c>
    </row>
    <row r="117" spans="1:12" ht="13" customHeight="1" x14ac:dyDescent="0.2">
      <c r="A117" s="41"/>
      <c r="B117" s="6" t="s">
        <v>83</v>
      </c>
      <c r="C117" s="52">
        <f t="shared" si="54"/>
        <v>1</v>
      </c>
      <c r="D117" s="52">
        <f t="shared" si="54"/>
        <v>1</v>
      </c>
      <c r="E117" s="52">
        <f t="shared" si="54"/>
        <v>1</v>
      </c>
      <c r="F117" s="52">
        <f t="shared" si="54"/>
        <v>1</v>
      </c>
      <c r="G117" s="52">
        <f t="shared" si="54"/>
        <v>1</v>
      </c>
      <c r="H117" s="52">
        <f t="shared" si="54"/>
        <v>1</v>
      </c>
      <c r="I117" s="52">
        <f t="shared" si="54"/>
        <v>1</v>
      </c>
      <c r="J117" s="53">
        <f t="shared" si="53"/>
        <v>7</v>
      </c>
      <c r="K117" s="49">
        <v>7</v>
      </c>
      <c r="L117" s="1" t="s">
        <v>34</v>
      </c>
    </row>
    <row r="118" spans="1:12" ht="13" customHeight="1" x14ac:dyDescent="0.2">
      <c r="A118" s="41"/>
      <c r="B118" s="6" t="s">
        <v>166</v>
      </c>
      <c r="C118" s="52">
        <f t="shared" si="54"/>
        <v>0</v>
      </c>
      <c r="D118" s="52">
        <f t="shared" si="54"/>
        <v>0</v>
      </c>
      <c r="E118" s="52">
        <f t="shared" si="54"/>
        <v>0</v>
      </c>
      <c r="F118" s="52">
        <f t="shared" si="54"/>
        <v>0</v>
      </c>
      <c r="G118" s="52">
        <f t="shared" si="54"/>
        <v>0</v>
      </c>
      <c r="H118" s="52">
        <f t="shared" si="54"/>
        <v>0</v>
      </c>
      <c r="I118" s="52">
        <f t="shared" si="54"/>
        <v>0</v>
      </c>
      <c r="J118" s="53">
        <f t="shared" si="53"/>
        <v>0</v>
      </c>
      <c r="K118" s="49">
        <v>0</v>
      </c>
      <c r="L118" s="1" t="s">
        <v>126</v>
      </c>
    </row>
    <row r="119" spans="1:12" ht="13" customHeight="1" x14ac:dyDescent="0.2">
      <c r="A119" s="41"/>
      <c r="B119" s="7" t="s">
        <v>84</v>
      </c>
      <c r="C119" s="52">
        <f t="shared" si="54"/>
        <v>3</v>
      </c>
      <c r="D119" s="52">
        <f t="shared" si="54"/>
        <v>3</v>
      </c>
      <c r="E119" s="52">
        <f t="shared" si="54"/>
        <v>3</v>
      </c>
      <c r="F119" s="52">
        <f t="shared" si="54"/>
        <v>3</v>
      </c>
      <c r="G119" s="52">
        <f t="shared" si="54"/>
        <v>3</v>
      </c>
      <c r="H119" s="52">
        <f t="shared" si="54"/>
        <v>3</v>
      </c>
      <c r="I119" s="52">
        <f t="shared" si="54"/>
        <v>3</v>
      </c>
      <c r="J119" s="53">
        <f t="shared" si="53"/>
        <v>21</v>
      </c>
      <c r="K119" s="49">
        <v>21</v>
      </c>
      <c r="L119" s="1" t="s">
        <v>35</v>
      </c>
    </row>
    <row r="120" spans="1:12" ht="13" customHeight="1" x14ac:dyDescent="0.2">
      <c r="A120" s="41"/>
      <c r="B120" s="17" t="s">
        <v>123</v>
      </c>
      <c r="C120" s="52">
        <f t="shared" si="54"/>
        <v>1</v>
      </c>
      <c r="D120" s="52">
        <f t="shared" si="54"/>
        <v>1</v>
      </c>
      <c r="E120" s="52">
        <f t="shared" si="54"/>
        <v>1</v>
      </c>
      <c r="F120" s="52">
        <f t="shared" si="54"/>
        <v>1</v>
      </c>
      <c r="G120" s="52">
        <f t="shared" si="54"/>
        <v>1</v>
      </c>
      <c r="H120" s="52">
        <f t="shared" si="54"/>
        <v>1</v>
      </c>
      <c r="I120" s="52">
        <f t="shared" si="54"/>
        <v>1</v>
      </c>
      <c r="J120" s="53">
        <f>SUM(C120:I120)</f>
        <v>7</v>
      </c>
      <c r="K120" s="49">
        <v>7</v>
      </c>
      <c r="L120" s="1" t="s">
        <v>36</v>
      </c>
    </row>
    <row r="121" spans="1:12" ht="13" customHeight="1" x14ac:dyDescent="0.2">
      <c r="A121" s="41"/>
      <c r="B121" s="7" t="s">
        <v>85</v>
      </c>
      <c r="C121" s="52">
        <f t="shared" si="54"/>
        <v>1</v>
      </c>
      <c r="D121" s="52">
        <f t="shared" si="54"/>
        <v>1</v>
      </c>
      <c r="E121" s="52">
        <f t="shared" si="54"/>
        <v>1</v>
      </c>
      <c r="F121" s="52">
        <f t="shared" si="54"/>
        <v>1</v>
      </c>
      <c r="G121" s="52">
        <f t="shared" si="54"/>
        <v>1</v>
      </c>
      <c r="H121" s="52">
        <f t="shared" si="54"/>
        <v>1</v>
      </c>
      <c r="I121" s="52">
        <f t="shared" si="54"/>
        <v>1</v>
      </c>
      <c r="J121" s="53">
        <f t="shared" si="53"/>
        <v>7</v>
      </c>
      <c r="K121" s="49">
        <v>7</v>
      </c>
      <c r="L121" s="1" t="s">
        <v>36</v>
      </c>
    </row>
    <row r="122" spans="1:12" ht="13" customHeight="1" x14ac:dyDescent="0.2">
      <c r="A122" s="41"/>
      <c r="B122" s="8" t="s">
        <v>110</v>
      </c>
      <c r="C122" s="52">
        <f t="shared" si="54"/>
        <v>1</v>
      </c>
      <c r="D122" s="52">
        <f t="shared" si="54"/>
        <v>1</v>
      </c>
      <c r="E122" s="52">
        <f t="shared" si="54"/>
        <v>1</v>
      </c>
      <c r="F122" s="52">
        <f t="shared" si="54"/>
        <v>1</v>
      </c>
      <c r="G122" s="52">
        <f t="shared" si="54"/>
        <v>1</v>
      </c>
      <c r="H122" s="52">
        <f t="shared" si="54"/>
        <v>1</v>
      </c>
      <c r="I122" s="52">
        <f t="shared" si="54"/>
        <v>1</v>
      </c>
      <c r="J122" s="53">
        <f t="shared" si="53"/>
        <v>7</v>
      </c>
      <c r="K122" s="49">
        <v>7</v>
      </c>
      <c r="L122" s="1" t="s">
        <v>38</v>
      </c>
    </row>
    <row r="123" spans="1:12" ht="13" customHeight="1" x14ac:dyDescent="0.2">
      <c r="A123" s="41"/>
      <c r="B123" s="56" t="s">
        <v>86</v>
      </c>
      <c r="C123" s="52">
        <f t="shared" si="54"/>
        <v>0</v>
      </c>
      <c r="D123" s="52">
        <f t="shared" si="54"/>
        <v>0</v>
      </c>
      <c r="E123" s="52">
        <f t="shared" si="54"/>
        <v>0</v>
      </c>
      <c r="F123" s="52">
        <f t="shared" si="54"/>
        <v>0</v>
      </c>
      <c r="G123" s="52">
        <f t="shared" si="54"/>
        <v>0</v>
      </c>
      <c r="H123" s="52">
        <f t="shared" si="54"/>
        <v>0</v>
      </c>
      <c r="I123" s="52">
        <f t="shared" si="54"/>
        <v>0</v>
      </c>
      <c r="J123" s="53">
        <f t="shared" si="53"/>
        <v>0</v>
      </c>
      <c r="K123" s="49">
        <v>19</v>
      </c>
      <c r="L123" s="1" t="s">
        <v>32</v>
      </c>
    </row>
    <row r="124" spans="1:12" ht="13" customHeight="1" x14ac:dyDescent="0.2">
      <c r="A124" s="41"/>
      <c r="B124" s="56" t="s">
        <v>87</v>
      </c>
      <c r="C124" s="52">
        <f t="shared" si="54"/>
        <v>7</v>
      </c>
      <c r="D124" s="52">
        <f t="shared" si="54"/>
        <v>7</v>
      </c>
      <c r="E124" s="52">
        <f t="shared" si="54"/>
        <v>7</v>
      </c>
      <c r="F124" s="52">
        <f t="shared" si="54"/>
        <v>7</v>
      </c>
      <c r="G124" s="52">
        <f t="shared" si="54"/>
        <v>7</v>
      </c>
      <c r="H124" s="52">
        <f t="shared" si="54"/>
        <v>0</v>
      </c>
      <c r="I124" s="52">
        <f t="shared" si="54"/>
        <v>0</v>
      </c>
      <c r="J124" s="53">
        <f t="shared" si="53"/>
        <v>35</v>
      </c>
      <c r="K124" s="49">
        <v>20</v>
      </c>
      <c r="L124" s="1" t="s">
        <v>116</v>
      </c>
    </row>
    <row r="125" spans="1:12" ht="13" customHeight="1" x14ac:dyDescent="0.2">
      <c r="A125" s="41"/>
      <c r="B125" s="57" t="s">
        <v>168</v>
      </c>
      <c r="C125" s="52">
        <f t="shared" si="54"/>
        <v>0</v>
      </c>
      <c r="D125" s="52">
        <f t="shared" si="54"/>
        <v>0</v>
      </c>
      <c r="E125" s="52">
        <f t="shared" si="54"/>
        <v>0</v>
      </c>
      <c r="F125" s="52">
        <f t="shared" si="54"/>
        <v>0</v>
      </c>
      <c r="G125" s="52">
        <f t="shared" si="54"/>
        <v>0</v>
      </c>
      <c r="H125" s="52">
        <f t="shared" si="54"/>
        <v>1</v>
      </c>
      <c r="I125" s="52">
        <f t="shared" si="54"/>
        <v>0</v>
      </c>
      <c r="J125" s="53">
        <f t="shared" si="53"/>
        <v>1</v>
      </c>
      <c r="K125" s="49">
        <v>6</v>
      </c>
      <c r="L125" s="1" t="s">
        <v>125</v>
      </c>
    </row>
    <row r="126" spans="1:12" ht="13" customHeight="1" x14ac:dyDescent="0.2">
      <c r="A126" s="41"/>
      <c r="B126" s="58" t="s">
        <v>89</v>
      </c>
      <c r="C126" s="52">
        <f t="shared" ref="C126:I131" si="55">COUNTIF(C$6:C$103,$B126)</f>
        <v>1</v>
      </c>
      <c r="D126" s="52">
        <f t="shared" si="55"/>
        <v>1</v>
      </c>
      <c r="E126" s="52">
        <f t="shared" si="55"/>
        <v>1</v>
      </c>
      <c r="F126" s="52">
        <f t="shared" si="55"/>
        <v>1</v>
      </c>
      <c r="G126" s="52">
        <f t="shared" si="55"/>
        <v>1</v>
      </c>
      <c r="H126" s="52">
        <f t="shared" si="55"/>
        <v>0</v>
      </c>
      <c r="I126" s="52">
        <f t="shared" si="55"/>
        <v>0</v>
      </c>
      <c r="J126" s="53">
        <f t="shared" si="53"/>
        <v>5</v>
      </c>
      <c r="K126" s="49">
        <v>5</v>
      </c>
      <c r="L126" s="1" t="s">
        <v>37</v>
      </c>
    </row>
    <row r="127" spans="1:12" ht="13" customHeight="1" x14ac:dyDescent="0.2">
      <c r="A127" s="41"/>
      <c r="B127" s="9" t="s">
        <v>90</v>
      </c>
      <c r="C127" s="52">
        <f t="shared" si="55"/>
        <v>1</v>
      </c>
      <c r="D127" s="52">
        <f t="shared" si="55"/>
        <v>1</v>
      </c>
      <c r="E127" s="52">
        <f t="shared" si="55"/>
        <v>1</v>
      </c>
      <c r="F127" s="52">
        <f t="shared" si="55"/>
        <v>1</v>
      </c>
      <c r="G127" s="52">
        <f t="shared" si="55"/>
        <v>1</v>
      </c>
      <c r="H127" s="52">
        <f t="shared" si="55"/>
        <v>1</v>
      </c>
      <c r="I127" s="52">
        <f t="shared" si="55"/>
        <v>1</v>
      </c>
      <c r="J127" s="53">
        <f t="shared" si="53"/>
        <v>7</v>
      </c>
      <c r="K127" s="49">
        <v>7</v>
      </c>
      <c r="L127" s="1" t="s">
        <v>32</v>
      </c>
    </row>
    <row r="128" spans="1:12" ht="13" customHeight="1" x14ac:dyDescent="0.2">
      <c r="A128" s="41"/>
      <c r="B128" s="9" t="s">
        <v>91</v>
      </c>
      <c r="C128" s="52">
        <f t="shared" si="55"/>
        <v>1</v>
      </c>
      <c r="D128" s="52">
        <f t="shared" si="55"/>
        <v>1</v>
      </c>
      <c r="E128" s="52">
        <f t="shared" si="55"/>
        <v>1</v>
      </c>
      <c r="F128" s="52">
        <f t="shared" si="55"/>
        <v>1</v>
      </c>
      <c r="G128" s="52">
        <f t="shared" si="55"/>
        <v>1</v>
      </c>
      <c r="H128" s="52">
        <f t="shared" si="55"/>
        <v>1</v>
      </c>
      <c r="I128" s="52">
        <f t="shared" si="55"/>
        <v>1</v>
      </c>
      <c r="J128" s="53">
        <f t="shared" si="53"/>
        <v>7</v>
      </c>
      <c r="K128" s="49">
        <v>7</v>
      </c>
      <c r="L128" s="1" t="s">
        <v>32</v>
      </c>
    </row>
    <row r="129" spans="1:12" ht="13" customHeight="1" x14ac:dyDescent="0.2">
      <c r="A129" s="41"/>
      <c r="B129" s="9" t="s">
        <v>92</v>
      </c>
      <c r="C129" s="52">
        <f t="shared" si="55"/>
        <v>1</v>
      </c>
      <c r="D129" s="52">
        <f t="shared" si="55"/>
        <v>1</v>
      </c>
      <c r="E129" s="52">
        <f t="shared" si="55"/>
        <v>1</v>
      </c>
      <c r="F129" s="52">
        <f t="shared" si="55"/>
        <v>1</v>
      </c>
      <c r="G129" s="52">
        <f t="shared" si="55"/>
        <v>1</v>
      </c>
      <c r="H129" s="52">
        <f t="shared" si="55"/>
        <v>1</v>
      </c>
      <c r="I129" s="52">
        <f t="shared" si="55"/>
        <v>1</v>
      </c>
      <c r="J129" s="53">
        <f t="shared" si="53"/>
        <v>7</v>
      </c>
      <c r="K129" s="49">
        <v>7</v>
      </c>
      <c r="L129" s="1" t="s">
        <v>96</v>
      </c>
    </row>
    <row r="130" spans="1:12" ht="13" customHeight="1" x14ac:dyDescent="0.2">
      <c r="A130" s="41"/>
      <c r="B130" s="10" t="s">
        <v>31</v>
      </c>
      <c r="C130" s="52">
        <f t="shared" si="55"/>
        <v>1</v>
      </c>
      <c r="D130" s="52">
        <f t="shared" si="55"/>
        <v>1</v>
      </c>
      <c r="E130" s="52">
        <f t="shared" si="55"/>
        <v>1</v>
      </c>
      <c r="F130" s="52">
        <f t="shared" si="55"/>
        <v>1</v>
      </c>
      <c r="G130" s="52">
        <f t="shared" si="55"/>
        <v>1</v>
      </c>
      <c r="H130" s="52">
        <f t="shared" si="55"/>
        <v>1</v>
      </c>
      <c r="I130" s="52">
        <f t="shared" si="55"/>
        <v>1</v>
      </c>
      <c r="J130" s="53">
        <f t="shared" si="53"/>
        <v>7</v>
      </c>
      <c r="K130" s="49">
        <v>7</v>
      </c>
      <c r="L130" s="1" t="s">
        <v>32</v>
      </c>
    </row>
    <row r="131" spans="1:12" ht="13" customHeight="1" x14ac:dyDescent="0.2">
      <c r="A131" s="41"/>
      <c r="B131" s="11" t="s">
        <v>93</v>
      </c>
      <c r="C131" s="52">
        <f t="shared" si="55"/>
        <v>1</v>
      </c>
      <c r="D131" s="52">
        <f t="shared" si="55"/>
        <v>1</v>
      </c>
      <c r="E131" s="52">
        <f t="shared" si="55"/>
        <v>1</v>
      </c>
      <c r="F131" s="52">
        <f t="shared" si="55"/>
        <v>1</v>
      </c>
      <c r="G131" s="52">
        <f t="shared" si="55"/>
        <v>1</v>
      </c>
      <c r="H131" s="52">
        <f t="shared" si="55"/>
        <v>1</v>
      </c>
      <c r="I131" s="52">
        <f t="shared" si="55"/>
        <v>1</v>
      </c>
      <c r="J131" s="53">
        <f t="shared" si="53"/>
        <v>7</v>
      </c>
      <c r="K131" s="49">
        <v>7</v>
      </c>
      <c r="L131" s="1" t="s">
        <v>32</v>
      </c>
    </row>
    <row r="132" spans="1:12" ht="13" customHeight="1" x14ac:dyDescent="0.2">
      <c r="B132" s="19" t="s">
        <v>137</v>
      </c>
      <c r="C132" s="52">
        <f t="shared" ref="C132:I134" si="56">COUNTIF(C$6:C$111,Actions)</f>
        <v>1</v>
      </c>
      <c r="D132" s="52">
        <f t="shared" si="56"/>
        <v>1</v>
      </c>
      <c r="E132" s="52">
        <f t="shared" si="56"/>
        <v>1</v>
      </c>
      <c r="F132" s="52">
        <f t="shared" si="56"/>
        <v>1</v>
      </c>
      <c r="G132" s="52">
        <f t="shared" si="56"/>
        <v>1</v>
      </c>
      <c r="H132" s="52">
        <f t="shared" si="56"/>
        <v>1</v>
      </c>
      <c r="I132" s="52">
        <f t="shared" si="56"/>
        <v>1</v>
      </c>
      <c r="J132" s="53">
        <f t="shared" si="53"/>
        <v>7</v>
      </c>
      <c r="K132" s="59">
        <v>7</v>
      </c>
      <c r="L132" s="2" t="s">
        <v>32</v>
      </c>
    </row>
    <row r="133" spans="1:12" ht="13" customHeight="1" x14ac:dyDescent="0.2">
      <c r="B133" s="18" t="s">
        <v>139</v>
      </c>
      <c r="C133" s="52">
        <f t="shared" si="56"/>
        <v>1</v>
      </c>
      <c r="D133" s="52">
        <f t="shared" si="56"/>
        <v>1</v>
      </c>
      <c r="E133" s="52">
        <f t="shared" si="56"/>
        <v>1</v>
      </c>
      <c r="F133" s="52">
        <f t="shared" si="56"/>
        <v>1</v>
      </c>
      <c r="G133" s="52">
        <f t="shared" si="56"/>
        <v>1</v>
      </c>
      <c r="H133" s="52">
        <f t="shared" si="56"/>
        <v>1</v>
      </c>
      <c r="I133" s="52">
        <f t="shared" si="56"/>
        <v>1</v>
      </c>
      <c r="J133" s="53">
        <f t="shared" si="53"/>
        <v>7</v>
      </c>
      <c r="K133" s="60">
        <v>7</v>
      </c>
      <c r="L133" s="2" t="s">
        <v>140</v>
      </c>
    </row>
    <row r="134" spans="1:12" ht="13" customHeight="1" x14ac:dyDescent="0.2">
      <c r="B134" s="61" t="s">
        <v>153</v>
      </c>
      <c r="C134" s="52">
        <f t="shared" si="56"/>
        <v>1</v>
      </c>
      <c r="D134" s="52">
        <f t="shared" si="56"/>
        <v>1</v>
      </c>
      <c r="E134" s="52">
        <f t="shared" si="56"/>
        <v>1</v>
      </c>
      <c r="F134" s="52">
        <f t="shared" si="56"/>
        <v>1</v>
      </c>
      <c r="G134" s="52">
        <f t="shared" si="56"/>
        <v>1</v>
      </c>
      <c r="H134" s="52">
        <f t="shared" si="56"/>
        <v>1</v>
      </c>
      <c r="I134" s="52">
        <f t="shared" si="56"/>
        <v>1</v>
      </c>
      <c r="J134" s="53">
        <f t="shared" si="53"/>
        <v>7</v>
      </c>
      <c r="K134" s="62">
        <v>7</v>
      </c>
      <c r="L134" s="2" t="s">
        <v>141</v>
      </c>
    </row>
    <row r="135" spans="1:12" ht="13" customHeight="1" x14ac:dyDescent="0.2">
      <c r="A135" s="41"/>
      <c r="B135" s="12" t="s">
        <v>151</v>
      </c>
      <c r="C135" s="52">
        <f t="shared" ref="C135:I142" si="57">COUNTIF(C$6:C$103,$B135)</f>
        <v>0</v>
      </c>
      <c r="D135" s="52">
        <f t="shared" si="57"/>
        <v>0</v>
      </c>
      <c r="E135" s="52">
        <f t="shared" si="57"/>
        <v>0</v>
      </c>
      <c r="F135" s="52">
        <f t="shared" si="57"/>
        <v>0</v>
      </c>
      <c r="G135" s="52">
        <f t="shared" si="57"/>
        <v>0</v>
      </c>
      <c r="H135" s="52">
        <f t="shared" si="57"/>
        <v>1</v>
      </c>
      <c r="I135" s="52">
        <f t="shared" si="57"/>
        <v>1</v>
      </c>
      <c r="J135" s="53">
        <f t="shared" si="53"/>
        <v>2</v>
      </c>
      <c r="K135" s="59">
        <v>2</v>
      </c>
      <c r="L135" s="2" t="s">
        <v>33</v>
      </c>
    </row>
    <row r="136" spans="1:12" ht="13" customHeight="1" x14ac:dyDescent="0.2">
      <c r="A136" s="41"/>
      <c r="B136" s="12" t="s">
        <v>94</v>
      </c>
      <c r="C136" s="52">
        <f t="shared" si="57"/>
        <v>0</v>
      </c>
      <c r="D136" s="52">
        <f t="shared" si="57"/>
        <v>0</v>
      </c>
      <c r="E136" s="52">
        <f t="shared" si="57"/>
        <v>0</v>
      </c>
      <c r="F136" s="52">
        <f t="shared" si="57"/>
        <v>0</v>
      </c>
      <c r="G136" s="52">
        <f t="shared" si="57"/>
        <v>0</v>
      </c>
      <c r="H136" s="52">
        <f t="shared" si="57"/>
        <v>0</v>
      </c>
      <c r="I136" s="52">
        <f t="shared" si="57"/>
        <v>0</v>
      </c>
      <c r="J136" s="53">
        <f t="shared" si="53"/>
        <v>0</v>
      </c>
      <c r="K136" s="60">
        <v>1</v>
      </c>
      <c r="L136" s="2" t="s">
        <v>33</v>
      </c>
    </row>
    <row r="137" spans="1:12" ht="13" customHeight="1" x14ac:dyDescent="0.2">
      <c r="A137" s="41"/>
      <c r="B137" s="63" t="s">
        <v>152</v>
      </c>
      <c r="C137" s="52">
        <f t="shared" si="57"/>
        <v>1</v>
      </c>
      <c r="D137" s="52">
        <f t="shared" si="57"/>
        <v>1</v>
      </c>
      <c r="E137" s="52">
        <f t="shared" si="57"/>
        <v>1</v>
      </c>
      <c r="F137" s="52">
        <f t="shared" si="57"/>
        <v>1</v>
      </c>
      <c r="G137" s="52">
        <f t="shared" si="57"/>
        <v>1</v>
      </c>
      <c r="H137" s="52">
        <f t="shared" si="57"/>
        <v>0</v>
      </c>
      <c r="I137" s="52">
        <f t="shared" si="57"/>
        <v>0</v>
      </c>
      <c r="J137" s="53">
        <f t="shared" si="53"/>
        <v>5</v>
      </c>
      <c r="K137" s="62">
        <v>5</v>
      </c>
      <c r="L137" s="2" t="s">
        <v>33</v>
      </c>
    </row>
    <row r="138" spans="1:12" ht="13" customHeight="1" x14ac:dyDescent="0.2">
      <c r="A138" s="41"/>
      <c r="B138" s="64" t="s">
        <v>40</v>
      </c>
      <c r="C138" s="52">
        <f t="shared" si="57"/>
        <v>0</v>
      </c>
      <c r="D138" s="52">
        <f t="shared" si="57"/>
        <v>0</v>
      </c>
      <c r="E138" s="52">
        <f t="shared" si="57"/>
        <v>0</v>
      </c>
      <c r="F138" s="52">
        <f t="shared" si="57"/>
        <v>1</v>
      </c>
      <c r="G138" s="52">
        <f t="shared" si="57"/>
        <v>2</v>
      </c>
      <c r="H138" s="52">
        <f t="shared" si="57"/>
        <v>0</v>
      </c>
      <c r="I138" s="52">
        <f t="shared" si="57"/>
        <v>0</v>
      </c>
      <c r="J138" s="53">
        <f t="shared" si="53"/>
        <v>3</v>
      </c>
      <c r="K138" s="65">
        <v>7</v>
      </c>
      <c r="L138" s="13"/>
    </row>
    <row r="139" spans="1:12" ht="13" customHeight="1" x14ac:dyDescent="0.2">
      <c r="A139" s="41"/>
      <c r="B139" s="64" t="s">
        <v>41</v>
      </c>
      <c r="C139" s="52">
        <f t="shared" si="57"/>
        <v>0</v>
      </c>
      <c r="D139" s="52">
        <f t="shared" si="57"/>
        <v>0</v>
      </c>
      <c r="E139" s="52">
        <f t="shared" si="57"/>
        <v>0</v>
      </c>
      <c r="F139" s="52">
        <f t="shared" si="57"/>
        <v>0</v>
      </c>
      <c r="G139" s="52">
        <f t="shared" si="57"/>
        <v>0</v>
      </c>
      <c r="H139" s="52">
        <f t="shared" si="57"/>
        <v>0</v>
      </c>
      <c r="I139" s="52">
        <f t="shared" si="57"/>
        <v>0</v>
      </c>
      <c r="J139" s="53">
        <f t="shared" si="53"/>
        <v>0</v>
      </c>
      <c r="K139" s="65">
        <v>0</v>
      </c>
      <c r="L139" s="13"/>
    </row>
    <row r="140" spans="1:12" ht="13" customHeight="1" x14ac:dyDescent="0.2">
      <c r="A140" s="41"/>
      <c r="B140" s="66" t="s">
        <v>95</v>
      </c>
      <c r="C140" s="52">
        <f t="shared" si="57"/>
        <v>2</v>
      </c>
      <c r="D140" s="52">
        <f t="shared" si="57"/>
        <v>2</v>
      </c>
      <c r="E140" s="52">
        <f t="shared" si="57"/>
        <v>2</v>
      </c>
      <c r="F140" s="52">
        <f t="shared" si="57"/>
        <v>1</v>
      </c>
      <c r="G140" s="52">
        <f t="shared" si="57"/>
        <v>1</v>
      </c>
      <c r="H140" s="52">
        <f t="shared" si="57"/>
        <v>16</v>
      </c>
      <c r="I140" s="52">
        <f t="shared" si="57"/>
        <v>20</v>
      </c>
      <c r="J140" s="53">
        <f t="shared" si="53"/>
        <v>44</v>
      </c>
      <c r="K140" s="65">
        <v>25</v>
      </c>
      <c r="L140" s="13"/>
    </row>
    <row r="141" spans="1:12" ht="13" customHeight="1" x14ac:dyDescent="0.2">
      <c r="A141" s="41"/>
      <c r="B141" s="67" t="s">
        <v>99</v>
      </c>
      <c r="C141" s="52">
        <f t="shared" si="57"/>
        <v>0</v>
      </c>
      <c r="D141" s="52">
        <f t="shared" si="57"/>
        <v>0</v>
      </c>
      <c r="E141" s="52">
        <f t="shared" si="57"/>
        <v>0</v>
      </c>
      <c r="F141" s="52">
        <f t="shared" si="57"/>
        <v>0</v>
      </c>
      <c r="G141" s="52">
        <f t="shared" si="57"/>
        <v>0</v>
      </c>
      <c r="H141" s="52">
        <f t="shared" si="57"/>
        <v>0</v>
      </c>
      <c r="I141" s="52">
        <f t="shared" si="57"/>
        <v>0</v>
      </c>
      <c r="J141" s="53">
        <f t="shared" si="53"/>
        <v>0</v>
      </c>
      <c r="K141" s="65">
        <v>0</v>
      </c>
      <c r="L141" s="13"/>
    </row>
    <row r="142" spans="1:12" ht="13" customHeight="1" x14ac:dyDescent="0.2">
      <c r="A142" s="41"/>
      <c r="B142" s="67" t="s">
        <v>100</v>
      </c>
      <c r="C142" s="52">
        <f t="shared" si="57"/>
        <v>0</v>
      </c>
      <c r="D142" s="52">
        <f t="shared" si="57"/>
        <v>0</v>
      </c>
      <c r="E142" s="52">
        <f t="shared" si="57"/>
        <v>0</v>
      </c>
      <c r="F142" s="52">
        <f t="shared" si="57"/>
        <v>0</v>
      </c>
      <c r="G142" s="52">
        <f t="shared" si="57"/>
        <v>0</v>
      </c>
      <c r="H142" s="52">
        <f t="shared" si="57"/>
        <v>0</v>
      </c>
      <c r="I142" s="52">
        <f t="shared" si="57"/>
        <v>0</v>
      </c>
      <c r="J142" s="53">
        <f t="shared" si="53"/>
        <v>0</v>
      </c>
      <c r="K142" s="65">
        <v>0</v>
      </c>
      <c r="L142" s="13" t="s">
        <v>101</v>
      </c>
    </row>
    <row r="143" spans="1:12" ht="13" customHeight="1" x14ac:dyDescent="0.2">
      <c r="A143" s="41"/>
      <c r="B143" s="68"/>
      <c r="C143" s="69">
        <f t="shared" ref="C143:I143" si="58">SUM(C106:C137)-SUM(C123:C126)-C106</f>
        <v>27</v>
      </c>
      <c r="D143" s="69">
        <f t="shared" si="58"/>
        <v>27</v>
      </c>
      <c r="E143" s="69">
        <f t="shared" si="58"/>
        <v>26</v>
      </c>
      <c r="F143" s="69">
        <f t="shared" si="58"/>
        <v>26</v>
      </c>
      <c r="G143" s="69">
        <f t="shared" si="58"/>
        <v>27</v>
      </c>
      <c r="H143" s="69">
        <f t="shared" si="58"/>
        <v>25</v>
      </c>
      <c r="I143" s="69">
        <f t="shared" si="58"/>
        <v>24</v>
      </c>
      <c r="J143" s="69">
        <f>SUM(J106:J137)</f>
        <v>223</v>
      </c>
    </row>
  </sheetData>
  <mergeCells count="100">
    <mergeCell ref="B1:B2"/>
    <mergeCell ref="C4:I4"/>
    <mergeCell ref="B6:B7"/>
    <mergeCell ref="J6:J7"/>
    <mergeCell ref="B8:B9"/>
    <mergeCell ref="J8:J9"/>
    <mergeCell ref="B16:B17"/>
    <mergeCell ref="J16:J17"/>
    <mergeCell ref="B18:B19"/>
    <mergeCell ref="J18:J19"/>
    <mergeCell ref="B20:B21"/>
    <mergeCell ref="J20:J21"/>
    <mergeCell ref="B10:B11"/>
    <mergeCell ref="J10:J11"/>
    <mergeCell ref="B12:B13"/>
    <mergeCell ref="J12:J13"/>
    <mergeCell ref="B14:B15"/>
    <mergeCell ref="J14:J15"/>
    <mergeCell ref="B28:B29"/>
    <mergeCell ref="J28:J29"/>
    <mergeCell ref="B30:B31"/>
    <mergeCell ref="J30:J31"/>
    <mergeCell ref="B32:B33"/>
    <mergeCell ref="J32:J33"/>
    <mergeCell ref="B22:B23"/>
    <mergeCell ref="J22:J23"/>
    <mergeCell ref="B24:B25"/>
    <mergeCell ref="J24:J25"/>
    <mergeCell ref="B26:B27"/>
    <mergeCell ref="J26:J27"/>
    <mergeCell ref="B40:B41"/>
    <mergeCell ref="J40:J41"/>
    <mergeCell ref="B42:B43"/>
    <mergeCell ref="J42:J43"/>
    <mergeCell ref="B44:B45"/>
    <mergeCell ref="J44:J45"/>
    <mergeCell ref="B34:B35"/>
    <mergeCell ref="J34:J35"/>
    <mergeCell ref="B36:B37"/>
    <mergeCell ref="J36:J37"/>
    <mergeCell ref="B38:B39"/>
    <mergeCell ref="J38:J39"/>
    <mergeCell ref="B76:B77"/>
    <mergeCell ref="J76:J77"/>
    <mergeCell ref="B78:B79"/>
    <mergeCell ref="J78:J79"/>
    <mergeCell ref="B72:B73"/>
    <mergeCell ref="J72:J73"/>
    <mergeCell ref="B74:B75"/>
    <mergeCell ref="J74:J75"/>
    <mergeCell ref="B68:B69"/>
    <mergeCell ref="J68:J69"/>
    <mergeCell ref="B70:B71"/>
    <mergeCell ref="J70:J71"/>
    <mergeCell ref="B64:B65"/>
    <mergeCell ref="J64:J65"/>
    <mergeCell ref="B66:B67"/>
    <mergeCell ref="J66:J67"/>
    <mergeCell ref="B58:B59"/>
    <mergeCell ref="J58:J59"/>
    <mergeCell ref="B60:B61"/>
    <mergeCell ref="J60:J61"/>
    <mergeCell ref="B62:B63"/>
    <mergeCell ref="J62:J63"/>
    <mergeCell ref="B52:B53"/>
    <mergeCell ref="J52:J53"/>
    <mergeCell ref="B54:B55"/>
    <mergeCell ref="J54:J55"/>
    <mergeCell ref="B56:B57"/>
    <mergeCell ref="J56:J57"/>
    <mergeCell ref="B46:B47"/>
    <mergeCell ref="J46:J47"/>
    <mergeCell ref="B48:B49"/>
    <mergeCell ref="J48:J49"/>
    <mergeCell ref="B50:B51"/>
    <mergeCell ref="J50:J51"/>
    <mergeCell ref="B86:B87"/>
    <mergeCell ref="J86:J87"/>
    <mergeCell ref="B88:B89"/>
    <mergeCell ref="J88:J89"/>
    <mergeCell ref="B80:B81"/>
    <mergeCell ref="J80:J81"/>
    <mergeCell ref="B82:B83"/>
    <mergeCell ref="J82:J83"/>
    <mergeCell ref="B84:B85"/>
    <mergeCell ref="J84:J85"/>
    <mergeCell ref="B102:B103"/>
    <mergeCell ref="J102:J103"/>
    <mergeCell ref="B96:B97"/>
    <mergeCell ref="J96:J97"/>
    <mergeCell ref="B98:B99"/>
    <mergeCell ref="J98:J99"/>
    <mergeCell ref="B100:B101"/>
    <mergeCell ref="J100:J101"/>
    <mergeCell ref="B90:B91"/>
    <mergeCell ref="J90:J91"/>
    <mergeCell ref="B92:B93"/>
    <mergeCell ref="J92:J93"/>
    <mergeCell ref="B94:B95"/>
    <mergeCell ref="J94:J95"/>
  </mergeCells>
  <conditionalFormatting sqref="C143:I143">
    <cfRule type="cellIs" dxfId="2187" priority="1906" operator="lessThan">
      <formula>22</formula>
    </cfRule>
  </conditionalFormatting>
  <conditionalFormatting sqref="J113:J114 J116:J119 J121:J131 J106:J111">
    <cfRule type="cellIs" dxfId="2186" priority="1905" operator="notEqual">
      <formula>$K106</formula>
    </cfRule>
  </conditionalFormatting>
  <conditionalFormatting sqref="J135">
    <cfRule type="expression" dxfId="2185" priority="1904">
      <formula>$J$135+$J$136&lt;$K$135</formula>
    </cfRule>
  </conditionalFormatting>
  <conditionalFormatting sqref="J136">
    <cfRule type="expression" dxfId="2184" priority="1903">
      <formula>$J$135+$J$136&lt;$K$135</formula>
    </cfRule>
  </conditionalFormatting>
  <conditionalFormatting sqref="J138:J142">
    <cfRule type="cellIs" dxfId="2183" priority="1902" operator="notEqual">
      <formula>$K138</formula>
    </cfRule>
  </conditionalFormatting>
  <conditionalFormatting sqref="C89:I89">
    <cfRule type="expression" dxfId="2182" priority="1901">
      <formula>C89=$B$112</formula>
    </cfRule>
  </conditionalFormatting>
  <conditionalFormatting sqref="J112">
    <cfRule type="cellIs" dxfId="2181" priority="1900" operator="notEqual">
      <formula>$K112</formula>
    </cfRule>
  </conditionalFormatting>
  <conditionalFormatting sqref="C75:I75">
    <cfRule type="expression" dxfId="2180" priority="1898">
      <formula>C75=$B$112</formula>
    </cfRule>
  </conditionalFormatting>
  <conditionalFormatting sqref="C75:I75">
    <cfRule type="expression" dxfId="2179" priority="1899">
      <formula>C75=$B$107</formula>
    </cfRule>
  </conditionalFormatting>
  <conditionalFormatting sqref="J115">
    <cfRule type="cellIs" dxfId="2178" priority="1897" operator="notEqual">
      <formula>$K115</formula>
    </cfRule>
  </conditionalFormatting>
  <conditionalFormatting sqref="J120">
    <cfRule type="cellIs" dxfId="2177" priority="1896" operator="notEqual">
      <formula>$K120</formula>
    </cfRule>
  </conditionalFormatting>
  <conditionalFormatting sqref="C36">
    <cfRule type="expression" dxfId="2176" priority="1892">
      <formula>C36=$B$112</formula>
    </cfRule>
  </conditionalFormatting>
  <conditionalFormatting sqref="C36">
    <cfRule type="expression" dxfId="2175" priority="1893">
      <formula>C36=$B$107</formula>
    </cfRule>
  </conditionalFormatting>
  <conditionalFormatting sqref="C102:I103 F92 H48:I48 C58:G58 C89:I90 C51:I57 C66:I69 C70:F70 C84:I87 C94:I97 C71:I81 H64:I64 C6:I37 C50:G50 I50 I40 C40:G40 C41:I43 C59:I63 C39:I39 C38:G38 C45:I47 C44:F44">
    <cfRule type="expression" dxfId="2174" priority="1908">
      <formula>C6=$B$126</formula>
    </cfRule>
    <cfRule type="expression" dxfId="2173" priority="1909">
      <formula>C6=$B$124</formula>
    </cfRule>
    <cfRule type="expression" dxfId="2172" priority="1910">
      <formula>C6=$B$120</formula>
    </cfRule>
    <cfRule type="expression" dxfId="2171" priority="1911">
      <formula>C6=$B$115</formula>
    </cfRule>
    <cfRule type="expression" dxfId="2170" priority="1912">
      <formula>C6=$B$112</formula>
    </cfRule>
    <cfRule type="expression" dxfId="2169" priority="1913">
      <formula>C6=$B$109</formula>
    </cfRule>
    <cfRule type="expression" dxfId="2168" priority="1914">
      <formula>C6=$B$112</formula>
    </cfRule>
    <cfRule type="expression" dxfId="2167" priority="1915">
      <formula>C6=$B$142</formula>
    </cfRule>
    <cfRule type="expression" dxfId="2166" priority="1916">
      <formula>C6=$B$114</formula>
    </cfRule>
    <cfRule type="expression" dxfId="2165" priority="1917">
      <formula>C6=$B$142</formula>
    </cfRule>
    <cfRule type="expression" dxfId="2164" priority="1918">
      <formula>C6=$B$141</formula>
    </cfRule>
    <cfRule type="expression" dxfId="2163" priority="1919">
      <formula>C6=$B$140</formula>
    </cfRule>
    <cfRule type="expression" dxfId="2162" priority="1920">
      <formula>C6=$B$139</formula>
    </cfRule>
    <cfRule type="expression" dxfId="2161" priority="1921">
      <formula>C6=$B$138</formula>
    </cfRule>
    <cfRule type="expression" dxfId="2160" priority="1922">
      <formula>C6=$B$137</formula>
    </cfRule>
    <cfRule type="expression" dxfId="2159" priority="1923">
      <formula>C6=$B$136</formula>
    </cfRule>
    <cfRule type="expression" dxfId="2158" priority="1924">
      <formula>C6=$B$135</formula>
    </cfRule>
    <cfRule type="expression" dxfId="2157" priority="1925">
      <formula>C6=$B$131</formula>
    </cfRule>
    <cfRule type="expression" dxfId="2156" priority="1926">
      <formula>C6=$B$130</formula>
    </cfRule>
    <cfRule type="expression" dxfId="2155" priority="1927">
      <formula>C6=$B$129</formula>
    </cfRule>
    <cfRule type="expression" dxfId="2154" priority="1928">
      <formula>C6=$B$128</formula>
    </cfRule>
    <cfRule type="expression" dxfId="2153" priority="1929">
      <formula>C6=$B$127</formula>
    </cfRule>
    <cfRule type="expression" dxfId="2152" priority="1930" stopIfTrue="1">
      <formula>C6=$B$126</formula>
    </cfRule>
    <cfRule type="expression" dxfId="2151" priority="1931">
      <formula>C6=$B$125</formula>
    </cfRule>
    <cfRule type="expression" dxfId="2150" priority="1932" stopIfTrue="1">
      <formula>C6=$B$124</formula>
    </cfRule>
    <cfRule type="expression" dxfId="2149" priority="1933">
      <formula>C6=$B$123</formula>
    </cfRule>
    <cfRule type="expression" dxfId="2148" priority="1934">
      <formula>C6=$B$122</formula>
    </cfRule>
    <cfRule type="expression" dxfId="2147" priority="1935">
      <formula>C6=$B$121</formula>
    </cfRule>
    <cfRule type="expression" dxfId="2146" priority="1936" stopIfTrue="1">
      <formula>C6=$B$119</formula>
    </cfRule>
    <cfRule type="expression" dxfId="2145" priority="1937" stopIfTrue="1">
      <formula>C6=$B$118</formula>
    </cfRule>
    <cfRule type="expression" dxfId="2144" priority="1938" stopIfTrue="1">
      <formula>C6=$B$117</formula>
    </cfRule>
    <cfRule type="expression" dxfId="2143" priority="1939">
      <formula>C6=$B$116</formula>
    </cfRule>
    <cfRule type="expression" dxfId="2142" priority="1940">
      <formula>C6=$B$113</formula>
    </cfRule>
    <cfRule type="expression" dxfId="2141" priority="1941" stopIfTrue="1">
      <formula>C6=$B$111</formula>
    </cfRule>
    <cfRule type="expression" dxfId="2140" priority="1942">
      <formula>C6=$B$110</formula>
    </cfRule>
    <cfRule type="expression" dxfId="2139" priority="1943">
      <formula>C6=$B$109</formula>
    </cfRule>
    <cfRule type="expression" dxfId="2138" priority="1944">
      <formula>C6=$B$108</formula>
    </cfRule>
    <cfRule type="expression" dxfId="2137" priority="1945">
      <formula>C6=$B$106</formula>
    </cfRule>
    <cfRule type="expression" dxfId="2136" priority="1946" stopIfTrue="1">
      <formula>C6=$B$107</formula>
    </cfRule>
    <cfRule type="expression" dxfId="2135" priority="1947" stopIfTrue="1">
      <formula>C$5=TODAY()</formula>
    </cfRule>
  </conditionalFormatting>
  <conditionalFormatting sqref="J137">
    <cfRule type="cellIs" dxfId="2134" priority="1891" operator="notEqual">
      <formula>$K137</formula>
    </cfRule>
  </conditionalFormatting>
  <conditionalFormatting sqref="C98:I101 G90:I90 C91:I91 H86:I86 H30:I30 H42:I42 C38:D38 H58:I58 C48:I49 H94:I94 H68:I68 H34:I34 C83:I83 H22:I22 G70 I70 C93:I93 C92:G92 I92 C64:I65">
    <cfRule type="expression" dxfId="2133" priority="1850">
      <formula>C22=$B$141</formula>
    </cfRule>
    <cfRule type="expression" dxfId="2132" priority="1851">
      <formula>C22=$B$126</formula>
    </cfRule>
    <cfRule type="expression" dxfId="2131" priority="1852">
      <formula>C22=$B$124</formula>
    </cfRule>
    <cfRule type="expression" dxfId="2130" priority="1853">
      <formula>C22=$B$120</formula>
    </cfRule>
    <cfRule type="expression" dxfId="2129" priority="1854">
      <formula>C22=$B$115</formula>
    </cfRule>
    <cfRule type="expression" dxfId="2128" priority="1855">
      <formula>C22=$B$112</formula>
    </cfRule>
    <cfRule type="expression" dxfId="2127" priority="1856">
      <formula>C22=$B$109</formula>
    </cfRule>
    <cfRule type="expression" dxfId="2126" priority="1857">
      <formula>C22=$B$112</formula>
    </cfRule>
    <cfRule type="expression" dxfId="2125" priority="1858">
      <formula>C22=$B$142</formula>
    </cfRule>
    <cfRule type="expression" dxfId="2124" priority="1859">
      <formula>C22=$B$114</formula>
    </cfRule>
    <cfRule type="expression" dxfId="2123" priority="1860">
      <formula>C22=$B$142</formula>
    </cfRule>
    <cfRule type="expression" dxfId="2122" priority="1861">
      <formula>C22=$B$141</formula>
    </cfRule>
    <cfRule type="expression" dxfId="2121" priority="1862">
      <formula>C22=$B$140</formula>
    </cfRule>
    <cfRule type="expression" dxfId="2120" priority="1863">
      <formula>C22=$B$139</formula>
    </cfRule>
    <cfRule type="expression" dxfId="2119" priority="1864">
      <formula>C22=$B$138</formula>
    </cfRule>
    <cfRule type="expression" dxfId="2118" priority="1865">
      <formula>C22=$B$137</formula>
    </cfRule>
    <cfRule type="expression" dxfId="2117" priority="1866">
      <formula>C22=$B$136</formula>
    </cfRule>
    <cfRule type="expression" dxfId="2116" priority="1867">
      <formula>C22=$B$135</formula>
    </cfRule>
    <cfRule type="expression" dxfId="2115" priority="1868">
      <formula>C22=$B$131</formula>
    </cfRule>
    <cfRule type="expression" dxfId="2114" priority="1869">
      <formula>C22=$B$130</formula>
    </cfRule>
    <cfRule type="expression" dxfId="2113" priority="1870">
      <formula>C22=$B$129</formula>
    </cfRule>
    <cfRule type="expression" dxfId="2112" priority="1871">
      <formula>C22=$B$128</formula>
    </cfRule>
    <cfRule type="expression" dxfId="2111" priority="1872">
      <formula>C22=$B$127</formula>
    </cfRule>
    <cfRule type="expression" dxfId="2110" priority="1873" stopIfTrue="1">
      <formula>C22=$B$126</formula>
    </cfRule>
    <cfRule type="expression" dxfId="2109" priority="1874">
      <formula>C22=$B$125</formula>
    </cfRule>
    <cfRule type="expression" dxfId="2108" priority="1875" stopIfTrue="1">
      <formula>C22=$B$124</formula>
    </cfRule>
    <cfRule type="expression" dxfId="2107" priority="1876">
      <formula>C22=$B$123</formula>
    </cfRule>
    <cfRule type="expression" dxfId="2106" priority="1877">
      <formula>C22=$B$122</formula>
    </cfRule>
    <cfRule type="expression" dxfId="2105" priority="1878">
      <formula>C22=$B$121</formula>
    </cfRule>
    <cfRule type="expression" dxfId="2104" priority="1879" stopIfTrue="1">
      <formula>C22=$B$119</formula>
    </cfRule>
    <cfRule type="expression" dxfId="2103" priority="1880" stopIfTrue="1">
      <formula>C22=$B$118</formula>
    </cfRule>
    <cfRule type="expression" dxfId="2102" priority="1881" stopIfTrue="1">
      <formula>C22=$B$117</formula>
    </cfRule>
    <cfRule type="expression" dxfId="2101" priority="1882">
      <formula>C22=$B$116</formula>
    </cfRule>
    <cfRule type="expression" dxfId="2100" priority="1883">
      <formula>C22=$B$113</formula>
    </cfRule>
    <cfRule type="expression" dxfId="2099" priority="1884" stopIfTrue="1">
      <formula>C22=$B$111</formula>
    </cfRule>
    <cfRule type="expression" dxfId="2098" priority="1885">
      <formula>C22=$B$110</formula>
    </cfRule>
    <cfRule type="expression" dxfId="2097" priority="1886">
      <formula>C22=$B$109</formula>
    </cfRule>
    <cfRule type="expression" dxfId="2096" priority="1887">
      <formula>C22=$B$108</formula>
    </cfRule>
    <cfRule type="expression" dxfId="2095" priority="1888">
      <formula>C22=$B$106</formula>
    </cfRule>
    <cfRule type="expression" dxfId="2094" priority="1889" stopIfTrue="1">
      <formula>C22=$B$107</formula>
    </cfRule>
    <cfRule type="expression" dxfId="2093" priority="1890" stopIfTrue="1">
      <formula>C$5=TODAY()</formula>
    </cfRule>
  </conditionalFormatting>
  <conditionalFormatting sqref="H48">
    <cfRule type="expression" dxfId="2092" priority="1848">
      <formula>H48=$B$112</formula>
    </cfRule>
  </conditionalFormatting>
  <conditionalFormatting sqref="H48">
    <cfRule type="expression" dxfId="2091" priority="1849">
      <formula>H48=$B$107</formula>
    </cfRule>
  </conditionalFormatting>
  <conditionalFormatting sqref="C74 C102:I103 C44:E44 C38:D38 F92 C89:I89 C71:I73 C51:I57 C66:I69 E74:I74 C75:I81 C84:I87 C94:I97 C6:I37 C50:G50 I50 C40 C59:I63">
    <cfRule type="expression" dxfId="2090" priority="1907">
      <formula>C6=$B$141</formula>
    </cfRule>
  </conditionalFormatting>
  <conditionalFormatting sqref="G90:I90 C89:I89 C47:I49 C83:I87 C93:I101 C92:G92 I92 C71:I81 C6:I37 C51:I57 C50:G50 I50 C41:I43 I40 C40:G40 D46:I46 C59:I69 C39:I39 C38:G38 C45:I45 C44:F44">
    <cfRule type="expression" dxfId="2089" priority="1841">
      <formula>C6=$B$133</formula>
    </cfRule>
    <cfRule type="expression" dxfId="2088" priority="1842">
      <formula>C6=$B$134</formula>
    </cfRule>
    <cfRule type="expression" dxfId="2087" priority="1843">
      <formula>C6=$B$132</formula>
    </cfRule>
  </conditionalFormatting>
  <conditionalFormatting sqref="H90">
    <cfRule type="expression" dxfId="2086" priority="1839">
      <formula>H90=$B$112</formula>
    </cfRule>
  </conditionalFormatting>
  <conditionalFormatting sqref="H90">
    <cfRule type="expression" dxfId="2085" priority="1840">
      <formula>H90=$B$107</formula>
    </cfRule>
  </conditionalFormatting>
  <conditionalFormatting sqref="C91:I91">
    <cfRule type="expression" dxfId="2084" priority="1836">
      <formula>C91=$B$133</formula>
    </cfRule>
    <cfRule type="expression" dxfId="2083" priority="1837">
      <formula>C91=$B$134</formula>
    </cfRule>
    <cfRule type="expression" dxfId="2082" priority="1838">
      <formula>C91=$B$132</formula>
    </cfRule>
  </conditionalFormatting>
  <conditionalFormatting sqref="C90:I90">
    <cfRule type="expression" dxfId="2081" priority="1835">
      <formula>C90=$B$141</formula>
    </cfRule>
  </conditionalFormatting>
  <conditionalFormatting sqref="C90:I90">
    <cfRule type="expression" dxfId="2080" priority="1832">
      <formula>C90=$B$133</formula>
    </cfRule>
    <cfRule type="expression" dxfId="2079" priority="1833">
      <formula>C90=$B$134</formula>
    </cfRule>
    <cfRule type="expression" dxfId="2078" priority="1834">
      <formula>C90=$B$132</formula>
    </cfRule>
  </conditionalFormatting>
  <conditionalFormatting sqref="J134">
    <cfRule type="cellIs" dxfId="2077" priority="1831" operator="notEqual">
      <formula>$K134</formula>
    </cfRule>
  </conditionalFormatting>
  <conditionalFormatting sqref="H58:I58">
    <cfRule type="expression" dxfId="2076" priority="1828">
      <formula>H58=$B$133</formula>
    </cfRule>
    <cfRule type="expression" dxfId="2075" priority="1829">
      <formula>H58=$B$134</formula>
    </cfRule>
    <cfRule type="expression" dxfId="2074" priority="1830">
      <formula>H58=$B$132</formula>
    </cfRule>
  </conditionalFormatting>
  <conditionalFormatting sqref="H58">
    <cfRule type="expression" dxfId="2073" priority="1826">
      <formula>H58=$B$112</formula>
    </cfRule>
  </conditionalFormatting>
  <conditionalFormatting sqref="H58">
    <cfRule type="expression" dxfId="2072" priority="1827">
      <formula>H58=$B$107</formula>
    </cfRule>
  </conditionalFormatting>
  <conditionalFormatting sqref="C58:F58">
    <cfRule type="expression" dxfId="2071" priority="1825">
      <formula>C58=$B$141</formula>
    </cfRule>
  </conditionalFormatting>
  <conditionalFormatting sqref="C58:F58">
    <cfRule type="expression" dxfId="2070" priority="1822">
      <formula>C58=$B$133</formula>
    </cfRule>
    <cfRule type="expression" dxfId="2069" priority="1823">
      <formula>C58=$B$134</formula>
    </cfRule>
    <cfRule type="expression" dxfId="2068" priority="1824">
      <formula>C58=$B$132</formula>
    </cfRule>
  </conditionalFormatting>
  <conditionalFormatting sqref="J132">
    <cfRule type="cellIs" dxfId="2067" priority="1821" operator="notEqual">
      <formula>$K132</formula>
    </cfRule>
  </conditionalFormatting>
  <conditionalFormatting sqref="A6:A102">
    <cfRule type="cellIs" dxfId="2066" priority="1819" operator="lessThan">
      <formula>5</formula>
    </cfRule>
    <cfRule type="cellIs" dxfId="2065" priority="1820" operator="greaterThanOrEqual">
      <formula>5</formula>
    </cfRule>
  </conditionalFormatting>
  <conditionalFormatting sqref="J133">
    <cfRule type="cellIs" dxfId="2064" priority="1818" operator="notEqual">
      <formula>$K133</formula>
    </cfRule>
  </conditionalFormatting>
  <conditionalFormatting sqref="H42:I42">
    <cfRule type="expression" dxfId="2063" priority="1777">
      <formula>H42=$B$141</formula>
    </cfRule>
  </conditionalFormatting>
  <conditionalFormatting sqref="I46">
    <cfRule type="expression" dxfId="2062" priority="1776">
      <formula>I46=$B$141</formula>
    </cfRule>
  </conditionalFormatting>
  <conditionalFormatting sqref="C46">
    <cfRule type="expression" dxfId="2061" priority="1731">
      <formula>C46=$B$141</formula>
    </cfRule>
  </conditionalFormatting>
  <conditionalFormatting sqref="C46">
    <cfRule type="expression" dxfId="2060" priority="1728">
      <formula>C46=$B$133</formula>
    </cfRule>
    <cfRule type="expression" dxfId="2059" priority="1729">
      <formula>C46=$B$134</formula>
    </cfRule>
    <cfRule type="expression" dxfId="2058" priority="1730">
      <formula>C46=$B$132</formula>
    </cfRule>
  </conditionalFormatting>
  <conditionalFormatting sqref="C72">
    <cfRule type="expression" dxfId="2057" priority="1727">
      <formula>C72=$B$141</formula>
    </cfRule>
  </conditionalFormatting>
  <conditionalFormatting sqref="C72">
    <cfRule type="expression" dxfId="2056" priority="1724">
      <formula>C72=$B$133</formula>
    </cfRule>
    <cfRule type="expression" dxfId="2055" priority="1725">
      <formula>C72=$B$134</formula>
    </cfRule>
    <cfRule type="expression" dxfId="2054" priority="1726">
      <formula>C72=$B$132</formula>
    </cfRule>
  </conditionalFormatting>
  <conditionalFormatting sqref="C44:E44">
    <cfRule type="expression" dxfId="2053" priority="1723">
      <formula>C44=$B$141</formula>
    </cfRule>
  </conditionalFormatting>
  <conditionalFormatting sqref="H64">
    <cfRule type="expression" dxfId="2052" priority="1419">
      <formula>H64=$B$112</formula>
    </cfRule>
  </conditionalFormatting>
  <conditionalFormatting sqref="H64">
    <cfRule type="expression" dxfId="2051" priority="1420">
      <formula>H64=$B$107</formula>
    </cfRule>
  </conditionalFormatting>
  <conditionalFormatting sqref="H48:I48">
    <cfRule type="expression" dxfId="2050" priority="1330">
      <formula>H48=$B$141</formula>
    </cfRule>
  </conditionalFormatting>
  <conditionalFormatting sqref="G58">
    <cfRule type="expression" dxfId="2049" priority="1249">
      <formula>G58=$B$141</formula>
    </cfRule>
  </conditionalFormatting>
  <conditionalFormatting sqref="G58">
    <cfRule type="expression" dxfId="2048" priority="1246">
      <formula>G58=$B$133</formula>
    </cfRule>
    <cfRule type="expression" dxfId="2047" priority="1247">
      <formula>G58=$B$134</formula>
    </cfRule>
    <cfRule type="expression" dxfId="2046" priority="1248">
      <formula>G58=$B$132</formula>
    </cfRule>
  </conditionalFormatting>
  <conditionalFormatting sqref="C50">
    <cfRule type="expression" dxfId="2045" priority="1201">
      <formula>C50=$B$141</formula>
    </cfRule>
  </conditionalFormatting>
  <conditionalFormatting sqref="C50">
    <cfRule type="expression" dxfId="2044" priority="1198">
      <formula>C50=$B$133</formula>
    </cfRule>
    <cfRule type="expression" dxfId="2043" priority="1199">
      <formula>C50=$B$134</formula>
    </cfRule>
    <cfRule type="expression" dxfId="2042" priority="1200">
      <formula>C50=$B$132</formula>
    </cfRule>
  </conditionalFormatting>
  <conditionalFormatting sqref="G70 I70">
    <cfRule type="expression" dxfId="2041" priority="895">
      <formula>G70=$B$133</formula>
    </cfRule>
    <cfRule type="expression" dxfId="2040" priority="896">
      <formula>G70=$B$134</formula>
    </cfRule>
    <cfRule type="expression" dxfId="2039" priority="897">
      <formula>G70=$B$132</formula>
    </cfRule>
  </conditionalFormatting>
  <conditionalFormatting sqref="E70:F70">
    <cfRule type="expression" dxfId="2038" priority="892">
      <formula>E70=$B$141</formula>
    </cfRule>
  </conditionalFormatting>
  <conditionalFormatting sqref="E70:F70">
    <cfRule type="expression" dxfId="2037" priority="889">
      <formula>E70=$B$133</formula>
    </cfRule>
    <cfRule type="expression" dxfId="2036" priority="890">
      <formula>E70=$B$134</formula>
    </cfRule>
    <cfRule type="expression" dxfId="2035" priority="891">
      <formula>E70=$B$132</formula>
    </cfRule>
  </conditionalFormatting>
  <conditionalFormatting sqref="C88:G88">
    <cfRule type="expression" dxfId="2034" priority="849">
      <formula>C88=$B$126</formula>
    </cfRule>
    <cfRule type="expression" dxfId="2033" priority="850">
      <formula>C88=$B$124</formula>
    </cfRule>
    <cfRule type="expression" dxfId="2032" priority="851">
      <formula>C88=$B$120</formula>
    </cfRule>
    <cfRule type="expression" dxfId="2031" priority="852">
      <formula>C88=$B$115</formula>
    </cfRule>
    <cfRule type="expression" dxfId="2030" priority="853">
      <formula>C88=$B$112</formula>
    </cfRule>
    <cfRule type="expression" dxfId="2029" priority="854">
      <formula>C88=$B$109</formula>
    </cfRule>
    <cfRule type="expression" dxfId="2028" priority="855">
      <formula>C88=$B$112</formula>
    </cfRule>
    <cfRule type="expression" dxfId="2027" priority="856">
      <formula>C88=$B$142</formula>
    </cfRule>
    <cfRule type="expression" dxfId="2026" priority="857">
      <formula>C88=$B$114</formula>
    </cfRule>
    <cfRule type="expression" dxfId="2025" priority="858">
      <formula>C88=$B$142</formula>
    </cfRule>
    <cfRule type="expression" dxfId="2024" priority="859">
      <formula>C88=$B$141</formula>
    </cfRule>
    <cfRule type="expression" dxfId="2023" priority="860">
      <formula>C88=$B$140</formula>
    </cfRule>
    <cfRule type="expression" dxfId="2022" priority="861">
      <formula>C88=$B$139</formula>
    </cfRule>
    <cfRule type="expression" dxfId="2021" priority="862">
      <formula>C88=$B$138</formula>
    </cfRule>
    <cfRule type="expression" dxfId="2020" priority="863">
      <formula>C88=$B$137</formula>
    </cfRule>
    <cfRule type="expression" dxfId="2019" priority="864">
      <formula>C88=$B$136</formula>
    </cfRule>
    <cfRule type="expression" dxfId="2018" priority="865">
      <formula>C88=$B$135</formula>
    </cfRule>
    <cfRule type="expression" dxfId="2017" priority="866">
      <formula>C88=$B$131</formula>
    </cfRule>
    <cfRule type="expression" dxfId="2016" priority="867">
      <formula>C88=$B$130</formula>
    </cfRule>
    <cfRule type="expression" dxfId="2015" priority="868">
      <formula>C88=$B$129</formula>
    </cfRule>
    <cfRule type="expression" dxfId="2014" priority="869">
      <formula>C88=$B$128</formula>
    </cfRule>
    <cfRule type="expression" dxfId="2013" priority="870">
      <formula>C88=$B$127</formula>
    </cfRule>
    <cfRule type="expression" dxfId="2012" priority="871" stopIfTrue="1">
      <formula>C88=$B$126</formula>
    </cfRule>
    <cfRule type="expression" dxfId="2011" priority="872">
      <formula>C88=$B$125</formula>
    </cfRule>
    <cfRule type="expression" dxfId="2010" priority="873" stopIfTrue="1">
      <formula>C88=$B$124</formula>
    </cfRule>
    <cfRule type="expression" dxfId="2009" priority="874">
      <formula>C88=$B$123</formula>
    </cfRule>
    <cfRule type="expression" dxfId="2008" priority="875">
      <formula>C88=$B$122</formula>
    </cfRule>
    <cfRule type="expression" dxfId="2007" priority="876">
      <formula>C88=$B$121</formula>
    </cfRule>
    <cfRule type="expression" dxfId="2006" priority="877" stopIfTrue="1">
      <formula>C88=$B$119</formula>
    </cfRule>
    <cfRule type="expression" dxfId="2005" priority="878" stopIfTrue="1">
      <formula>C88=$B$118</formula>
    </cfRule>
    <cfRule type="expression" dxfId="2004" priority="879" stopIfTrue="1">
      <formula>C88=$B$117</formula>
    </cfRule>
    <cfRule type="expression" dxfId="2003" priority="880">
      <formula>C88=$B$116</formula>
    </cfRule>
    <cfRule type="expression" dxfId="2002" priority="881">
      <formula>C88=$B$113</formula>
    </cfRule>
    <cfRule type="expression" dxfId="2001" priority="882" stopIfTrue="1">
      <formula>C88=$B$111</formula>
    </cfRule>
    <cfRule type="expression" dxfId="2000" priority="883">
      <formula>C88=$B$110</formula>
    </cfRule>
    <cfRule type="expression" dxfId="1999" priority="884">
      <formula>C88=$B$109</formula>
    </cfRule>
    <cfRule type="expression" dxfId="1998" priority="885">
      <formula>C88=$B$108</formula>
    </cfRule>
    <cfRule type="expression" dxfId="1997" priority="886">
      <formula>C88=$B$106</formula>
    </cfRule>
    <cfRule type="expression" dxfId="1996" priority="887" stopIfTrue="1">
      <formula>C88=$B$107</formula>
    </cfRule>
    <cfRule type="expression" dxfId="1995" priority="888" stopIfTrue="1">
      <formula>C$5=TODAY()</formula>
    </cfRule>
  </conditionalFormatting>
  <conditionalFormatting sqref="C88:G88">
    <cfRule type="expression" dxfId="1994" priority="848">
      <formula>C88=$B$141</formula>
    </cfRule>
  </conditionalFormatting>
  <conditionalFormatting sqref="C88:G88">
    <cfRule type="expression" dxfId="1993" priority="845">
      <formula>C88=$B$133</formula>
    </cfRule>
    <cfRule type="expression" dxfId="1992" priority="846">
      <formula>C88=$B$134</formula>
    </cfRule>
    <cfRule type="expression" dxfId="1991" priority="847">
      <formula>C88=$B$132</formula>
    </cfRule>
  </conditionalFormatting>
  <conditionalFormatting sqref="D74">
    <cfRule type="expression" dxfId="1990" priority="804">
      <formula>D74=$B$141</formula>
    </cfRule>
  </conditionalFormatting>
  <conditionalFormatting sqref="C82:I82">
    <cfRule type="expression" dxfId="1989" priority="764">
      <formula>C82=$B$126</formula>
    </cfRule>
    <cfRule type="expression" dxfId="1988" priority="765">
      <formula>C82=$B$124</formula>
    </cfRule>
    <cfRule type="expression" dxfId="1987" priority="766">
      <formula>C82=$B$120</formula>
    </cfRule>
    <cfRule type="expression" dxfId="1986" priority="767">
      <formula>C82=$B$115</formula>
    </cfRule>
    <cfRule type="expression" dxfId="1985" priority="768">
      <formula>C82=$B$112</formula>
    </cfRule>
    <cfRule type="expression" dxfId="1984" priority="769">
      <formula>C82=$B$109</formula>
    </cfRule>
    <cfRule type="expression" dxfId="1983" priority="770">
      <formula>C82=$B$112</formula>
    </cfRule>
    <cfRule type="expression" dxfId="1982" priority="771">
      <formula>C82=$B$142</formula>
    </cfRule>
    <cfRule type="expression" dxfId="1981" priority="772">
      <formula>C82=$B$114</formula>
    </cfRule>
    <cfRule type="expression" dxfId="1980" priority="773">
      <formula>C82=$B$142</formula>
    </cfRule>
    <cfRule type="expression" dxfId="1979" priority="774">
      <formula>C82=$B$141</formula>
    </cfRule>
    <cfRule type="expression" dxfId="1978" priority="775">
      <formula>C82=$B$140</formula>
    </cfRule>
    <cfRule type="expression" dxfId="1977" priority="776">
      <formula>C82=$B$139</formula>
    </cfRule>
    <cfRule type="expression" dxfId="1976" priority="777">
      <formula>C82=$B$138</formula>
    </cfRule>
    <cfRule type="expression" dxfId="1975" priority="778">
      <formula>C82=$B$137</formula>
    </cfRule>
    <cfRule type="expression" dxfId="1974" priority="779">
      <formula>C82=$B$136</formula>
    </cfRule>
    <cfRule type="expression" dxfId="1973" priority="780">
      <formula>C82=$B$135</formula>
    </cfRule>
    <cfRule type="expression" dxfId="1972" priority="781">
      <formula>C82=$B$131</formula>
    </cfRule>
    <cfRule type="expression" dxfId="1971" priority="782">
      <formula>C82=$B$130</formula>
    </cfRule>
    <cfRule type="expression" dxfId="1970" priority="783">
      <formula>C82=$B$129</formula>
    </cfRule>
    <cfRule type="expression" dxfId="1969" priority="784">
      <formula>C82=$B$128</formula>
    </cfRule>
    <cfRule type="expression" dxfId="1968" priority="785">
      <formula>C82=$B$127</formula>
    </cfRule>
    <cfRule type="expression" dxfId="1967" priority="786" stopIfTrue="1">
      <formula>C82=$B$126</formula>
    </cfRule>
    <cfRule type="expression" dxfId="1966" priority="787">
      <formula>C82=$B$125</formula>
    </cfRule>
    <cfRule type="expression" dxfId="1965" priority="788" stopIfTrue="1">
      <formula>C82=$B$124</formula>
    </cfRule>
    <cfRule type="expression" dxfId="1964" priority="789">
      <formula>C82=$B$123</formula>
    </cfRule>
    <cfRule type="expression" dxfId="1963" priority="790">
      <formula>C82=$B$122</formula>
    </cfRule>
    <cfRule type="expression" dxfId="1962" priority="791">
      <formula>C82=$B$121</formula>
    </cfRule>
    <cfRule type="expression" dxfId="1961" priority="792" stopIfTrue="1">
      <formula>C82=$B$119</formula>
    </cfRule>
    <cfRule type="expression" dxfId="1960" priority="793" stopIfTrue="1">
      <formula>C82=$B$118</formula>
    </cfRule>
    <cfRule type="expression" dxfId="1959" priority="794" stopIfTrue="1">
      <formula>C82=$B$117</formula>
    </cfRule>
    <cfRule type="expression" dxfId="1958" priority="795">
      <formula>C82=$B$116</formula>
    </cfRule>
    <cfRule type="expression" dxfId="1957" priority="796">
      <formula>C82=$B$113</formula>
    </cfRule>
    <cfRule type="expression" dxfId="1956" priority="797" stopIfTrue="1">
      <formula>C82=$B$111</formula>
    </cfRule>
    <cfRule type="expression" dxfId="1955" priority="798">
      <formula>C82=$B$110</formula>
    </cfRule>
    <cfRule type="expression" dxfId="1954" priority="799">
      <formula>C82=$B$109</formula>
    </cfRule>
    <cfRule type="expression" dxfId="1953" priority="800">
      <formula>C82=$B$108</formula>
    </cfRule>
    <cfRule type="expression" dxfId="1952" priority="801">
      <formula>C82=$B$106</formula>
    </cfRule>
    <cfRule type="expression" dxfId="1951" priority="802" stopIfTrue="1">
      <formula>C82=$B$107</formula>
    </cfRule>
    <cfRule type="expression" dxfId="1950" priority="803" stopIfTrue="1">
      <formula>C$5=TODAY()</formula>
    </cfRule>
  </conditionalFormatting>
  <conditionalFormatting sqref="H82:I82">
    <cfRule type="expression" dxfId="1949" priority="722">
      <formula>H82=$B$141</formula>
    </cfRule>
    <cfRule type="expression" dxfId="1948" priority="723">
      <formula>H82=$B$126</formula>
    </cfRule>
    <cfRule type="expression" dxfId="1947" priority="724">
      <formula>H82=$B$124</formula>
    </cfRule>
    <cfRule type="expression" dxfId="1946" priority="725">
      <formula>H82=$B$120</formula>
    </cfRule>
    <cfRule type="expression" dxfId="1945" priority="726">
      <formula>H82=$B$115</formula>
    </cfRule>
    <cfRule type="expression" dxfId="1944" priority="727">
      <formula>H82=$B$112</formula>
    </cfRule>
    <cfRule type="expression" dxfId="1943" priority="728">
      <formula>H82=$B$109</formula>
    </cfRule>
    <cfRule type="expression" dxfId="1942" priority="729">
      <formula>H82=$B$112</formula>
    </cfRule>
    <cfRule type="expression" dxfId="1941" priority="730">
      <formula>H82=$B$142</formula>
    </cfRule>
    <cfRule type="expression" dxfId="1940" priority="731">
      <formula>H82=$B$114</formula>
    </cfRule>
    <cfRule type="expression" dxfId="1939" priority="732">
      <formula>H82=$B$142</formula>
    </cfRule>
    <cfRule type="expression" dxfId="1938" priority="733">
      <formula>H82=$B$141</formula>
    </cfRule>
    <cfRule type="expression" dxfId="1937" priority="734">
      <formula>H82=$B$140</formula>
    </cfRule>
    <cfRule type="expression" dxfId="1936" priority="735">
      <formula>H82=$B$139</formula>
    </cfRule>
    <cfRule type="expression" dxfId="1935" priority="736">
      <formula>H82=$B$138</formula>
    </cfRule>
    <cfRule type="expression" dxfId="1934" priority="737">
      <formula>H82=$B$137</formula>
    </cfRule>
    <cfRule type="expression" dxfId="1933" priority="738">
      <formula>H82=$B$136</formula>
    </cfRule>
    <cfRule type="expression" dxfId="1932" priority="739">
      <formula>H82=$B$135</formula>
    </cfRule>
    <cfRule type="expression" dxfId="1931" priority="740">
      <formula>H82=$B$131</formula>
    </cfRule>
    <cfRule type="expression" dxfId="1930" priority="741">
      <formula>H82=$B$130</formula>
    </cfRule>
    <cfRule type="expression" dxfId="1929" priority="742">
      <formula>H82=$B$129</formula>
    </cfRule>
    <cfRule type="expression" dxfId="1928" priority="743">
      <formula>H82=$B$128</formula>
    </cfRule>
    <cfRule type="expression" dxfId="1927" priority="744">
      <formula>H82=$B$127</formula>
    </cfRule>
    <cfRule type="expression" dxfId="1926" priority="745" stopIfTrue="1">
      <formula>H82=$B$126</formula>
    </cfRule>
    <cfRule type="expression" dxfId="1925" priority="746">
      <formula>H82=$B$125</formula>
    </cfRule>
    <cfRule type="expression" dxfId="1924" priority="747" stopIfTrue="1">
      <formula>H82=$B$124</formula>
    </cfRule>
    <cfRule type="expression" dxfId="1923" priority="748">
      <formula>H82=$B$123</formula>
    </cfRule>
    <cfRule type="expression" dxfId="1922" priority="749">
      <formula>H82=$B$122</formula>
    </cfRule>
    <cfRule type="expression" dxfId="1921" priority="750">
      <formula>H82=$B$121</formula>
    </cfRule>
    <cfRule type="expression" dxfId="1920" priority="751" stopIfTrue="1">
      <formula>H82=$B$119</formula>
    </cfRule>
    <cfRule type="expression" dxfId="1919" priority="752" stopIfTrue="1">
      <formula>H82=$B$118</formula>
    </cfRule>
    <cfRule type="expression" dxfId="1918" priority="753" stopIfTrue="1">
      <formula>H82=$B$117</formula>
    </cfRule>
    <cfRule type="expression" dxfId="1917" priority="754">
      <formula>H82=$B$116</formula>
    </cfRule>
    <cfRule type="expression" dxfId="1916" priority="755">
      <formula>H82=$B$113</formula>
    </cfRule>
    <cfRule type="expression" dxfId="1915" priority="756" stopIfTrue="1">
      <formula>H82=$B$111</formula>
    </cfRule>
    <cfRule type="expression" dxfId="1914" priority="757">
      <formula>H82=$B$110</formula>
    </cfRule>
    <cfRule type="expression" dxfId="1913" priority="758">
      <formula>H82=$B$109</formula>
    </cfRule>
    <cfRule type="expression" dxfId="1912" priority="759">
      <formula>H82=$B$108</formula>
    </cfRule>
    <cfRule type="expression" dxfId="1911" priority="760">
      <formula>H82=$B$106</formula>
    </cfRule>
    <cfRule type="expression" dxfId="1910" priority="761" stopIfTrue="1">
      <formula>H82=$B$107</formula>
    </cfRule>
    <cfRule type="expression" dxfId="1909" priority="762" stopIfTrue="1">
      <formula>H$5=TODAY()</formula>
    </cfRule>
  </conditionalFormatting>
  <conditionalFormatting sqref="C82:I82">
    <cfRule type="expression" dxfId="1908" priority="763">
      <formula>C82=$B$141</formula>
    </cfRule>
  </conditionalFormatting>
  <conditionalFormatting sqref="C82:I82">
    <cfRule type="expression" dxfId="1907" priority="719">
      <formula>C82=$B$133</formula>
    </cfRule>
    <cfRule type="expression" dxfId="1906" priority="720">
      <formula>C82=$B$134</formula>
    </cfRule>
    <cfRule type="expression" dxfId="1905" priority="721">
      <formula>C82=$B$132</formula>
    </cfRule>
  </conditionalFormatting>
  <conditionalFormatting sqref="F40">
    <cfRule type="expression" dxfId="1904" priority="718">
      <formula>F40=$B$141</formula>
    </cfRule>
  </conditionalFormatting>
  <conditionalFormatting sqref="C70:D70">
    <cfRule type="expression" dxfId="1903" priority="677">
      <formula>C70=$B$141</formula>
    </cfRule>
  </conditionalFormatting>
  <conditionalFormatting sqref="C70:D70">
    <cfRule type="expression" dxfId="1902" priority="674">
      <formula>C70=$B$133</formula>
    </cfRule>
    <cfRule type="expression" dxfId="1901" priority="675">
      <formula>C70=$B$134</formula>
    </cfRule>
    <cfRule type="expression" dxfId="1900" priority="676">
      <formula>C70=$B$132</formula>
    </cfRule>
  </conditionalFormatting>
  <conditionalFormatting sqref="I64">
    <cfRule type="expression" dxfId="1899" priority="633">
      <formula>I64=$B$141</formula>
    </cfRule>
  </conditionalFormatting>
  <conditionalFormatting sqref="H92">
    <cfRule type="expression" dxfId="1898" priority="549">
      <formula>H92=$B$126</formula>
    </cfRule>
    <cfRule type="expression" dxfId="1897" priority="550">
      <formula>H92=$B$124</formula>
    </cfRule>
    <cfRule type="expression" dxfId="1896" priority="551">
      <formula>H92=$B$120</formula>
    </cfRule>
    <cfRule type="expression" dxfId="1895" priority="552">
      <formula>H92=$B$115</formula>
    </cfRule>
    <cfRule type="expression" dxfId="1894" priority="553">
      <formula>H92=$B$112</formula>
    </cfRule>
    <cfRule type="expression" dxfId="1893" priority="554">
      <formula>H92=$B$109</formula>
    </cfRule>
    <cfRule type="expression" dxfId="1892" priority="555">
      <formula>H92=$B$112</formula>
    </cfRule>
    <cfRule type="expression" dxfId="1891" priority="556">
      <formula>H92=$B$142</formula>
    </cfRule>
    <cfRule type="expression" dxfId="1890" priority="557">
      <formula>H92=$B$114</formula>
    </cfRule>
    <cfRule type="expression" dxfId="1889" priority="558">
      <formula>H92=$B$142</formula>
    </cfRule>
    <cfRule type="expression" dxfId="1888" priority="559">
      <formula>H92=$B$141</formula>
    </cfRule>
    <cfRule type="expression" dxfId="1887" priority="560">
      <formula>H92=$B$140</formula>
    </cfRule>
    <cfRule type="expression" dxfId="1886" priority="561">
      <formula>H92=$B$139</formula>
    </cfRule>
    <cfRule type="expression" dxfId="1885" priority="562">
      <formula>H92=$B$138</formula>
    </cfRule>
    <cfRule type="expression" dxfId="1884" priority="563">
      <formula>H92=$B$137</formula>
    </cfRule>
    <cfRule type="expression" dxfId="1883" priority="564">
      <formula>H92=$B$136</formula>
    </cfRule>
    <cfRule type="expression" dxfId="1882" priority="565">
      <formula>H92=$B$135</formula>
    </cfRule>
    <cfRule type="expression" dxfId="1881" priority="566">
      <formula>H92=$B$131</formula>
    </cfRule>
    <cfRule type="expression" dxfId="1880" priority="567">
      <formula>H92=$B$130</formula>
    </cfRule>
    <cfRule type="expression" dxfId="1879" priority="568">
      <formula>H92=$B$129</formula>
    </cfRule>
    <cfRule type="expression" dxfId="1878" priority="569">
      <formula>H92=$B$128</formula>
    </cfRule>
    <cfRule type="expression" dxfId="1877" priority="570">
      <formula>H92=$B$127</formula>
    </cfRule>
    <cfRule type="expression" dxfId="1876" priority="571" stopIfTrue="1">
      <formula>H92=$B$126</formula>
    </cfRule>
    <cfRule type="expression" dxfId="1875" priority="572">
      <formula>H92=$B$125</formula>
    </cfRule>
    <cfRule type="expression" dxfId="1874" priority="573" stopIfTrue="1">
      <formula>H92=$B$124</formula>
    </cfRule>
    <cfRule type="expression" dxfId="1873" priority="574">
      <formula>H92=$B$123</formula>
    </cfRule>
    <cfRule type="expression" dxfId="1872" priority="575">
      <formula>H92=$B$122</formula>
    </cfRule>
    <cfRule type="expression" dxfId="1871" priority="576">
      <formula>H92=$B$121</formula>
    </cfRule>
    <cfRule type="expression" dxfId="1870" priority="577" stopIfTrue="1">
      <formula>H92=$B$119</formula>
    </cfRule>
    <cfRule type="expression" dxfId="1869" priority="578" stopIfTrue="1">
      <formula>H92=$B$118</formula>
    </cfRule>
    <cfRule type="expression" dxfId="1868" priority="579" stopIfTrue="1">
      <formula>H92=$B$117</formula>
    </cfRule>
    <cfRule type="expression" dxfId="1867" priority="580">
      <formula>H92=$B$116</formula>
    </cfRule>
    <cfRule type="expression" dxfId="1866" priority="581">
      <formula>H92=$B$113</formula>
    </cfRule>
    <cfRule type="expression" dxfId="1865" priority="582" stopIfTrue="1">
      <formula>H92=$B$111</formula>
    </cfRule>
    <cfRule type="expression" dxfId="1864" priority="583">
      <formula>H92=$B$110</formula>
    </cfRule>
    <cfRule type="expression" dxfId="1863" priority="584">
      <formula>H92=$B$109</formula>
    </cfRule>
    <cfRule type="expression" dxfId="1862" priority="585">
      <formula>H92=$B$108</formula>
    </cfRule>
    <cfRule type="expression" dxfId="1861" priority="586">
      <formula>H92=$B$106</formula>
    </cfRule>
    <cfRule type="expression" dxfId="1860" priority="587" stopIfTrue="1">
      <formula>H92=$B$107</formula>
    </cfRule>
    <cfRule type="expression" dxfId="1859" priority="588" stopIfTrue="1">
      <formula>H$5=TODAY()</formula>
    </cfRule>
  </conditionalFormatting>
  <conditionalFormatting sqref="H92">
    <cfRule type="expression" dxfId="1858" priority="548">
      <formula>H92=$B$141</formula>
    </cfRule>
  </conditionalFormatting>
  <conditionalFormatting sqref="H92">
    <cfRule type="expression" dxfId="1857" priority="545">
      <formula>H92=$B$133</formula>
    </cfRule>
    <cfRule type="expression" dxfId="1856" priority="546">
      <formula>H92=$B$134</formula>
    </cfRule>
    <cfRule type="expression" dxfId="1855" priority="547">
      <formula>H92=$B$132</formula>
    </cfRule>
  </conditionalFormatting>
  <conditionalFormatting sqref="H88:I88">
    <cfRule type="expression" dxfId="1854" priority="505">
      <formula>H88=$B$126</formula>
    </cfRule>
    <cfRule type="expression" dxfId="1853" priority="506">
      <formula>H88=$B$124</formula>
    </cfRule>
    <cfRule type="expression" dxfId="1852" priority="507">
      <formula>H88=$B$120</formula>
    </cfRule>
    <cfRule type="expression" dxfId="1851" priority="508">
      <formula>H88=$B$115</formula>
    </cfRule>
    <cfRule type="expression" dxfId="1850" priority="509">
      <formula>H88=$B$112</formula>
    </cfRule>
    <cfRule type="expression" dxfId="1849" priority="510">
      <formula>H88=$B$109</formula>
    </cfRule>
    <cfRule type="expression" dxfId="1848" priority="511">
      <formula>H88=$B$112</formula>
    </cfRule>
    <cfRule type="expression" dxfId="1847" priority="512">
      <formula>H88=$B$142</formula>
    </cfRule>
    <cfRule type="expression" dxfId="1846" priority="513">
      <formula>H88=$B$114</formula>
    </cfRule>
    <cfRule type="expression" dxfId="1845" priority="514">
      <formula>H88=$B$142</formula>
    </cfRule>
    <cfRule type="expression" dxfId="1844" priority="515">
      <formula>H88=$B$141</formula>
    </cfRule>
    <cfRule type="expression" dxfId="1843" priority="516">
      <formula>H88=$B$140</formula>
    </cfRule>
    <cfRule type="expression" dxfId="1842" priority="517">
      <formula>H88=$B$139</formula>
    </cfRule>
    <cfRule type="expression" dxfId="1841" priority="518">
      <formula>H88=$B$138</formula>
    </cfRule>
    <cfRule type="expression" dxfId="1840" priority="519">
      <formula>H88=$B$137</formula>
    </cfRule>
    <cfRule type="expression" dxfId="1839" priority="520">
      <formula>H88=$B$136</formula>
    </cfRule>
    <cfRule type="expression" dxfId="1838" priority="521">
      <formula>H88=$B$135</formula>
    </cfRule>
    <cfRule type="expression" dxfId="1837" priority="522">
      <formula>H88=$B$131</formula>
    </cfRule>
    <cfRule type="expression" dxfId="1836" priority="523">
      <formula>H88=$B$130</formula>
    </cfRule>
    <cfRule type="expression" dxfId="1835" priority="524">
      <formula>H88=$B$129</formula>
    </cfRule>
    <cfRule type="expression" dxfId="1834" priority="525">
      <formula>H88=$B$128</formula>
    </cfRule>
    <cfRule type="expression" dxfId="1833" priority="526">
      <formula>H88=$B$127</formula>
    </cfRule>
    <cfRule type="expression" dxfId="1832" priority="527" stopIfTrue="1">
      <formula>H88=$B$126</formula>
    </cfRule>
    <cfRule type="expression" dxfId="1831" priority="528">
      <formula>H88=$B$125</formula>
    </cfRule>
    <cfRule type="expression" dxfId="1830" priority="529" stopIfTrue="1">
      <formula>H88=$B$124</formula>
    </cfRule>
    <cfRule type="expression" dxfId="1829" priority="530">
      <formula>H88=$B$123</formula>
    </cfRule>
    <cfRule type="expression" dxfId="1828" priority="531">
      <formula>H88=$B$122</formula>
    </cfRule>
    <cfRule type="expression" dxfId="1827" priority="532">
      <formula>H88=$B$121</formula>
    </cfRule>
    <cfRule type="expression" dxfId="1826" priority="533" stopIfTrue="1">
      <formula>H88=$B$119</formula>
    </cfRule>
    <cfRule type="expression" dxfId="1825" priority="534" stopIfTrue="1">
      <formula>H88=$B$118</formula>
    </cfRule>
    <cfRule type="expression" dxfId="1824" priority="535" stopIfTrue="1">
      <formula>H88=$B$117</formula>
    </cfRule>
    <cfRule type="expression" dxfId="1823" priority="536">
      <formula>H88=$B$116</formula>
    </cfRule>
    <cfRule type="expression" dxfId="1822" priority="537">
      <formula>H88=$B$113</formula>
    </cfRule>
    <cfRule type="expression" dxfId="1821" priority="538" stopIfTrue="1">
      <formula>H88=$B$111</formula>
    </cfRule>
    <cfRule type="expression" dxfId="1820" priority="539">
      <formula>H88=$B$110</formula>
    </cfRule>
    <cfRule type="expression" dxfId="1819" priority="540">
      <formula>H88=$B$109</formula>
    </cfRule>
    <cfRule type="expression" dxfId="1818" priority="541">
      <formula>H88=$B$108</formula>
    </cfRule>
    <cfRule type="expression" dxfId="1817" priority="542">
      <formula>H88=$B$106</formula>
    </cfRule>
    <cfRule type="expression" dxfId="1816" priority="543" stopIfTrue="1">
      <formula>H88=$B$107</formula>
    </cfRule>
    <cfRule type="expression" dxfId="1815" priority="544" stopIfTrue="1">
      <formula>H$5=TODAY()</formula>
    </cfRule>
  </conditionalFormatting>
  <conditionalFormatting sqref="H88:I88">
    <cfRule type="expression" dxfId="1814" priority="464">
      <formula>H88=$B$141</formula>
    </cfRule>
    <cfRule type="expression" dxfId="1813" priority="465">
      <formula>H88=$B$126</formula>
    </cfRule>
    <cfRule type="expression" dxfId="1812" priority="466">
      <formula>H88=$B$124</formula>
    </cfRule>
    <cfRule type="expression" dxfId="1811" priority="467">
      <formula>H88=$B$120</formula>
    </cfRule>
    <cfRule type="expression" dxfId="1810" priority="468">
      <formula>H88=$B$115</formula>
    </cfRule>
    <cfRule type="expression" dxfId="1809" priority="469">
      <formula>H88=$B$112</formula>
    </cfRule>
    <cfRule type="expression" dxfId="1808" priority="470">
      <formula>H88=$B$109</formula>
    </cfRule>
    <cfRule type="expression" dxfId="1807" priority="471">
      <formula>H88=$B$112</formula>
    </cfRule>
    <cfRule type="expression" dxfId="1806" priority="472">
      <formula>H88=$B$142</formula>
    </cfRule>
    <cfRule type="expression" dxfId="1805" priority="473">
      <formula>H88=$B$114</formula>
    </cfRule>
    <cfRule type="expression" dxfId="1804" priority="474">
      <formula>H88=$B$142</formula>
    </cfRule>
    <cfRule type="expression" dxfId="1803" priority="475">
      <formula>H88=$B$141</formula>
    </cfRule>
    <cfRule type="expression" dxfId="1802" priority="476">
      <formula>H88=$B$140</formula>
    </cfRule>
    <cfRule type="expression" dxfId="1801" priority="477">
      <formula>H88=$B$139</formula>
    </cfRule>
    <cfRule type="expression" dxfId="1800" priority="478">
      <formula>H88=$B$138</formula>
    </cfRule>
    <cfRule type="expression" dxfId="1799" priority="479">
      <formula>H88=$B$137</formula>
    </cfRule>
    <cfRule type="expression" dxfId="1798" priority="480">
      <formula>H88=$B$136</formula>
    </cfRule>
    <cfRule type="expression" dxfId="1797" priority="481">
      <formula>H88=$B$135</formula>
    </cfRule>
    <cfRule type="expression" dxfId="1796" priority="482">
      <formula>H88=$B$131</formula>
    </cfRule>
    <cfRule type="expression" dxfId="1795" priority="483">
      <formula>H88=$B$130</formula>
    </cfRule>
    <cfRule type="expression" dxfId="1794" priority="484">
      <formula>H88=$B$129</formula>
    </cfRule>
    <cfRule type="expression" dxfId="1793" priority="485">
      <formula>H88=$B$128</formula>
    </cfRule>
    <cfRule type="expression" dxfId="1792" priority="486">
      <formula>H88=$B$127</formula>
    </cfRule>
    <cfRule type="expression" dxfId="1791" priority="487" stopIfTrue="1">
      <formula>H88=$B$126</formula>
    </cfRule>
    <cfRule type="expression" dxfId="1790" priority="488">
      <formula>H88=$B$125</formula>
    </cfRule>
    <cfRule type="expression" dxfId="1789" priority="489" stopIfTrue="1">
      <formula>H88=$B$124</formula>
    </cfRule>
    <cfRule type="expression" dxfId="1788" priority="490">
      <formula>H88=$B$123</formula>
    </cfRule>
    <cfRule type="expression" dxfId="1787" priority="491">
      <formula>H88=$B$122</formula>
    </cfRule>
    <cfRule type="expression" dxfId="1786" priority="492">
      <formula>H88=$B$121</formula>
    </cfRule>
    <cfRule type="expression" dxfId="1785" priority="493" stopIfTrue="1">
      <formula>H88=$B$119</formula>
    </cfRule>
    <cfRule type="expression" dxfId="1784" priority="494" stopIfTrue="1">
      <formula>H88=$B$118</formula>
    </cfRule>
    <cfRule type="expression" dxfId="1783" priority="495" stopIfTrue="1">
      <formula>H88=$B$117</formula>
    </cfRule>
    <cfRule type="expression" dxfId="1782" priority="496">
      <formula>H88=$B$116</formula>
    </cfRule>
    <cfRule type="expression" dxfId="1781" priority="497">
      <formula>H88=$B$113</formula>
    </cfRule>
    <cfRule type="expression" dxfId="1780" priority="498" stopIfTrue="1">
      <formula>H88=$B$111</formula>
    </cfRule>
    <cfRule type="expression" dxfId="1779" priority="499">
      <formula>H88=$B$110</formula>
    </cfRule>
    <cfRule type="expression" dxfId="1778" priority="500">
      <formula>H88=$B$109</formula>
    </cfRule>
    <cfRule type="expression" dxfId="1777" priority="501">
      <formula>H88=$B$108</formula>
    </cfRule>
    <cfRule type="expression" dxfId="1776" priority="502">
      <formula>H88=$B$106</formula>
    </cfRule>
    <cfRule type="expression" dxfId="1775" priority="503" stopIfTrue="1">
      <formula>H88=$B$107</formula>
    </cfRule>
    <cfRule type="expression" dxfId="1774" priority="504" stopIfTrue="1">
      <formula>H$5=TODAY()</formula>
    </cfRule>
  </conditionalFormatting>
  <conditionalFormatting sqref="H88:I88">
    <cfRule type="expression" dxfId="1773" priority="461">
      <formula>H88=$B$133</formula>
    </cfRule>
    <cfRule type="expression" dxfId="1772" priority="462">
      <formula>H88=$B$134</formula>
    </cfRule>
    <cfRule type="expression" dxfId="1771" priority="463">
      <formula>H88=$B$132</formula>
    </cfRule>
  </conditionalFormatting>
  <conditionalFormatting sqref="H88">
    <cfRule type="expression" dxfId="1770" priority="459">
      <formula>H88=$B$112</formula>
    </cfRule>
  </conditionalFormatting>
  <conditionalFormatting sqref="H88">
    <cfRule type="expression" dxfId="1769" priority="460">
      <formula>H88=$B$107</formula>
    </cfRule>
  </conditionalFormatting>
  <conditionalFormatting sqref="H88:I88">
    <cfRule type="expression" dxfId="1768" priority="458">
      <formula>H88=$B$141</formula>
    </cfRule>
  </conditionalFormatting>
  <conditionalFormatting sqref="H88:I88">
    <cfRule type="expression" dxfId="1767" priority="455">
      <formula>H88=$B$133</formula>
    </cfRule>
    <cfRule type="expression" dxfId="1766" priority="456">
      <formula>H88=$B$134</formula>
    </cfRule>
    <cfRule type="expression" dxfId="1765" priority="457">
      <formula>H88=$B$132</formula>
    </cfRule>
  </conditionalFormatting>
  <conditionalFormatting sqref="H78:I78">
    <cfRule type="expression" dxfId="1764" priority="414">
      <formula>H78=$B$141</formula>
    </cfRule>
    <cfRule type="expression" dxfId="1763" priority="415">
      <formula>H78=$B$126</formula>
    </cfRule>
    <cfRule type="expression" dxfId="1762" priority="416">
      <formula>H78=$B$124</formula>
    </cfRule>
    <cfRule type="expression" dxfId="1761" priority="417">
      <formula>H78=$B$120</formula>
    </cfRule>
    <cfRule type="expression" dxfId="1760" priority="418">
      <formula>H78=$B$115</formula>
    </cfRule>
    <cfRule type="expression" dxfId="1759" priority="419">
      <formula>H78=$B$112</formula>
    </cfRule>
    <cfRule type="expression" dxfId="1758" priority="420">
      <formula>H78=$B$109</formula>
    </cfRule>
    <cfRule type="expression" dxfId="1757" priority="421">
      <formula>H78=$B$112</formula>
    </cfRule>
    <cfRule type="expression" dxfId="1756" priority="422">
      <formula>H78=$B$142</formula>
    </cfRule>
    <cfRule type="expression" dxfId="1755" priority="423">
      <formula>H78=$B$114</formula>
    </cfRule>
    <cfRule type="expression" dxfId="1754" priority="424">
      <formula>H78=$B$142</formula>
    </cfRule>
    <cfRule type="expression" dxfId="1753" priority="425">
      <formula>H78=$B$141</formula>
    </cfRule>
    <cfRule type="expression" dxfId="1752" priority="426">
      <formula>H78=$B$140</formula>
    </cfRule>
    <cfRule type="expression" dxfId="1751" priority="427">
      <formula>H78=$B$139</formula>
    </cfRule>
    <cfRule type="expression" dxfId="1750" priority="428">
      <formula>H78=$B$138</formula>
    </cfRule>
    <cfRule type="expression" dxfId="1749" priority="429">
      <formula>H78=$B$137</formula>
    </cfRule>
    <cfRule type="expression" dxfId="1748" priority="430">
      <formula>H78=$B$136</formula>
    </cfRule>
    <cfRule type="expression" dxfId="1747" priority="431">
      <formula>H78=$B$135</formula>
    </cfRule>
    <cfRule type="expression" dxfId="1746" priority="432">
      <formula>H78=$B$131</formula>
    </cfRule>
    <cfRule type="expression" dxfId="1745" priority="433">
      <formula>H78=$B$130</formula>
    </cfRule>
    <cfRule type="expression" dxfId="1744" priority="434">
      <formula>H78=$B$129</formula>
    </cfRule>
    <cfRule type="expression" dxfId="1743" priority="435">
      <formula>H78=$B$128</formula>
    </cfRule>
    <cfRule type="expression" dxfId="1742" priority="436">
      <formula>H78=$B$127</formula>
    </cfRule>
    <cfRule type="expression" dxfId="1741" priority="437" stopIfTrue="1">
      <formula>H78=$B$126</formula>
    </cfRule>
    <cfRule type="expression" dxfId="1740" priority="438">
      <formula>H78=$B$125</formula>
    </cfRule>
    <cfRule type="expression" dxfId="1739" priority="439" stopIfTrue="1">
      <formula>H78=$B$124</formula>
    </cfRule>
    <cfRule type="expression" dxfId="1738" priority="440">
      <formula>H78=$B$123</formula>
    </cfRule>
    <cfRule type="expression" dxfId="1737" priority="441">
      <formula>H78=$B$122</formula>
    </cfRule>
    <cfRule type="expression" dxfId="1736" priority="442">
      <formula>H78=$B$121</formula>
    </cfRule>
    <cfRule type="expression" dxfId="1735" priority="443" stopIfTrue="1">
      <formula>H78=$B$119</formula>
    </cfRule>
    <cfRule type="expression" dxfId="1734" priority="444" stopIfTrue="1">
      <formula>H78=$B$118</formula>
    </cfRule>
    <cfRule type="expression" dxfId="1733" priority="445" stopIfTrue="1">
      <formula>H78=$B$117</formula>
    </cfRule>
    <cfRule type="expression" dxfId="1732" priority="446">
      <formula>H78=$B$116</formula>
    </cfRule>
    <cfRule type="expression" dxfId="1731" priority="447">
      <formula>H78=$B$113</formula>
    </cfRule>
    <cfRule type="expression" dxfId="1730" priority="448" stopIfTrue="1">
      <formula>H78=$B$111</formula>
    </cfRule>
    <cfRule type="expression" dxfId="1729" priority="449">
      <formula>H78=$B$110</formula>
    </cfRule>
    <cfRule type="expression" dxfId="1728" priority="450">
      <formula>H78=$B$109</formula>
    </cfRule>
    <cfRule type="expression" dxfId="1727" priority="451">
      <formula>H78=$B$108</formula>
    </cfRule>
    <cfRule type="expression" dxfId="1726" priority="452">
      <formula>H78=$B$106</formula>
    </cfRule>
    <cfRule type="expression" dxfId="1725" priority="453" stopIfTrue="1">
      <formula>H78=$B$107</formula>
    </cfRule>
    <cfRule type="expression" dxfId="1724" priority="454" stopIfTrue="1">
      <formula>H$5=TODAY()</formula>
    </cfRule>
  </conditionalFormatting>
  <conditionalFormatting sqref="H78">
    <cfRule type="expression" dxfId="1723" priority="412">
      <formula>H78=$B$112</formula>
    </cfRule>
  </conditionalFormatting>
  <conditionalFormatting sqref="H78">
    <cfRule type="expression" dxfId="1722" priority="413">
      <formula>H78=$B$107</formula>
    </cfRule>
  </conditionalFormatting>
  <conditionalFormatting sqref="H78:I78">
    <cfRule type="expression" dxfId="1721" priority="411">
      <formula>H78=$B$141</formula>
    </cfRule>
  </conditionalFormatting>
  <conditionalFormatting sqref="H78:I78">
    <cfRule type="expression" dxfId="1720" priority="408">
      <formula>H78=$B$133</formula>
    </cfRule>
    <cfRule type="expression" dxfId="1719" priority="409">
      <formula>H78=$B$134</formula>
    </cfRule>
    <cfRule type="expression" dxfId="1718" priority="410">
      <formula>H78=$B$132</formula>
    </cfRule>
  </conditionalFormatting>
  <conditionalFormatting sqref="H64">
    <cfRule type="expression" dxfId="1717" priority="406">
      <formula>H64=$B$112</formula>
    </cfRule>
  </conditionalFormatting>
  <conditionalFormatting sqref="H64">
    <cfRule type="expression" dxfId="1716" priority="407">
      <formula>H64=$B$107</formula>
    </cfRule>
  </conditionalFormatting>
  <conditionalFormatting sqref="H64:I64">
    <cfRule type="expression" dxfId="1715" priority="405">
      <formula>H64=$B$141</formula>
    </cfRule>
  </conditionalFormatting>
  <conditionalFormatting sqref="H64:I64">
    <cfRule type="expression" dxfId="1714" priority="402">
      <formula>H64=$B$133</formula>
    </cfRule>
    <cfRule type="expression" dxfId="1713" priority="403">
      <formula>H64=$B$134</formula>
    </cfRule>
    <cfRule type="expression" dxfId="1712" priority="404">
      <formula>H64=$B$132</formula>
    </cfRule>
  </conditionalFormatting>
  <conditionalFormatting sqref="H32:I32">
    <cfRule type="expression" dxfId="1711" priority="361">
      <formula>H32=$B$141</formula>
    </cfRule>
    <cfRule type="expression" dxfId="1710" priority="362">
      <formula>H32=$B$126</formula>
    </cfRule>
    <cfRule type="expression" dxfId="1709" priority="363">
      <formula>H32=$B$124</formula>
    </cfRule>
    <cfRule type="expression" dxfId="1708" priority="364">
      <formula>H32=$B$120</formula>
    </cfRule>
    <cfRule type="expression" dxfId="1707" priority="365">
      <formula>H32=$B$115</formula>
    </cfRule>
    <cfRule type="expression" dxfId="1706" priority="366">
      <formula>H32=$B$112</formula>
    </cfRule>
    <cfRule type="expression" dxfId="1705" priority="367">
      <formula>H32=$B$109</formula>
    </cfRule>
    <cfRule type="expression" dxfId="1704" priority="368">
      <formula>H32=$B$112</formula>
    </cfRule>
    <cfRule type="expression" dxfId="1703" priority="369">
      <formula>H32=$B$142</formula>
    </cfRule>
    <cfRule type="expression" dxfId="1702" priority="370">
      <formula>H32=$B$114</formula>
    </cfRule>
    <cfRule type="expression" dxfId="1701" priority="371">
      <formula>H32=$B$142</formula>
    </cfRule>
    <cfRule type="expression" dxfId="1700" priority="372">
      <formula>H32=$B$141</formula>
    </cfRule>
    <cfRule type="expression" dxfId="1699" priority="373">
      <formula>H32=$B$140</formula>
    </cfRule>
    <cfRule type="expression" dxfId="1698" priority="374">
      <formula>H32=$B$139</formula>
    </cfRule>
    <cfRule type="expression" dxfId="1697" priority="375">
      <formula>H32=$B$138</formula>
    </cfRule>
    <cfRule type="expression" dxfId="1696" priority="376">
      <formula>H32=$B$137</formula>
    </cfRule>
    <cfRule type="expression" dxfId="1695" priority="377">
      <formula>H32=$B$136</formula>
    </cfRule>
    <cfRule type="expression" dxfId="1694" priority="378">
      <formula>H32=$B$135</formula>
    </cfRule>
    <cfRule type="expression" dxfId="1693" priority="379">
      <formula>H32=$B$131</formula>
    </cfRule>
    <cfRule type="expression" dxfId="1692" priority="380">
      <formula>H32=$B$130</formula>
    </cfRule>
    <cfRule type="expression" dxfId="1691" priority="381">
      <formula>H32=$B$129</formula>
    </cfRule>
    <cfRule type="expression" dxfId="1690" priority="382">
      <formula>H32=$B$128</formula>
    </cfRule>
    <cfRule type="expression" dxfId="1689" priority="383">
      <formula>H32=$B$127</formula>
    </cfRule>
    <cfRule type="expression" dxfId="1688" priority="384" stopIfTrue="1">
      <formula>H32=$B$126</formula>
    </cfRule>
    <cfRule type="expression" dxfId="1687" priority="385">
      <formula>H32=$B$125</formula>
    </cfRule>
    <cfRule type="expression" dxfId="1686" priority="386" stopIfTrue="1">
      <formula>H32=$B$124</formula>
    </cfRule>
    <cfRule type="expression" dxfId="1685" priority="387">
      <formula>H32=$B$123</formula>
    </cfRule>
    <cfRule type="expression" dxfId="1684" priority="388">
      <formula>H32=$B$122</formula>
    </cfRule>
    <cfRule type="expression" dxfId="1683" priority="389">
      <formula>H32=$B$121</formula>
    </cfRule>
    <cfRule type="expression" dxfId="1682" priority="390" stopIfTrue="1">
      <formula>H32=$B$119</formula>
    </cfRule>
    <cfRule type="expression" dxfId="1681" priority="391" stopIfTrue="1">
      <formula>H32=$B$118</formula>
    </cfRule>
    <cfRule type="expression" dxfId="1680" priority="392" stopIfTrue="1">
      <formula>H32=$B$117</formula>
    </cfRule>
    <cfRule type="expression" dxfId="1679" priority="393">
      <formula>H32=$B$116</formula>
    </cfRule>
    <cfRule type="expression" dxfId="1678" priority="394">
      <formula>H32=$B$113</formula>
    </cfRule>
    <cfRule type="expression" dxfId="1677" priority="395" stopIfTrue="1">
      <formula>H32=$B$111</formula>
    </cfRule>
    <cfRule type="expression" dxfId="1676" priority="396">
      <formula>H32=$B$110</formula>
    </cfRule>
    <cfRule type="expression" dxfId="1675" priority="397">
      <formula>H32=$B$109</formula>
    </cfRule>
    <cfRule type="expression" dxfId="1674" priority="398">
      <formula>H32=$B$108</formula>
    </cfRule>
    <cfRule type="expression" dxfId="1673" priority="399">
      <formula>H32=$B$106</formula>
    </cfRule>
    <cfRule type="expression" dxfId="1672" priority="400" stopIfTrue="1">
      <formula>H32=$B$107</formula>
    </cfRule>
    <cfRule type="expression" dxfId="1671" priority="401" stopIfTrue="1">
      <formula>H$5=TODAY()</formula>
    </cfRule>
  </conditionalFormatting>
  <conditionalFormatting sqref="H32">
    <cfRule type="expression" dxfId="1670" priority="359">
      <formula>H32=$B$112</formula>
    </cfRule>
  </conditionalFormatting>
  <conditionalFormatting sqref="H32">
    <cfRule type="expression" dxfId="1669" priority="360">
      <formula>H32=$B$107</formula>
    </cfRule>
  </conditionalFormatting>
  <conditionalFormatting sqref="H32:I32">
    <cfRule type="expression" dxfId="1668" priority="358">
      <formula>H32=$B$141</formula>
    </cfRule>
  </conditionalFormatting>
  <conditionalFormatting sqref="H32:I32">
    <cfRule type="expression" dxfId="1667" priority="355">
      <formula>H32=$B$133</formula>
    </cfRule>
    <cfRule type="expression" dxfId="1666" priority="356">
      <formula>H32=$B$134</formula>
    </cfRule>
    <cfRule type="expression" dxfId="1665" priority="357">
      <formula>H32=$B$132</formula>
    </cfRule>
  </conditionalFormatting>
  <conditionalFormatting sqref="H70">
    <cfRule type="expression" dxfId="1664" priority="314">
      <formula>H70=$B$141</formula>
    </cfRule>
    <cfRule type="expression" dxfId="1663" priority="315">
      <formula>H70=$B$126</formula>
    </cfRule>
    <cfRule type="expression" dxfId="1662" priority="316">
      <formula>H70=$B$124</formula>
    </cfRule>
    <cfRule type="expression" dxfId="1661" priority="317">
      <formula>H70=$B$120</formula>
    </cfRule>
    <cfRule type="expression" dxfId="1660" priority="318">
      <formula>H70=$B$115</formula>
    </cfRule>
    <cfRule type="expression" dxfId="1659" priority="319">
      <formula>H70=$B$112</formula>
    </cfRule>
    <cfRule type="expression" dxfId="1658" priority="320">
      <formula>H70=$B$109</formula>
    </cfRule>
    <cfRule type="expression" dxfId="1657" priority="321">
      <formula>H70=$B$112</formula>
    </cfRule>
    <cfRule type="expression" dxfId="1656" priority="322">
      <formula>H70=$B$142</formula>
    </cfRule>
    <cfRule type="expression" dxfId="1655" priority="323">
      <formula>H70=$B$114</formula>
    </cfRule>
    <cfRule type="expression" dxfId="1654" priority="324">
      <formula>H70=$B$142</formula>
    </cfRule>
    <cfRule type="expression" dxfId="1653" priority="325">
      <formula>H70=$B$141</formula>
    </cfRule>
    <cfRule type="expression" dxfId="1652" priority="326">
      <formula>H70=$B$140</formula>
    </cfRule>
    <cfRule type="expression" dxfId="1651" priority="327">
      <formula>H70=$B$139</formula>
    </cfRule>
    <cfRule type="expression" dxfId="1650" priority="328">
      <formula>H70=$B$138</formula>
    </cfRule>
    <cfRule type="expression" dxfId="1649" priority="329">
      <formula>H70=$B$137</formula>
    </cfRule>
    <cfRule type="expression" dxfId="1648" priority="330">
      <formula>H70=$B$136</formula>
    </cfRule>
    <cfRule type="expression" dxfId="1647" priority="331">
      <formula>H70=$B$135</formula>
    </cfRule>
    <cfRule type="expression" dxfId="1646" priority="332">
      <formula>H70=$B$131</formula>
    </cfRule>
    <cfRule type="expression" dxfId="1645" priority="333">
      <formula>H70=$B$130</formula>
    </cfRule>
    <cfRule type="expression" dxfId="1644" priority="334">
      <formula>H70=$B$129</formula>
    </cfRule>
    <cfRule type="expression" dxfId="1643" priority="335">
      <formula>H70=$B$128</formula>
    </cfRule>
    <cfRule type="expression" dxfId="1642" priority="336">
      <formula>H70=$B$127</formula>
    </cfRule>
    <cfRule type="expression" dxfId="1641" priority="337" stopIfTrue="1">
      <formula>H70=$B$126</formula>
    </cfRule>
    <cfRule type="expression" dxfId="1640" priority="338">
      <formula>H70=$B$125</formula>
    </cfRule>
    <cfRule type="expression" dxfId="1639" priority="339" stopIfTrue="1">
      <formula>H70=$B$124</formula>
    </cfRule>
    <cfRule type="expression" dxfId="1638" priority="340">
      <formula>H70=$B$123</formula>
    </cfRule>
    <cfRule type="expression" dxfId="1637" priority="341">
      <formula>H70=$B$122</formula>
    </cfRule>
    <cfRule type="expression" dxfId="1636" priority="342">
      <formula>H70=$B$121</formula>
    </cfRule>
    <cfRule type="expression" dxfId="1635" priority="343" stopIfTrue="1">
      <formula>H70=$B$119</formula>
    </cfRule>
    <cfRule type="expression" dxfId="1634" priority="344" stopIfTrue="1">
      <formula>H70=$B$118</formula>
    </cfRule>
    <cfRule type="expression" dxfId="1633" priority="345" stopIfTrue="1">
      <formula>H70=$B$117</formula>
    </cfRule>
    <cfRule type="expression" dxfId="1632" priority="346">
      <formula>H70=$B$116</formula>
    </cfRule>
    <cfRule type="expression" dxfId="1631" priority="347">
      <formula>H70=$B$113</formula>
    </cfRule>
    <cfRule type="expression" dxfId="1630" priority="348" stopIfTrue="1">
      <formula>H70=$B$111</formula>
    </cfRule>
    <cfRule type="expression" dxfId="1629" priority="349">
      <formula>H70=$B$110</formula>
    </cfRule>
    <cfRule type="expression" dxfId="1628" priority="350">
      <formula>H70=$B$109</formula>
    </cfRule>
    <cfRule type="expression" dxfId="1627" priority="351">
      <formula>H70=$B$108</formula>
    </cfRule>
    <cfRule type="expression" dxfId="1626" priority="352">
      <formula>H70=$B$106</formula>
    </cfRule>
    <cfRule type="expression" dxfId="1625" priority="353" stopIfTrue="1">
      <formula>H70=$B$107</formula>
    </cfRule>
    <cfRule type="expression" dxfId="1624" priority="354" stopIfTrue="1">
      <formula>H$5=TODAY()</formula>
    </cfRule>
  </conditionalFormatting>
  <conditionalFormatting sqref="H70">
    <cfRule type="expression" dxfId="1623" priority="311">
      <formula>H70=$B$133</formula>
    </cfRule>
    <cfRule type="expression" dxfId="1622" priority="312">
      <formula>H70=$B$134</formula>
    </cfRule>
    <cfRule type="expression" dxfId="1621" priority="313">
      <formula>H70=$B$132</formula>
    </cfRule>
  </conditionalFormatting>
  <conditionalFormatting sqref="H50">
    <cfRule type="expression" dxfId="1620" priority="270">
      <formula>H50=$B$141</formula>
    </cfRule>
    <cfRule type="expression" dxfId="1619" priority="271">
      <formula>H50=$B$126</formula>
    </cfRule>
    <cfRule type="expression" dxfId="1618" priority="272">
      <formula>H50=$B$124</formula>
    </cfRule>
    <cfRule type="expression" dxfId="1617" priority="273">
      <formula>H50=$B$120</formula>
    </cfRule>
    <cfRule type="expression" dxfId="1616" priority="274">
      <formula>H50=$B$115</formula>
    </cfRule>
    <cfRule type="expression" dxfId="1615" priority="275">
      <formula>H50=$B$112</formula>
    </cfRule>
    <cfRule type="expression" dxfId="1614" priority="276">
      <formula>H50=$B$109</formula>
    </cfRule>
    <cfRule type="expression" dxfId="1613" priority="277">
      <formula>H50=$B$112</formula>
    </cfRule>
    <cfRule type="expression" dxfId="1612" priority="278">
      <formula>H50=$B$142</formula>
    </cfRule>
    <cfRule type="expression" dxfId="1611" priority="279">
      <formula>H50=$B$114</formula>
    </cfRule>
    <cfRule type="expression" dxfId="1610" priority="280">
      <formula>H50=$B$142</formula>
    </cfRule>
    <cfRule type="expression" dxfId="1609" priority="281">
      <formula>H50=$B$141</formula>
    </cfRule>
    <cfRule type="expression" dxfId="1608" priority="282">
      <formula>H50=$B$140</formula>
    </cfRule>
    <cfRule type="expression" dxfId="1607" priority="283">
      <formula>H50=$B$139</formula>
    </cfRule>
    <cfRule type="expression" dxfId="1606" priority="284">
      <formula>H50=$B$138</formula>
    </cfRule>
    <cfRule type="expression" dxfId="1605" priority="285">
      <formula>H50=$B$137</formula>
    </cfRule>
    <cfRule type="expression" dxfId="1604" priority="286">
      <formula>H50=$B$136</formula>
    </cfRule>
    <cfRule type="expression" dxfId="1603" priority="287">
      <formula>H50=$B$135</formula>
    </cfRule>
    <cfRule type="expression" dxfId="1602" priority="288">
      <formula>H50=$B$131</formula>
    </cfRule>
    <cfRule type="expression" dxfId="1601" priority="289">
      <formula>H50=$B$130</formula>
    </cfRule>
    <cfRule type="expression" dxfId="1600" priority="290">
      <formula>H50=$B$129</formula>
    </cfRule>
    <cfRule type="expression" dxfId="1599" priority="291">
      <formula>H50=$B$128</formula>
    </cfRule>
    <cfRule type="expression" dxfId="1598" priority="292">
      <formula>H50=$B$127</formula>
    </cfRule>
    <cfRule type="expression" dxfId="1597" priority="293" stopIfTrue="1">
      <formula>H50=$B$126</formula>
    </cfRule>
    <cfRule type="expression" dxfId="1596" priority="294">
      <formula>H50=$B$125</formula>
    </cfRule>
    <cfRule type="expression" dxfId="1595" priority="295" stopIfTrue="1">
      <formula>H50=$B$124</formula>
    </cfRule>
    <cfRule type="expression" dxfId="1594" priority="296">
      <formula>H50=$B$123</formula>
    </cfRule>
    <cfRule type="expression" dxfId="1593" priority="297">
      <formula>H50=$B$122</formula>
    </cfRule>
    <cfRule type="expression" dxfId="1592" priority="298">
      <formula>H50=$B$121</formula>
    </cfRule>
    <cfRule type="expression" dxfId="1591" priority="299" stopIfTrue="1">
      <formula>H50=$B$119</formula>
    </cfRule>
    <cfRule type="expression" dxfId="1590" priority="300" stopIfTrue="1">
      <formula>H50=$B$118</formula>
    </cfRule>
    <cfRule type="expression" dxfId="1589" priority="301" stopIfTrue="1">
      <formula>H50=$B$117</formula>
    </cfRule>
    <cfRule type="expression" dxfId="1588" priority="302">
      <formula>H50=$B$116</formula>
    </cfRule>
    <cfRule type="expression" dxfId="1587" priority="303">
      <formula>H50=$B$113</formula>
    </cfRule>
    <cfRule type="expression" dxfId="1586" priority="304" stopIfTrue="1">
      <formula>H50=$B$111</formula>
    </cfRule>
    <cfRule type="expression" dxfId="1585" priority="305">
      <formula>H50=$B$110</formula>
    </cfRule>
    <cfRule type="expression" dxfId="1584" priority="306">
      <formula>H50=$B$109</formula>
    </cfRule>
    <cfRule type="expression" dxfId="1583" priority="307">
      <formula>H50=$B$108</formula>
    </cfRule>
    <cfRule type="expression" dxfId="1582" priority="308">
      <formula>H50=$B$106</formula>
    </cfRule>
    <cfRule type="expression" dxfId="1581" priority="309" stopIfTrue="1">
      <formula>H50=$B$107</formula>
    </cfRule>
    <cfRule type="expression" dxfId="1580" priority="310" stopIfTrue="1">
      <formula>H$5=TODAY()</formula>
    </cfRule>
  </conditionalFormatting>
  <conditionalFormatting sqref="H50">
    <cfRule type="expression" dxfId="1579" priority="267">
      <formula>H50=$B$133</formula>
    </cfRule>
    <cfRule type="expression" dxfId="1578" priority="268">
      <formula>H50=$B$134</formula>
    </cfRule>
    <cfRule type="expression" dxfId="1577" priority="269">
      <formula>H50=$B$132</formula>
    </cfRule>
  </conditionalFormatting>
  <conditionalFormatting sqref="H40">
    <cfRule type="expression" dxfId="1576" priority="226">
      <formula>H40=$B$141</formula>
    </cfRule>
    <cfRule type="expression" dxfId="1575" priority="227">
      <formula>H40=$B$126</formula>
    </cfRule>
    <cfRule type="expression" dxfId="1574" priority="228">
      <formula>H40=$B$124</formula>
    </cfRule>
    <cfRule type="expression" dxfId="1573" priority="229">
      <formula>H40=$B$120</formula>
    </cfRule>
    <cfRule type="expression" dxfId="1572" priority="230">
      <formula>H40=$B$115</formula>
    </cfRule>
    <cfRule type="expression" dxfId="1571" priority="231">
      <formula>H40=$B$112</formula>
    </cfRule>
    <cfRule type="expression" dxfId="1570" priority="232">
      <formula>H40=$B$109</formula>
    </cfRule>
    <cfRule type="expression" dxfId="1569" priority="233">
      <formula>H40=$B$112</formula>
    </cfRule>
    <cfRule type="expression" dxfId="1568" priority="234">
      <formula>H40=$B$142</formula>
    </cfRule>
    <cfRule type="expression" dxfId="1567" priority="235">
      <formula>H40=$B$114</formula>
    </cfRule>
    <cfRule type="expression" dxfId="1566" priority="236">
      <formula>H40=$B$142</formula>
    </cfRule>
    <cfRule type="expression" dxfId="1565" priority="237">
      <formula>H40=$B$141</formula>
    </cfRule>
    <cfRule type="expression" dxfId="1564" priority="238">
      <formula>H40=$B$140</formula>
    </cfRule>
    <cfRule type="expression" dxfId="1563" priority="239">
      <formula>H40=$B$139</formula>
    </cfRule>
    <cfRule type="expression" dxfId="1562" priority="240">
      <formula>H40=$B$138</formula>
    </cfRule>
    <cfRule type="expression" dxfId="1561" priority="241">
      <formula>H40=$B$137</formula>
    </cfRule>
    <cfRule type="expression" dxfId="1560" priority="242">
      <formula>H40=$B$136</formula>
    </cfRule>
    <cfRule type="expression" dxfId="1559" priority="243">
      <formula>H40=$B$135</formula>
    </cfRule>
    <cfRule type="expression" dxfId="1558" priority="244">
      <formula>H40=$B$131</formula>
    </cfRule>
    <cfRule type="expression" dxfId="1557" priority="245">
      <formula>H40=$B$130</formula>
    </cfRule>
    <cfRule type="expression" dxfId="1556" priority="246">
      <formula>H40=$B$129</formula>
    </cfRule>
    <cfRule type="expression" dxfId="1555" priority="247">
      <formula>H40=$B$128</formula>
    </cfRule>
    <cfRule type="expression" dxfId="1554" priority="248">
      <formula>H40=$B$127</formula>
    </cfRule>
    <cfRule type="expression" dxfId="1553" priority="249" stopIfTrue="1">
      <formula>H40=$B$126</formula>
    </cfRule>
    <cfRule type="expression" dxfId="1552" priority="250">
      <formula>H40=$B$125</formula>
    </cfRule>
    <cfRule type="expression" dxfId="1551" priority="251" stopIfTrue="1">
      <formula>H40=$B$124</formula>
    </cfRule>
    <cfRule type="expression" dxfId="1550" priority="252">
      <formula>H40=$B$123</formula>
    </cfRule>
    <cfRule type="expression" dxfId="1549" priority="253">
      <formula>H40=$B$122</formula>
    </cfRule>
    <cfRule type="expression" dxfId="1548" priority="254">
      <formula>H40=$B$121</formula>
    </cfRule>
    <cfRule type="expression" dxfId="1547" priority="255" stopIfTrue="1">
      <formula>H40=$B$119</formula>
    </cfRule>
    <cfRule type="expression" dxfId="1546" priority="256" stopIfTrue="1">
      <formula>H40=$B$118</formula>
    </cfRule>
    <cfRule type="expression" dxfId="1545" priority="257" stopIfTrue="1">
      <formula>H40=$B$117</formula>
    </cfRule>
    <cfRule type="expression" dxfId="1544" priority="258">
      <formula>H40=$B$116</formula>
    </cfRule>
    <cfRule type="expression" dxfId="1543" priority="259">
      <formula>H40=$B$113</formula>
    </cfRule>
    <cfRule type="expression" dxfId="1542" priority="260" stopIfTrue="1">
      <formula>H40=$B$111</formula>
    </cfRule>
    <cfRule type="expression" dxfId="1541" priority="261">
      <formula>H40=$B$110</formula>
    </cfRule>
    <cfRule type="expression" dxfId="1540" priority="262">
      <formula>H40=$B$109</formula>
    </cfRule>
    <cfRule type="expression" dxfId="1539" priority="263">
      <formula>H40=$B$108</formula>
    </cfRule>
    <cfRule type="expression" dxfId="1538" priority="264">
      <formula>H40=$B$106</formula>
    </cfRule>
    <cfRule type="expression" dxfId="1537" priority="265" stopIfTrue="1">
      <formula>H40=$B$107</formula>
    </cfRule>
    <cfRule type="expression" dxfId="1536" priority="266" stopIfTrue="1">
      <formula>H$5=TODAY()</formula>
    </cfRule>
  </conditionalFormatting>
  <conditionalFormatting sqref="H40">
    <cfRule type="expression" dxfId="1535" priority="223">
      <formula>H40=$B$133</formula>
    </cfRule>
    <cfRule type="expression" dxfId="1534" priority="224">
      <formula>H40=$B$134</formula>
    </cfRule>
    <cfRule type="expression" dxfId="1533" priority="225">
      <formula>H40=$B$132</formula>
    </cfRule>
  </conditionalFormatting>
  <conditionalFormatting sqref="C46">
    <cfRule type="expression" dxfId="1532" priority="222">
      <formula>C46=$B$141</formula>
    </cfRule>
  </conditionalFormatting>
  <conditionalFormatting sqref="C46">
    <cfRule type="expression" dxfId="1531" priority="219">
      <formula>C46=$B$133</formula>
    </cfRule>
    <cfRule type="expression" dxfId="1530" priority="220">
      <formula>C46=$B$134</formula>
    </cfRule>
    <cfRule type="expression" dxfId="1529" priority="221">
      <formula>C46=$B$132</formula>
    </cfRule>
  </conditionalFormatting>
  <conditionalFormatting sqref="D46">
    <cfRule type="expression" dxfId="1528" priority="218">
      <formula>D46=$B$141</formula>
    </cfRule>
  </conditionalFormatting>
  <conditionalFormatting sqref="I38">
    <cfRule type="expression" dxfId="1527" priority="178">
      <formula>I38=$B$126</formula>
    </cfRule>
    <cfRule type="expression" dxfId="1526" priority="179">
      <formula>I38=$B$124</formula>
    </cfRule>
    <cfRule type="expression" dxfId="1525" priority="180">
      <formula>I38=$B$120</formula>
    </cfRule>
    <cfRule type="expression" dxfId="1524" priority="181">
      <formula>I38=$B$115</formula>
    </cfRule>
    <cfRule type="expression" dxfId="1523" priority="182">
      <formula>I38=$B$112</formula>
    </cfRule>
    <cfRule type="expression" dxfId="1522" priority="183">
      <formula>I38=$B$109</formula>
    </cfRule>
    <cfRule type="expression" dxfId="1521" priority="184">
      <formula>I38=$B$112</formula>
    </cfRule>
    <cfRule type="expression" dxfId="1520" priority="185">
      <formula>I38=$B$142</formula>
    </cfRule>
    <cfRule type="expression" dxfId="1519" priority="186">
      <formula>I38=$B$114</formula>
    </cfRule>
    <cfRule type="expression" dxfId="1518" priority="187">
      <formula>I38=$B$142</formula>
    </cfRule>
    <cfRule type="expression" dxfId="1517" priority="188">
      <formula>I38=$B$141</formula>
    </cfRule>
    <cfRule type="expression" dxfId="1516" priority="189">
      <formula>I38=$B$140</formula>
    </cfRule>
    <cfRule type="expression" dxfId="1515" priority="190">
      <formula>I38=$B$139</formula>
    </cfRule>
    <cfRule type="expression" dxfId="1514" priority="191">
      <formula>I38=$B$138</formula>
    </cfRule>
    <cfRule type="expression" dxfId="1513" priority="192">
      <formula>I38=$B$137</formula>
    </cfRule>
    <cfRule type="expression" dxfId="1512" priority="193">
      <formula>I38=$B$136</formula>
    </cfRule>
    <cfRule type="expression" dxfId="1511" priority="194">
      <formula>I38=$B$135</formula>
    </cfRule>
    <cfRule type="expression" dxfId="1510" priority="195">
      <formula>I38=$B$131</formula>
    </cfRule>
    <cfRule type="expression" dxfId="1509" priority="196">
      <formula>I38=$B$130</formula>
    </cfRule>
    <cfRule type="expression" dxfId="1508" priority="197">
      <formula>I38=$B$129</formula>
    </cfRule>
    <cfRule type="expression" dxfId="1507" priority="198">
      <formula>I38=$B$128</formula>
    </cfRule>
    <cfRule type="expression" dxfId="1506" priority="199">
      <formula>I38=$B$127</formula>
    </cfRule>
    <cfRule type="expression" dxfId="1505" priority="200" stopIfTrue="1">
      <formula>I38=$B$126</formula>
    </cfRule>
    <cfRule type="expression" dxfId="1504" priority="201">
      <formula>I38=$B$125</formula>
    </cfRule>
    <cfRule type="expression" dxfId="1503" priority="202" stopIfTrue="1">
      <formula>I38=$B$124</formula>
    </cfRule>
    <cfRule type="expression" dxfId="1502" priority="203">
      <formula>I38=$B$123</formula>
    </cfRule>
    <cfRule type="expression" dxfId="1501" priority="204">
      <formula>I38=$B$122</formula>
    </cfRule>
    <cfRule type="expression" dxfId="1500" priority="205">
      <formula>I38=$B$121</formula>
    </cfRule>
    <cfRule type="expression" dxfId="1499" priority="206" stopIfTrue="1">
      <formula>I38=$B$119</formula>
    </cfRule>
    <cfRule type="expression" dxfId="1498" priority="207" stopIfTrue="1">
      <formula>I38=$B$118</formula>
    </cfRule>
    <cfRule type="expression" dxfId="1497" priority="208" stopIfTrue="1">
      <formula>I38=$B$117</formula>
    </cfRule>
    <cfRule type="expression" dxfId="1496" priority="209">
      <formula>I38=$B$116</formula>
    </cfRule>
    <cfRule type="expression" dxfId="1495" priority="210">
      <formula>I38=$B$113</formula>
    </cfRule>
    <cfRule type="expression" dxfId="1494" priority="211" stopIfTrue="1">
      <formula>I38=$B$111</formula>
    </cfRule>
    <cfRule type="expression" dxfId="1493" priority="212">
      <formula>I38=$B$110</formula>
    </cfRule>
    <cfRule type="expression" dxfId="1492" priority="213">
      <formula>I38=$B$109</formula>
    </cfRule>
    <cfRule type="expression" dxfId="1491" priority="214">
      <formula>I38=$B$108</formula>
    </cfRule>
    <cfRule type="expression" dxfId="1490" priority="215">
      <formula>I38=$B$106</formula>
    </cfRule>
    <cfRule type="expression" dxfId="1489" priority="216" stopIfTrue="1">
      <formula>I38=$B$107</formula>
    </cfRule>
    <cfRule type="expression" dxfId="1488" priority="217" stopIfTrue="1">
      <formula>I$5=TODAY()</formula>
    </cfRule>
  </conditionalFormatting>
  <conditionalFormatting sqref="I38">
    <cfRule type="expression" dxfId="1487" priority="175">
      <formula>I38=$B$133</formula>
    </cfRule>
    <cfRule type="expression" dxfId="1486" priority="176">
      <formula>I38=$B$134</formula>
    </cfRule>
    <cfRule type="expression" dxfId="1485" priority="177">
      <formula>I38=$B$132</formula>
    </cfRule>
  </conditionalFormatting>
  <conditionalFormatting sqref="H38">
    <cfRule type="expression" dxfId="1484" priority="134">
      <formula>H38=$B$141</formula>
    </cfRule>
    <cfRule type="expression" dxfId="1483" priority="135">
      <formula>H38=$B$126</formula>
    </cfRule>
    <cfRule type="expression" dxfId="1482" priority="136">
      <formula>H38=$B$124</formula>
    </cfRule>
    <cfRule type="expression" dxfId="1481" priority="137">
      <formula>H38=$B$120</formula>
    </cfRule>
    <cfRule type="expression" dxfId="1480" priority="138">
      <formula>H38=$B$115</formula>
    </cfRule>
    <cfRule type="expression" dxfId="1479" priority="139">
      <formula>H38=$B$112</formula>
    </cfRule>
    <cfRule type="expression" dxfId="1478" priority="140">
      <formula>H38=$B$109</formula>
    </cfRule>
    <cfRule type="expression" dxfId="1477" priority="141">
      <formula>H38=$B$112</formula>
    </cfRule>
    <cfRule type="expression" dxfId="1476" priority="142">
      <formula>H38=$B$142</formula>
    </cfRule>
    <cfRule type="expression" dxfId="1475" priority="143">
      <formula>H38=$B$114</formula>
    </cfRule>
    <cfRule type="expression" dxfId="1474" priority="144">
      <formula>H38=$B$142</formula>
    </cfRule>
    <cfRule type="expression" dxfId="1473" priority="145">
      <formula>H38=$B$141</formula>
    </cfRule>
    <cfRule type="expression" dxfId="1472" priority="146">
      <formula>H38=$B$140</formula>
    </cfRule>
    <cfRule type="expression" dxfId="1471" priority="147">
      <formula>H38=$B$139</formula>
    </cfRule>
    <cfRule type="expression" dxfId="1470" priority="148">
      <formula>H38=$B$138</formula>
    </cfRule>
    <cfRule type="expression" dxfId="1469" priority="149">
      <formula>H38=$B$137</formula>
    </cfRule>
    <cfRule type="expression" dxfId="1468" priority="150">
      <formula>H38=$B$136</formula>
    </cfRule>
    <cfRule type="expression" dxfId="1467" priority="151">
      <formula>H38=$B$135</formula>
    </cfRule>
    <cfRule type="expression" dxfId="1466" priority="152">
      <formula>H38=$B$131</formula>
    </cfRule>
    <cfRule type="expression" dxfId="1465" priority="153">
      <formula>H38=$B$130</formula>
    </cfRule>
    <cfRule type="expression" dxfId="1464" priority="154">
      <formula>H38=$B$129</formula>
    </cfRule>
    <cfRule type="expression" dxfId="1463" priority="155">
      <formula>H38=$B$128</formula>
    </cfRule>
    <cfRule type="expression" dxfId="1462" priority="156">
      <formula>H38=$B$127</formula>
    </cfRule>
    <cfRule type="expression" dxfId="1461" priority="157" stopIfTrue="1">
      <formula>H38=$B$126</formula>
    </cfRule>
    <cfRule type="expression" dxfId="1460" priority="158">
      <formula>H38=$B$125</formula>
    </cfRule>
    <cfRule type="expression" dxfId="1459" priority="159" stopIfTrue="1">
      <formula>H38=$B$124</formula>
    </cfRule>
    <cfRule type="expression" dxfId="1458" priority="160">
      <formula>H38=$B$123</formula>
    </cfRule>
    <cfRule type="expression" dxfId="1457" priority="161">
      <formula>H38=$B$122</formula>
    </cfRule>
    <cfRule type="expression" dxfId="1456" priority="162">
      <formula>H38=$B$121</formula>
    </cfRule>
    <cfRule type="expression" dxfId="1455" priority="163" stopIfTrue="1">
      <formula>H38=$B$119</formula>
    </cfRule>
    <cfRule type="expression" dxfId="1454" priority="164" stopIfTrue="1">
      <formula>H38=$B$118</formula>
    </cfRule>
    <cfRule type="expression" dxfId="1453" priority="165" stopIfTrue="1">
      <formula>H38=$B$117</formula>
    </cfRule>
    <cfRule type="expression" dxfId="1452" priority="166">
      <formula>H38=$B$116</formula>
    </cfRule>
    <cfRule type="expression" dxfId="1451" priority="167">
      <formula>H38=$B$113</formula>
    </cfRule>
    <cfRule type="expression" dxfId="1450" priority="168" stopIfTrue="1">
      <formula>H38=$B$111</formula>
    </cfRule>
    <cfRule type="expression" dxfId="1449" priority="169">
      <formula>H38=$B$110</formula>
    </cfRule>
    <cfRule type="expression" dxfId="1448" priority="170">
      <formula>H38=$B$109</formula>
    </cfRule>
    <cfRule type="expression" dxfId="1447" priority="171">
      <formula>H38=$B$108</formula>
    </cfRule>
    <cfRule type="expression" dxfId="1446" priority="172">
      <formula>H38=$B$106</formula>
    </cfRule>
    <cfRule type="expression" dxfId="1445" priority="173" stopIfTrue="1">
      <formula>H38=$B$107</formula>
    </cfRule>
    <cfRule type="expression" dxfId="1444" priority="174" stopIfTrue="1">
      <formula>H$5=TODAY()</formula>
    </cfRule>
  </conditionalFormatting>
  <conditionalFormatting sqref="H38">
    <cfRule type="expression" dxfId="1443" priority="131">
      <formula>H38=$B$133</formula>
    </cfRule>
    <cfRule type="expression" dxfId="1442" priority="132">
      <formula>H38=$B$134</formula>
    </cfRule>
    <cfRule type="expression" dxfId="1441" priority="133">
      <formula>H38=$B$132</formula>
    </cfRule>
  </conditionalFormatting>
  <conditionalFormatting sqref="G44">
    <cfRule type="expression" dxfId="1440" priority="91">
      <formula>G44=$B$126</formula>
    </cfRule>
    <cfRule type="expression" dxfId="1439" priority="92">
      <formula>G44=$B$124</formula>
    </cfRule>
    <cfRule type="expression" dxfId="1438" priority="93">
      <formula>G44=$B$120</formula>
    </cfRule>
    <cfRule type="expression" dxfId="1437" priority="94">
      <formula>G44=$B$115</formula>
    </cfRule>
    <cfRule type="expression" dxfId="1436" priority="95">
      <formula>G44=$B$112</formula>
    </cfRule>
    <cfRule type="expression" dxfId="1435" priority="96">
      <formula>G44=$B$109</formula>
    </cfRule>
    <cfRule type="expression" dxfId="1434" priority="97">
      <formula>G44=$B$112</formula>
    </cfRule>
    <cfRule type="expression" dxfId="1433" priority="98">
      <formula>G44=$B$142</formula>
    </cfRule>
    <cfRule type="expression" dxfId="1432" priority="99">
      <formula>G44=$B$114</formula>
    </cfRule>
    <cfRule type="expression" dxfId="1431" priority="100">
      <formula>G44=$B$142</formula>
    </cfRule>
    <cfRule type="expression" dxfId="1430" priority="101">
      <formula>G44=$B$141</formula>
    </cfRule>
    <cfRule type="expression" dxfId="1429" priority="102">
      <formula>G44=$B$140</formula>
    </cfRule>
    <cfRule type="expression" dxfId="1428" priority="103">
      <formula>G44=$B$139</formula>
    </cfRule>
    <cfRule type="expression" dxfId="1427" priority="104">
      <formula>G44=$B$138</formula>
    </cfRule>
    <cfRule type="expression" dxfId="1426" priority="105">
      <formula>G44=$B$137</formula>
    </cfRule>
    <cfRule type="expression" dxfId="1425" priority="106">
      <formula>G44=$B$136</formula>
    </cfRule>
    <cfRule type="expression" dxfId="1424" priority="107">
      <formula>G44=$B$135</formula>
    </cfRule>
    <cfRule type="expression" dxfId="1423" priority="108">
      <formula>G44=$B$131</formula>
    </cfRule>
    <cfRule type="expression" dxfId="1422" priority="109">
      <formula>G44=$B$130</formula>
    </cfRule>
    <cfRule type="expression" dxfId="1421" priority="110">
      <formula>G44=$B$129</formula>
    </cfRule>
    <cfRule type="expression" dxfId="1420" priority="111">
      <formula>G44=$B$128</formula>
    </cfRule>
    <cfRule type="expression" dxfId="1419" priority="112">
      <formula>G44=$B$127</formula>
    </cfRule>
    <cfRule type="expression" dxfId="1418" priority="113" stopIfTrue="1">
      <formula>G44=$B$126</formula>
    </cfRule>
    <cfRule type="expression" dxfId="1417" priority="114">
      <formula>G44=$B$125</formula>
    </cfRule>
    <cfRule type="expression" dxfId="1416" priority="115" stopIfTrue="1">
      <formula>G44=$B$124</formula>
    </cfRule>
    <cfRule type="expression" dxfId="1415" priority="116">
      <formula>G44=$B$123</formula>
    </cfRule>
    <cfRule type="expression" dxfId="1414" priority="117">
      <formula>G44=$B$122</formula>
    </cfRule>
    <cfRule type="expression" dxfId="1413" priority="118">
      <formula>G44=$B$121</formula>
    </cfRule>
    <cfRule type="expression" dxfId="1412" priority="119" stopIfTrue="1">
      <formula>G44=$B$119</formula>
    </cfRule>
    <cfRule type="expression" dxfId="1411" priority="120" stopIfTrue="1">
      <formula>G44=$B$118</formula>
    </cfRule>
    <cfRule type="expression" dxfId="1410" priority="121" stopIfTrue="1">
      <formula>G44=$B$117</formula>
    </cfRule>
    <cfRule type="expression" dxfId="1409" priority="122">
      <formula>G44=$B$116</formula>
    </cfRule>
    <cfRule type="expression" dxfId="1408" priority="123">
      <formula>G44=$B$113</formula>
    </cfRule>
    <cfRule type="expression" dxfId="1407" priority="124" stopIfTrue="1">
      <formula>G44=$B$111</formula>
    </cfRule>
    <cfRule type="expression" dxfId="1406" priority="125">
      <formula>G44=$B$110</formula>
    </cfRule>
    <cfRule type="expression" dxfId="1405" priority="126">
      <formula>G44=$B$109</formula>
    </cfRule>
    <cfRule type="expression" dxfId="1404" priority="127">
      <formula>G44=$B$108</formula>
    </cfRule>
    <cfRule type="expression" dxfId="1403" priority="128">
      <formula>G44=$B$106</formula>
    </cfRule>
    <cfRule type="expression" dxfId="1402" priority="129" stopIfTrue="1">
      <formula>G44=$B$107</formula>
    </cfRule>
    <cfRule type="expression" dxfId="1401" priority="130" stopIfTrue="1">
      <formula>G$5=TODAY()</formula>
    </cfRule>
  </conditionalFormatting>
  <conditionalFormatting sqref="G44">
    <cfRule type="expression" dxfId="1400" priority="88">
      <formula>G44=$B$133</formula>
    </cfRule>
    <cfRule type="expression" dxfId="1399" priority="89">
      <formula>G44=$B$134</formula>
    </cfRule>
    <cfRule type="expression" dxfId="1398" priority="90">
      <formula>G44=$B$132</formula>
    </cfRule>
  </conditionalFormatting>
  <conditionalFormatting sqref="I44">
    <cfRule type="expression" dxfId="1397" priority="48">
      <formula>I44=$B$126</formula>
    </cfRule>
    <cfRule type="expression" dxfId="1396" priority="49">
      <formula>I44=$B$124</formula>
    </cfRule>
    <cfRule type="expression" dxfId="1395" priority="50">
      <formula>I44=$B$120</formula>
    </cfRule>
    <cfRule type="expression" dxfId="1394" priority="51">
      <formula>I44=$B$115</formula>
    </cfRule>
    <cfRule type="expression" dxfId="1393" priority="52">
      <formula>I44=$B$112</formula>
    </cfRule>
    <cfRule type="expression" dxfId="1392" priority="53">
      <formula>I44=$B$109</formula>
    </cfRule>
    <cfRule type="expression" dxfId="1391" priority="54">
      <formula>I44=$B$112</formula>
    </cfRule>
    <cfRule type="expression" dxfId="1390" priority="55">
      <formula>I44=$B$142</formula>
    </cfRule>
    <cfRule type="expression" dxfId="1389" priority="56">
      <formula>I44=$B$114</formula>
    </cfRule>
    <cfRule type="expression" dxfId="1388" priority="57">
      <formula>I44=$B$142</formula>
    </cfRule>
    <cfRule type="expression" dxfId="1387" priority="58">
      <formula>I44=$B$141</formula>
    </cfRule>
    <cfRule type="expression" dxfId="1386" priority="59">
      <formula>I44=$B$140</formula>
    </cfRule>
    <cfRule type="expression" dxfId="1385" priority="60">
      <formula>I44=$B$139</formula>
    </cfRule>
    <cfRule type="expression" dxfId="1384" priority="61">
      <formula>I44=$B$138</formula>
    </cfRule>
    <cfRule type="expression" dxfId="1383" priority="62">
      <formula>I44=$B$137</formula>
    </cfRule>
    <cfRule type="expression" dxfId="1382" priority="63">
      <formula>I44=$B$136</formula>
    </cfRule>
    <cfRule type="expression" dxfId="1381" priority="64">
      <formula>I44=$B$135</formula>
    </cfRule>
    <cfRule type="expression" dxfId="1380" priority="65">
      <formula>I44=$B$131</formula>
    </cfRule>
    <cfRule type="expression" dxfId="1379" priority="66">
      <formula>I44=$B$130</formula>
    </cfRule>
    <cfRule type="expression" dxfId="1378" priority="67">
      <formula>I44=$B$129</formula>
    </cfRule>
    <cfRule type="expression" dxfId="1377" priority="68">
      <formula>I44=$B$128</formula>
    </cfRule>
    <cfRule type="expression" dxfId="1376" priority="69">
      <formula>I44=$B$127</formula>
    </cfRule>
    <cfRule type="expression" dxfId="1375" priority="70" stopIfTrue="1">
      <formula>I44=$B$126</formula>
    </cfRule>
    <cfRule type="expression" dxfId="1374" priority="71">
      <formula>I44=$B$125</formula>
    </cfRule>
    <cfRule type="expression" dxfId="1373" priority="72" stopIfTrue="1">
      <formula>I44=$B$124</formula>
    </cfRule>
    <cfRule type="expression" dxfId="1372" priority="73">
      <formula>I44=$B$123</formula>
    </cfRule>
    <cfRule type="expression" dxfId="1371" priority="74">
      <formula>I44=$B$122</formula>
    </cfRule>
    <cfRule type="expression" dxfId="1370" priority="75">
      <formula>I44=$B$121</formula>
    </cfRule>
    <cfRule type="expression" dxfId="1369" priority="76" stopIfTrue="1">
      <formula>I44=$B$119</formula>
    </cfRule>
    <cfRule type="expression" dxfId="1368" priority="77" stopIfTrue="1">
      <formula>I44=$B$118</formula>
    </cfRule>
    <cfRule type="expression" dxfId="1367" priority="78" stopIfTrue="1">
      <formula>I44=$B$117</formula>
    </cfRule>
    <cfRule type="expression" dxfId="1366" priority="79">
      <formula>I44=$B$116</formula>
    </cfRule>
    <cfRule type="expression" dxfId="1365" priority="80">
      <formula>I44=$B$113</formula>
    </cfRule>
    <cfRule type="expression" dxfId="1364" priority="81" stopIfTrue="1">
      <formula>I44=$B$111</formula>
    </cfRule>
    <cfRule type="expression" dxfId="1363" priority="82">
      <formula>I44=$B$110</formula>
    </cfRule>
    <cfRule type="expression" dxfId="1362" priority="83">
      <formula>I44=$B$109</formula>
    </cfRule>
    <cfRule type="expression" dxfId="1361" priority="84">
      <formula>I44=$B$108</formula>
    </cfRule>
    <cfRule type="expression" dxfId="1360" priority="85">
      <formula>I44=$B$106</formula>
    </cfRule>
    <cfRule type="expression" dxfId="1359" priority="86" stopIfTrue="1">
      <formula>I44=$B$107</formula>
    </cfRule>
    <cfRule type="expression" dxfId="1358" priority="87" stopIfTrue="1">
      <formula>I$5=TODAY()</formula>
    </cfRule>
  </conditionalFormatting>
  <conditionalFormatting sqref="I44">
    <cfRule type="expression" dxfId="1357" priority="45">
      <formula>I44=$B$133</formula>
    </cfRule>
    <cfRule type="expression" dxfId="1356" priority="46">
      <formula>I44=$B$134</formula>
    </cfRule>
    <cfRule type="expression" dxfId="1355" priority="47">
      <formula>I44=$B$132</formula>
    </cfRule>
  </conditionalFormatting>
  <conditionalFormatting sqref="H44">
    <cfRule type="expression" dxfId="1354" priority="4">
      <formula>H44=$B$141</formula>
    </cfRule>
    <cfRule type="expression" dxfId="1353" priority="5">
      <formula>H44=$B$126</formula>
    </cfRule>
    <cfRule type="expression" dxfId="1352" priority="6">
      <formula>H44=$B$124</formula>
    </cfRule>
    <cfRule type="expression" dxfId="1351" priority="7">
      <formula>H44=$B$120</formula>
    </cfRule>
    <cfRule type="expression" dxfId="1350" priority="8">
      <formula>H44=$B$115</formula>
    </cfRule>
    <cfRule type="expression" dxfId="1349" priority="9">
      <formula>H44=$B$112</formula>
    </cfRule>
    <cfRule type="expression" dxfId="1348" priority="10">
      <formula>H44=$B$109</formula>
    </cfRule>
    <cfRule type="expression" dxfId="1347" priority="11">
      <formula>H44=$B$112</formula>
    </cfRule>
    <cfRule type="expression" dxfId="1346" priority="12">
      <formula>H44=$B$142</formula>
    </cfRule>
    <cfRule type="expression" dxfId="1345" priority="13">
      <formula>H44=$B$114</formula>
    </cfRule>
    <cfRule type="expression" dxfId="1344" priority="14">
      <formula>H44=$B$142</formula>
    </cfRule>
    <cfRule type="expression" dxfId="1343" priority="15">
      <formula>H44=$B$141</formula>
    </cfRule>
    <cfRule type="expression" dxfId="1342" priority="16">
      <formula>H44=$B$140</formula>
    </cfRule>
    <cfRule type="expression" dxfId="1341" priority="17">
      <formula>H44=$B$139</formula>
    </cfRule>
    <cfRule type="expression" dxfId="1340" priority="18">
      <formula>H44=$B$138</formula>
    </cfRule>
    <cfRule type="expression" dxfId="1339" priority="19">
      <formula>H44=$B$137</formula>
    </cfRule>
    <cfRule type="expression" dxfId="1338" priority="20">
      <formula>H44=$B$136</formula>
    </cfRule>
    <cfRule type="expression" dxfId="1337" priority="21">
      <formula>H44=$B$135</formula>
    </cfRule>
    <cfRule type="expression" dxfId="1336" priority="22">
      <formula>H44=$B$131</formula>
    </cfRule>
    <cfRule type="expression" dxfId="1335" priority="23">
      <formula>H44=$B$130</formula>
    </cfRule>
    <cfRule type="expression" dxfId="1334" priority="24">
      <formula>H44=$B$129</formula>
    </cfRule>
    <cfRule type="expression" dxfId="1333" priority="25">
      <formula>H44=$B$128</formula>
    </cfRule>
    <cfRule type="expression" dxfId="1332" priority="26">
      <formula>H44=$B$127</formula>
    </cfRule>
    <cfRule type="expression" dxfId="1331" priority="27" stopIfTrue="1">
      <formula>H44=$B$126</formula>
    </cfRule>
    <cfRule type="expression" dxfId="1330" priority="28">
      <formula>H44=$B$125</formula>
    </cfRule>
    <cfRule type="expression" dxfId="1329" priority="29" stopIfTrue="1">
      <formula>H44=$B$124</formula>
    </cfRule>
    <cfRule type="expression" dxfId="1328" priority="30">
      <formula>H44=$B$123</formula>
    </cfRule>
    <cfRule type="expression" dxfId="1327" priority="31">
      <formula>H44=$B$122</formula>
    </cfRule>
    <cfRule type="expression" dxfId="1326" priority="32">
      <formula>H44=$B$121</formula>
    </cfRule>
    <cfRule type="expression" dxfId="1325" priority="33" stopIfTrue="1">
      <formula>H44=$B$119</formula>
    </cfRule>
    <cfRule type="expression" dxfId="1324" priority="34" stopIfTrue="1">
      <formula>H44=$B$118</formula>
    </cfRule>
    <cfRule type="expression" dxfId="1323" priority="35" stopIfTrue="1">
      <formula>H44=$B$117</formula>
    </cfRule>
    <cfRule type="expression" dxfId="1322" priority="36">
      <formula>H44=$B$116</formula>
    </cfRule>
    <cfRule type="expression" dxfId="1321" priority="37">
      <formula>H44=$B$113</formula>
    </cfRule>
    <cfRule type="expression" dxfId="1320" priority="38" stopIfTrue="1">
      <formula>H44=$B$111</formula>
    </cfRule>
    <cfRule type="expression" dxfId="1319" priority="39">
      <formula>H44=$B$110</formula>
    </cfRule>
    <cfRule type="expression" dxfId="1318" priority="40">
      <formula>H44=$B$109</formula>
    </cfRule>
    <cfRule type="expression" dxfId="1317" priority="41">
      <formula>H44=$B$108</formula>
    </cfRule>
    <cfRule type="expression" dxfId="1316" priority="42">
      <formula>H44=$B$106</formula>
    </cfRule>
    <cfRule type="expression" dxfId="1315" priority="43" stopIfTrue="1">
      <formula>H44=$B$107</formula>
    </cfRule>
    <cfRule type="expression" dxfId="1314" priority="44" stopIfTrue="1">
      <formula>H$5=TODAY()</formula>
    </cfRule>
  </conditionalFormatting>
  <conditionalFormatting sqref="H44">
    <cfRule type="expression" dxfId="1313" priority="1">
      <formula>H44=$B$133</formula>
    </cfRule>
    <cfRule type="expression" dxfId="1312" priority="2">
      <formula>H44=$B$134</formula>
    </cfRule>
    <cfRule type="expression" dxfId="1311" priority="3">
      <formula>H44=$B$132</formula>
    </cfRule>
  </conditionalFormatting>
  <dataValidations count="1">
    <dataValidation type="list" allowBlank="1" showInputMessage="1" showErrorMessage="1" sqref="C52:I52 C102:I102 C16:I16 C30:I30 C90:I90 C98:I98 C48:I48 C38:I38 C8:I8 C34:I34 C58:I58 C86:I86 C62:I62 C68:I68 C74:I74 C6:I6 C24:I24 C10:I10 C82:I82 C72:I72 C12:I12 C26:I26 C56:I56 C42:I42 C18:I18 C70:I70 C60:I60 C14:I14 C40:I40 C54:I54 C78:I78 C50:I50 C20:I20 C28:I28 C36:I36 C94:I94 C92:I92 C22:I22 C84:I84 C64:I64 C46:I46 C32:I32 C80:I80 C66:I66 C88:I88 C96:I96 C100:I100 C76:I76 C44:I44" xr:uid="{00000000-0002-0000-08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8"/>
  <dimension ref="A1:L143"/>
  <sheetViews>
    <sheetView zoomScale="140" zoomScaleNormal="140" zoomScalePageLayoutView="125" workbookViewId="0">
      <pane ySplit="5" topLeftCell="A41" activePane="bottomLeft" state="frozen"/>
      <selection pane="bottomLeft" activeCell="G42" sqref="G42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21"/>
      <c r="B1" s="182" t="s">
        <v>112</v>
      </c>
      <c r="C1" s="22">
        <f t="shared" ref="C1:I1" si="0">COUNTIF(C6:C103,$B$123)+COUNTIF(C6:C103,$B$124)+COUNTIF(C6:C103,$B$125)+COUNTIF(C6:C103,$B$126)</f>
        <v>8</v>
      </c>
      <c r="D1" s="22">
        <f t="shared" si="0"/>
        <v>8</v>
      </c>
      <c r="E1" s="22">
        <f t="shared" si="0"/>
        <v>8</v>
      </c>
      <c r="F1" s="22">
        <f t="shared" si="0"/>
        <v>8</v>
      </c>
      <c r="G1" s="22">
        <f t="shared" si="0"/>
        <v>8</v>
      </c>
      <c r="H1" s="22">
        <f t="shared" si="0"/>
        <v>1</v>
      </c>
      <c r="I1" s="22">
        <f t="shared" si="0"/>
        <v>0</v>
      </c>
      <c r="J1" s="21"/>
      <c r="K1" s="21"/>
      <c r="L1" s="23"/>
    </row>
    <row r="2" spans="1:12" s="24" customFormat="1" ht="15" hidden="1" customHeight="1" x14ac:dyDescent="0.2">
      <c r="A2" s="21"/>
      <c r="B2" s="183" t="s">
        <v>30</v>
      </c>
      <c r="C2" s="25"/>
      <c r="D2" s="25"/>
      <c r="E2" s="25"/>
      <c r="F2" s="25"/>
      <c r="G2" s="25"/>
      <c r="H2" s="25"/>
      <c r="I2" s="25"/>
      <c r="J2" s="21"/>
      <c r="K2" s="21"/>
      <c r="L2" s="23"/>
    </row>
    <row r="3" spans="1:12" s="24" customFormat="1" hidden="1" x14ac:dyDescent="0.2">
      <c r="A3" s="21"/>
      <c r="B3" s="26">
        <v>43171</v>
      </c>
      <c r="C3" s="27">
        <f ca="1">WEEKNUM(TODAY())-1</f>
        <v>9</v>
      </c>
      <c r="D3" s="27">
        <f ca="1">IF($C$3=B4,1,0)</f>
        <v>0</v>
      </c>
      <c r="E3" s="27"/>
      <c r="F3" s="27">
        <f ca="1">IF($C$3=E4,1,0)</f>
        <v>0</v>
      </c>
      <c r="G3" s="27"/>
      <c r="H3" s="27">
        <f ca="1">IF($C$3=G4,1,0)</f>
        <v>0</v>
      </c>
      <c r="I3" s="27"/>
      <c r="J3" s="21"/>
      <c r="K3" s="21"/>
      <c r="L3" s="23"/>
    </row>
    <row r="4" spans="1:12" s="31" customFormat="1" x14ac:dyDescent="0.2">
      <c r="A4" s="28"/>
      <c r="B4" s="29"/>
      <c r="C4" s="184" t="s">
        <v>171</v>
      </c>
      <c r="D4" s="184"/>
      <c r="E4" s="184"/>
      <c r="F4" s="184"/>
      <c r="G4" s="184"/>
      <c r="H4" s="184"/>
      <c r="I4" s="184"/>
      <c r="J4" s="28"/>
      <c r="K4" s="28"/>
      <c r="L4" s="30"/>
    </row>
    <row r="5" spans="1:12" s="24" customFormat="1" ht="15" thickBot="1" x14ac:dyDescent="0.25">
      <c r="A5" s="21"/>
      <c r="B5" s="32"/>
      <c r="C5" s="33">
        <f>B3</f>
        <v>43171</v>
      </c>
      <c r="D5" s="33">
        <f t="shared" ref="D5:I5" si="1">C5+1</f>
        <v>43172</v>
      </c>
      <c r="E5" s="33">
        <f t="shared" si="1"/>
        <v>43173</v>
      </c>
      <c r="F5" s="33">
        <f t="shared" si="1"/>
        <v>43174</v>
      </c>
      <c r="G5" s="33">
        <f t="shared" si="1"/>
        <v>43175</v>
      </c>
      <c r="H5" s="33">
        <f t="shared" si="1"/>
        <v>43176</v>
      </c>
      <c r="I5" s="33">
        <f t="shared" si="1"/>
        <v>43177</v>
      </c>
      <c r="J5" s="34" t="s">
        <v>42</v>
      </c>
      <c r="K5" s="74" t="s">
        <v>159</v>
      </c>
      <c r="L5" s="23"/>
    </row>
    <row r="6" spans="1:12" s="24" customFormat="1" ht="13" customHeight="1" thickTop="1" x14ac:dyDescent="0.2">
      <c r="A6" s="21">
        <f>7-(COUNTIF(C6:I6,"")+COUNTIF(C6:I6,$B$140))</f>
        <v>5</v>
      </c>
      <c r="B6" s="185" t="s">
        <v>0</v>
      </c>
      <c r="C6" s="35" t="s">
        <v>87</v>
      </c>
      <c r="D6" s="35" t="s">
        <v>87</v>
      </c>
      <c r="E6" s="35" t="s">
        <v>87</v>
      </c>
      <c r="F6" s="35" t="s">
        <v>87</v>
      </c>
      <c r="G6" s="35" t="s">
        <v>87</v>
      </c>
      <c r="H6" s="36" t="s">
        <v>95</v>
      </c>
      <c r="I6" s="36" t="s">
        <v>95</v>
      </c>
      <c r="J6" s="187"/>
      <c r="K6" s="139">
        <v>5</v>
      </c>
      <c r="L6" s="23"/>
    </row>
    <row r="7" spans="1:12" s="24" customFormat="1" ht="13" customHeight="1" thickBot="1" x14ac:dyDescent="0.25">
      <c r="A7" s="21"/>
      <c r="B7" s="186"/>
      <c r="C7" s="37" t="str">
        <f t="shared" ref="C7:I7" si="2">IF(ISBLANK(C6),"",VLOOKUP(C6,$B$106:$L$142,11,0))</f>
        <v>08H00-16H30</v>
      </c>
      <c r="D7" s="37" t="str">
        <f t="shared" si="2"/>
        <v>08H00-16H30</v>
      </c>
      <c r="E7" s="37" t="str">
        <f t="shared" si="2"/>
        <v>08H00-16H30</v>
      </c>
      <c r="F7" s="37" t="str">
        <f t="shared" si="2"/>
        <v>08H00-16H30</v>
      </c>
      <c r="G7" s="37" t="str">
        <f t="shared" si="2"/>
        <v>08H00-16H30</v>
      </c>
      <c r="H7" s="38">
        <f t="shared" si="2"/>
        <v>0</v>
      </c>
      <c r="I7" s="38">
        <f t="shared" si="2"/>
        <v>0</v>
      </c>
      <c r="J7" s="188"/>
      <c r="K7" s="139"/>
    </row>
    <row r="8" spans="1:12" ht="13" customHeight="1" thickTop="1" thickBot="1" x14ac:dyDescent="0.25">
      <c r="A8" s="21">
        <f>7-(COUNTIF(C8:I8,"")+COUNTIF(C8:I8,$B$140))</f>
        <v>5</v>
      </c>
      <c r="B8" s="189" t="s">
        <v>1</v>
      </c>
      <c r="C8" s="35" t="s">
        <v>87</v>
      </c>
      <c r="D8" s="35" t="s">
        <v>87</v>
      </c>
      <c r="E8" s="35" t="s">
        <v>87</v>
      </c>
      <c r="F8" s="35" t="s">
        <v>87</v>
      </c>
      <c r="G8" s="35" t="s">
        <v>87</v>
      </c>
      <c r="H8" s="36" t="s">
        <v>95</v>
      </c>
      <c r="I8" s="36" t="s">
        <v>95</v>
      </c>
      <c r="J8" s="191"/>
      <c r="K8" s="139">
        <v>5</v>
      </c>
    </row>
    <row r="9" spans="1:12" ht="13" customHeight="1" thickTop="1" thickBot="1" x14ac:dyDescent="0.25">
      <c r="B9" s="190"/>
      <c r="C9" s="42" t="str">
        <f t="shared" ref="C9:I9" si="3">IF(ISBLANK(C8),"",VLOOKUP(C8,$B$106:$L$142,11,0))</f>
        <v>08H00-16H30</v>
      </c>
      <c r="D9" s="42" t="str">
        <f t="shared" si="3"/>
        <v>08H00-16H30</v>
      </c>
      <c r="E9" s="42" t="str">
        <f t="shared" si="3"/>
        <v>08H00-16H30</v>
      </c>
      <c r="F9" s="42" t="str">
        <f t="shared" si="3"/>
        <v>08H00-16H30</v>
      </c>
      <c r="G9" s="42" t="str">
        <f t="shared" si="3"/>
        <v>08H00-16H30</v>
      </c>
      <c r="H9" s="42">
        <f t="shared" si="3"/>
        <v>0</v>
      </c>
      <c r="I9" s="42">
        <f t="shared" si="3"/>
        <v>0</v>
      </c>
      <c r="J9" s="192"/>
      <c r="K9" s="139"/>
    </row>
    <row r="10" spans="1:12" ht="13" customHeight="1" thickTop="1" x14ac:dyDescent="0.2">
      <c r="A10" s="21">
        <f>7-(COUNTIF(C10:I10,"")+COUNTIF(C10:I10,$B$140))</f>
        <v>5</v>
      </c>
      <c r="B10" s="178" t="s">
        <v>2</v>
      </c>
      <c r="C10" s="35" t="s">
        <v>87</v>
      </c>
      <c r="D10" s="35" t="s">
        <v>87</v>
      </c>
      <c r="E10" s="35" t="s">
        <v>87</v>
      </c>
      <c r="F10" s="35" t="s">
        <v>87</v>
      </c>
      <c r="G10" s="35" t="s">
        <v>87</v>
      </c>
      <c r="H10" s="36" t="s">
        <v>95</v>
      </c>
      <c r="I10" s="36" t="s">
        <v>95</v>
      </c>
      <c r="J10" s="180"/>
      <c r="K10" s="139">
        <v>5</v>
      </c>
    </row>
    <row r="11" spans="1:12" ht="13" customHeight="1" thickBot="1" x14ac:dyDescent="0.25">
      <c r="B11" s="179"/>
      <c r="C11" s="37" t="str">
        <f t="shared" ref="C11:I11" si="4">IF(ISBLANK(C10),"",VLOOKUP(C10,$B$106:$L$142,11,0))</f>
        <v>08H00-16H30</v>
      </c>
      <c r="D11" s="37" t="str">
        <f t="shared" si="4"/>
        <v>08H00-16H30</v>
      </c>
      <c r="E11" s="37" t="str">
        <f t="shared" si="4"/>
        <v>08H00-16H30</v>
      </c>
      <c r="F11" s="37" t="str">
        <f t="shared" si="4"/>
        <v>08H00-16H30</v>
      </c>
      <c r="G11" s="37" t="str">
        <f t="shared" si="4"/>
        <v>08H00-16H30</v>
      </c>
      <c r="H11" s="37">
        <f t="shared" si="4"/>
        <v>0</v>
      </c>
      <c r="I11" s="37">
        <f t="shared" si="4"/>
        <v>0</v>
      </c>
      <c r="J11" s="181" t="s">
        <v>44</v>
      </c>
      <c r="K11" s="139"/>
    </row>
    <row r="12" spans="1:12" ht="13" customHeight="1" thickTop="1" x14ac:dyDescent="0.2">
      <c r="A12" s="21">
        <f>7-(COUNTIF(C12:I12,"")+COUNTIF(C12:I12,$B$140))</f>
        <v>5</v>
      </c>
      <c r="B12" s="178" t="s">
        <v>4</v>
      </c>
      <c r="C12" s="35" t="s">
        <v>87</v>
      </c>
      <c r="D12" s="35" t="s">
        <v>87</v>
      </c>
      <c r="E12" s="35" t="s">
        <v>87</v>
      </c>
      <c r="F12" s="35" t="s">
        <v>87</v>
      </c>
      <c r="G12" s="35" t="s">
        <v>87</v>
      </c>
      <c r="H12" s="36" t="s">
        <v>95</v>
      </c>
      <c r="I12" s="36" t="s">
        <v>95</v>
      </c>
      <c r="J12" s="180"/>
      <c r="K12" s="139">
        <v>5</v>
      </c>
    </row>
    <row r="13" spans="1:12" s="39" customFormat="1" ht="13" customHeight="1" thickBot="1" x14ac:dyDescent="0.25">
      <c r="B13" s="179"/>
      <c r="C13" s="37" t="str">
        <f t="shared" ref="C13:I13" si="5">IF(ISBLANK(C12),"",VLOOKUP(C12,$B$106:$L$142,11,0))</f>
        <v>08H00-16H30</v>
      </c>
      <c r="D13" s="37" t="str">
        <f t="shared" si="5"/>
        <v>08H00-16H30</v>
      </c>
      <c r="E13" s="37" t="str">
        <f t="shared" si="5"/>
        <v>08H00-16H30</v>
      </c>
      <c r="F13" s="37" t="str">
        <f t="shared" si="5"/>
        <v>08H00-16H30</v>
      </c>
      <c r="G13" s="37" t="str">
        <f t="shared" si="5"/>
        <v>08H00-16H30</v>
      </c>
      <c r="H13" s="37">
        <f t="shared" si="5"/>
        <v>0</v>
      </c>
      <c r="I13" s="37">
        <f t="shared" si="5"/>
        <v>0</v>
      </c>
      <c r="J13" s="181" t="s">
        <v>45</v>
      </c>
      <c r="K13" s="139"/>
      <c r="L13" s="40"/>
    </row>
    <row r="14" spans="1:12" s="39" customFormat="1" ht="13" customHeight="1" thickTop="1" x14ac:dyDescent="0.2">
      <c r="A14" s="21">
        <f>7-(COUNTIF(C14:I14,"")+COUNTIF(C14:I14,$B$140))</f>
        <v>5</v>
      </c>
      <c r="B14" s="178" t="s">
        <v>5</v>
      </c>
      <c r="C14" s="35" t="s">
        <v>87</v>
      </c>
      <c r="D14" s="35" t="s">
        <v>87</v>
      </c>
      <c r="E14" s="35" t="s">
        <v>87</v>
      </c>
      <c r="F14" s="35" t="s">
        <v>87</v>
      </c>
      <c r="G14" s="35" t="s">
        <v>87</v>
      </c>
      <c r="H14" s="36" t="s">
        <v>95</v>
      </c>
      <c r="I14" s="36" t="s">
        <v>95</v>
      </c>
      <c r="J14" s="180" t="s">
        <v>78</v>
      </c>
      <c r="K14" s="139">
        <v>5</v>
      </c>
      <c r="L14" s="40"/>
    </row>
    <row r="15" spans="1:12" s="39" customFormat="1" ht="13" customHeight="1" thickBot="1" x14ac:dyDescent="0.25">
      <c r="B15" s="179"/>
      <c r="C15" s="37" t="str">
        <f t="shared" ref="C15:I15" si="6">IF(ISBLANK(C14),"",VLOOKUP(C14,$B$106:$L$142,11,0))</f>
        <v>08H00-16H30</v>
      </c>
      <c r="D15" s="37" t="str">
        <f t="shared" si="6"/>
        <v>08H00-16H30</v>
      </c>
      <c r="E15" s="37" t="str">
        <f t="shared" si="6"/>
        <v>08H00-16H30</v>
      </c>
      <c r="F15" s="37" t="str">
        <f t="shared" si="6"/>
        <v>08H00-16H30</v>
      </c>
      <c r="G15" s="37" t="str">
        <f t="shared" si="6"/>
        <v>08H00-16H30</v>
      </c>
      <c r="H15" s="37">
        <f t="shared" si="6"/>
        <v>0</v>
      </c>
      <c r="I15" s="37">
        <f t="shared" si="6"/>
        <v>0</v>
      </c>
      <c r="J15" s="181" t="s">
        <v>45</v>
      </c>
      <c r="K15" s="139"/>
      <c r="L15" s="40"/>
    </row>
    <row r="16" spans="1:12" s="39" customFormat="1" ht="13" customHeight="1" thickTop="1" x14ac:dyDescent="0.2">
      <c r="A16" s="21">
        <f>7-(COUNTIF(C16:I16,"")+COUNTIF(C16:I16,$B$140))</f>
        <v>5</v>
      </c>
      <c r="B16" s="178" t="s">
        <v>6</v>
      </c>
      <c r="C16" s="35" t="s">
        <v>87</v>
      </c>
      <c r="D16" s="35" t="s">
        <v>87</v>
      </c>
      <c r="E16" s="35" t="s">
        <v>87</v>
      </c>
      <c r="F16" s="35" t="s">
        <v>87</v>
      </c>
      <c r="G16" s="35" t="s">
        <v>87</v>
      </c>
      <c r="H16" s="36" t="s">
        <v>95</v>
      </c>
      <c r="I16" s="36" t="s">
        <v>95</v>
      </c>
      <c r="J16" s="180"/>
      <c r="K16" s="139">
        <v>5</v>
      </c>
      <c r="L16" s="40"/>
    </row>
    <row r="17" spans="1:12" s="39" customFormat="1" ht="13" customHeight="1" thickBot="1" x14ac:dyDescent="0.25">
      <c r="B17" s="179"/>
      <c r="C17" s="37" t="str">
        <f t="shared" ref="C17:I17" si="7">IF(ISBLANK(C16),"",VLOOKUP(C16,$B$106:$L$142,11,0))</f>
        <v>08H00-16H30</v>
      </c>
      <c r="D17" s="37" t="str">
        <f t="shared" si="7"/>
        <v>08H00-16H30</v>
      </c>
      <c r="E17" s="37" t="str">
        <f t="shared" si="7"/>
        <v>08H00-16H30</v>
      </c>
      <c r="F17" s="37" t="str">
        <f t="shared" si="7"/>
        <v>08H00-16H30</v>
      </c>
      <c r="G17" s="37" t="str">
        <f t="shared" si="7"/>
        <v>08H00-16H30</v>
      </c>
      <c r="H17" s="37">
        <f t="shared" si="7"/>
        <v>0</v>
      </c>
      <c r="I17" s="37">
        <f t="shared" si="7"/>
        <v>0</v>
      </c>
      <c r="J17" s="181"/>
      <c r="K17" s="139"/>
      <c r="L17" s="40"/>
    </row>
    <row r="18" spans="1:12" s="39" customFormat="1" ht="13" customHeight="1" thickTop="1" x14ac:dyDescent="0.2">
      <c r="A18" s="21">
        <f>7-(COUNTIF(C18:I18,"")+COUNTIF(C18:I18,$B$140))</f>
        <v>5</v>
      </c>
      <c r="B18" s="186" t="s">
        <v>7</v>
      </c>
      <c r="C18" s="38" t="s">
        <v>89</v>
      </c>
      <c r="D18" s="38" t="s">
        <v>89</v>
      </c>
      <c r="E18" s="38" t="s">
        <v>89</v>
      </c>
      <c r="F18" s="38" t="s">
        <v>89</v>
      </c>
      <c r="G18" s="38" t="s">
        <v>89</v>
      </c>
      <c r="H18" s="36" t="s">
        <v>95</v>
      </c>
      <c r="I18" s="36" t="s">
        <v>95</v>
      </c>
      <c r="J18" s="188"/>
      <c r="K18" s="139">
        <v>2.5</v>
      </c>
      <c r="L18" s="40"/>
    </row>
    <row r="19" spans="1:12" s="39" customFormat="1" ht="13" customHeight="1" thickBot="1" x14ac:dyDescent="0.25">
      <c r="B19" s="186"/>
      <c r="C19" s="38" t="str">
        <f t="shared" ref="C19:I19" si="8">IF(ISBLANK(C18),"",VLOOKUP(C18,$B$106:$L$142,11,0))</f>
        <v>18H00-22H00</v>
      </c>
      <c r="D19" s="38" t="str">
        <f t="shared" si="8"/>
        <v>18H00-22H00</v>
      </c>
      <c r="E19" s="38" t="str">
        <f t="shared" si="8"/>
        <v>18H00-22H00</v>
      </c>
      <c r="F19" s="38" t="str">
        <f t="shared" si="8"/>
        <v>18H00-22H00</v>
      </c>
      <c r="G19" s="38" t="str">
        <f t="shared" si="8"/>
        <v>18H00-22H00</v>
      </c>
      <c r="H19" s="38">
        <f t="shared" si="8"/>
        <v>0</v>
      </c>
      <c r="I19" s="38">
        <f t="shared" si="8"/>
        <v>0</v>
      </c>
      <c r="J19" s="188"/>
      <c r="K19" s="139"/>
      <c r="L19" s="40"/>
    </row>
    <row r="20" spans="1:12" s="39" customFormat="1" ht="13" customHeight="1" thickTop="1" x14ac:dyDescent="0.2">
      <c r="A20" s="21">
        <f>7-(COUNTIF(C20:I20,"")+COUNTIF(C20:I20,$B$140))</f>
        <v>4</v>
      </c>
      <c r="B20" s="178" t="s">
        <v>111</v>
      </c>
      <c r="C20" s="36"/>
      <c r="D20" s="36" t="s">
        <v>82</v>
      </c>
      <c r="E20" s="36"/>
      <c r="F20" s="36" t="s">
        <v>139</v>
      </c>
      <c r="G20" s="36" t="s">
        <v>152</v>
      </c>
      <c r="H20" s="36" t="s">
        <v>149</v>
      </c>
      <c r="I20" s="36"/>
      <c r="J20" s="180" t="s">
        <v>64</v>
      </c>
      <c r="K20" s="139">
        <v>4</v>
      </c>
      <c r="L20" s="40"/>
    </row>
    <row r="21" spans="1:12" s="39" customFormat="1" ht="13" customHeight="1" thickBot="1" x14ac:dyDescent="0.25">
      <c r="B21" s="179"/>
      <c r="C21" s="37" t="str">
        <f t="shared" ref="C21:I21" si="9">IF(ISBLANK(C20),"",VLOOKUP(C20,$B$106:$L$142,11,0))</f>
        <v/>
      </c>
      <c r="D21" s="37" t="str">
        <f t="shared" si="9"/>
        <v>06H00-14H30</v>
      </c>
      <c r="E21" s="37" t="str">
        <f t="shared" si="9"/>
        <v/>
      </c>
      <c r="F21" s="37" t="str">
        <f t="shared" si="9"/>
        <v>14H00-22H30</v>
      </c>
      <c r="G21" s="37" t="str">
        <f t="shared" si="9"/>
        <v>08H30-17H00</v>
      </c>
      <c r="H21" s="37" t="str">
        <f t="shared" si="9"/>
        <v>09H00-17H30</v>
      </c>
      <c r="I21" s="37" t="str">
        <f t="shared" si="9"/>
        <v/>
      </c>
      <c r="J21" s="181"/>
      <c r="K21" s="139"/>
      <c r="L21" s="40"/>
    </row>
    <row r="22" spans="1:12" ht="13" customHeight="1" thickTop="1" x14ac:dyDescent="0.2">
      <c r="A22" s="21">
        <f>7-(COUNTIF(C22:I22,"")+COUNTIF(C22:I22,$B$140))</f>
        <v>5</v>
      </c>
      <c r="B22" s="193" t="s">
        <v>3</v>
      </c>
      <c r="C22" s="36" t="s">
        <v>83</v>
      </c>
      <c r="D22" s="36" t="s">
        <v>31</v>
      </c>
      <c r="E22" s="36" t="s">
        <v>110</v>
      </c>
      <c r="F22" s="36"/>
      <c r="G22" s="36" t="s">
        <v>110</v>
      </c>
      <c r="H22" s="36" t="s">
        <v>153</v>
      </c>
      <c r="I22" s="36" t="s">
        <v>95</v>
      </c>
      <c r="J22" s="180" t="s">
        <v>44</v>
      </c>
      <c r="K22" s="139">
        <v>5</v>
      </c>
    </row>
    <row r="23" spans="1:12" ht="13" customHeight="1" thickBot="1" x14ac:dyDescent="0.25">
      <c r="B23" s="194"/>
      <c r="C23" s="37" t="str">
        <f t="shared" ref="C23:I23" si="10">IF(ISBLANK(C22),"",VLOOKUP(C22,$B$106:$L$142,11,0))</f>
        <v>09H00-17H30</v>
      </c>
      <c r="D23" s="37" t="str">
        <f t="shared" si="10"/>
        <v>06H00-14H30</v>
      </c>
      <c r="E23" s="37" t="str">
        <f t="shared" si="10"/>
        <v>21H45-06H15</v>
      </c>
      <c r="F23" s="37" t="str">
        <f t="shared" si="10"/>
        <v/>
      </c>
      <c r="G23" s="37" t="str">
        <f t="shared" si="10"/>
        <v>21H45-06H15</v>
      </c>
      <c r="H23" s="37" t="str">
        <f t="shared" si="10"/>
        <v>22H00-06H30</v>
      </c>
      <c r="I23" s="37">
        <f t="shared" si="10"/>
        <v>0</v>
      </c>
      <c r="J23" s="181"/>
      <c r="K23" s="139"/>
    </row>
    <row r="24" spans="1:12" s="39" customFormat="1" ht="13" customHeight="1" thickTop="1" x14ac:dyDescent="0.2">
      <c r="A24" s="21">
        <f>7-(COUNTIF(C24:I24,"")+COUNTIF(C24:I24,$B$140))</f>
        <v>5</v>
      </c>
      <c r="B24" s="211" t="s">
        <v>8</v>
      </c>
      <c r="C24" s="36" t="s">
        <v>122</v>
      </c>
      <c r="D24" s="36" t="s">
        <v>93</v>
      </c>
      <c r="E24" s="36"/>
      <c r="F24" s="36" t="s">
        <v>90</v>
      </c>
      <c r="G24" s="36"/>
      <c r="H24" s="36" t="s">
        <v>137</v>
      </c>
      <c r="I24" s="36" t="s">
        <v>85</v>
      </c>
      <c r="J24" s="187" t="s">
        <v>46</v>
      </c>
      <c r="K24" s="139">
        <v>4</v>
      </c>
      <c r="L24" s="40"/>
    </row>
    <row r="25" spans="1:12" s="39" customFormat="1" ht="13" customHeight="1" thickBot="1" x14ac:dyDescent="0.25">
      <c r="B25" s="194"/>
      <c r="C25" s="37" t="str">
        <f t="shared" ref="C25:I25" si="11">IF(ISBLANK(C24),"",VLOOKUP(C24,$B$106:$L$142,11,0))</f>
        <v>06H00-14H30</v>
      </c>
      <c r="D25" s="37" t="str">
        <f t="shared" si="11"/>
        <v>06H00-14H30</v>
      </c>
      <c r="E25" s="37" t="str">
        <f t="shared" si="11"/>
        <v/>
      </c>
      <c r="F25" s="37" t="str">
        <f t="shared" si="11"/>
        <v>06H00-14H30</v>
      </c>
      <c r="G25" s="37" t="str">
        <f t="shared" si="11"/>
        <v/>
      </c>
      <c r="H25" s="37" t="str">
        <f t="shared" si="11"/>
        <v>06H00-14H30</v>
      </c>
      <c r="I25" s="37" t="str">
        <f t="shared" si="11"/>
        <v>14H30-23H00</v>
      </c>
      <c r="J25" s="181" t="s">
        <v>46</v>
      </c>
      <c r="K25" s="139"/>
      <c r="L25" s="40"/>
    </row>
    <row r="26" spans="1:12" s="39" customFormat="1" ht="13" customHeight="1" thickTop="1" x14ac:dyDescent="0.2">
      <c r="A26" s="21">
        <f>7-(COUNTIF(C26:I26,"")+COUNTIF(C26:I26,$B$140))</f>
        <v>5</v>
      </c>
      <c r="B26" s="178" t="s">
        <v>9</v>
      </c>
      <c r="C26" s="36" t="s">
        <v>137</v>
      </c>
      <c r="D26" s="36" t="s">
        <v>83</v>
      </c>
      <c r="E26" s="36" t="s">
        <v>123</v>
      </c>
      <c r="F26" s="36" t="s">
        <v>92</v>
      </c>
      <c r="G26" s="36" t="s">
        <v>84</v>
      </c>
      <c r="H26" s="36" t="s">
        <v>95</v>
      </c>
      <c r="I26" s="36" t="s">
        <v>95</v>
      </c>
      <c r="J26" s="180" t="s">
        <v>47</v>
      </c>
      <c r="K26" s="139">
        <v>5</v>
      </c>
      <c r="L26" s="40"/>
    </row>
    <row r="27" spans="1:12" s="39" customFormat="1" ht="13" customHeight="1" thickBot="1" x14ac:dyDescent="0.25">
      <c r="B27" s="179"/>
      <c r="C27" s="37" t="str">
        <f t="shared" ref="C27:I27" si="12">IF(ISBLANK(C26),"",VLOOKUP(C26,$B$106:$L$142,11,0))</f>
        <v>06H00-14H30</v>
      </c>
      <c r="D27" s="37" t="str">
        <f t="shared" si="12"/>
        <v>09H00-17H30</v>
      </c>
      <c r="E27" s="37" t="str">
        <f t="shared" si="12"/>
        <v>14H30-23H00</v>
      </c>
      <c r="F27" s="37" t="str">
        <f t="shared" si="12"/>
        <v>10H00-18H30</v>
      </c>
      <c r="G27" s="37" t="str">
        <f t="shared" si="12"/>
        <v>13H30-22H00</v>
      </c>
      <c r="H27" s="37">
        <f t="shared" si="12"/>
        <v>0</v>
      </c>
      <c r="I27" s="37">
        <f t="shared" si="12"/>
        <v>0</v>
      </c>
      <c r="J27" s="181" t="s">
        <v>47</v>
      </c>
      <c r="K27" s="139"/>
      <c r="L27" s="40"/>
    </row>
    <row r="28" spans="1:12" s="39" customFormat="1" ht="13" customHeight="1" thickTop="1" x14ac:dyDescent="0.2">
      <c r="A28" s="21">
        <f>7-(COUNTIF(C28:I28,"")+COUNTIF(C28:I28,$B$140))</f>
        <v>5</v>
      </c>
      <c r="B28" s="178" t="s">
        <v>10</v>
      </c>
      <c r="C28" s="36"/>
      <c r="D28" s="36" t="s">
        <v>150</v>
      </c>
      <c r="E28" s="36" t="s">
        <v>92</v>
      </c>
      <c r="F28" s="36" t="s">
        <v>110</v>
      </c>
      <c r="G28" s="36" t="s">
        <v>153</v>
      </c>
      <c r="H28" s="36"/>
      <c r="I28" s="36" t="s">
        <v>110</v>
      </c>
      <c r="J28" s="180" t="s">
        <v>48</v>
      </c>
      <c r="K28" s="139">
        <v>3</v>
      </c>
      <c r="L28" s="40"/>
    </row>
    <row r="29" spans="1:12" s="39" customFormat="1" ht="13" customHeight="1" thickBot="1" x14ac:dyDescent="0.25">
      <c r="B29" s="179"/>
      <c r="C29" s="37" t="str">
        <f t="shared" ref="C29:I29" si="13">IF(ISBLANK(C28),"",VLOOKUP(C28,$B$106:$L$142,11,0))</f>
        <v/>
      </c>
      <c r="D29" s="37" t="str">
        <f t="shared" si="13"/>
        <v>09H00-17H30</v>
      </c>
      <c r="E29" s="37" t="str">
        <f t="shared" si="13"/>
        <v>10H00-18H30</v>
      </c>
      <c r="F29" s="37" t="str">
        <f t="shared" si="13"/>
        <v>21H45-06H15</v>
      </c>
      <c r="G29" s="37" t="str">
        <f t="shared" si="13"/>
        <v>22H00-06H30</v>
      </c>
      <c r="H29" s="37" t="str">
        <f t="shared" si="13"/>
        <v/>
      </c>
      <c r="I29" s="37" t="str">
        <f t="shared" si="13"/>
        <v>21H45-06H15</v>
      </c>
      <c r="J29" s="181" t="s">
        <v>48</v>
      </c>
      <c r="K29" s="139"/>
      <c r="L29" s="40"/>
    </row>
    <row r="30" spans="1:12" s="39" customFormat="1" ht="13" customHeight="1" thickTop="1" x14ac:dyDescent="0.2">
      <c r="A30" s="21">
        <f>7-(COUNTIF(C30:I30,"")+COUNTIF(C30:I30,$B$140))</f>
        <v>5</v>
      </c>
      <c r="B30" s="178" t="s">
        <v>11</v>
      </c>
      <c r="C30" s="36" t="s">
        <v>153</v>
      </c>
      <c r="D30" s="36" t="s">
        <v>153</v>
      </c>
      <c r="E30" s="36"/>
      <c r="F30" s="36" t="s">
        <v>83</v>
      </c>
      <c r="G30" s="36" t="s">
        <v>92</v>
      </c>
      <c r="H30" s="36" t="s">
        <v>110</v>
      </c>
      <c r="I30" s="36" t="s">
        <v>95</v>
      </c>
      <c r="J30" s="180" t="s">
        <v>49</v>
      </c>
      <c r="K30" s="139">
        <v>5</v>
      </c>
      <c r="L30" s="40"/>
    </row>
    <row r="31" spans="1:12" s="39" customFormat="1" ht="13" customHeight="1" thickBot="1" x14ac:dyDescent="0.25">
      <c r="A31" s="21"/>
      <c r="B31" s="179"/>
      <c r="C31" s="37" t="str">
        <f t="shared" ref="C31:I31" si="14">IF(ISBLANK(C30),"",VLOOKUP(C30,$B$106:$L$142,11,0))</f>
        <v>22H00-06H30</v>
      </c>
      <c r="D31" s="37" t="str">
        <f t="shared" si="14"/>
        <v>22H00-06H30</v>
      </c>
      <c r="E31" s="37" t="str">
        <f t="shared" si="14"/>
        <v/>
      </c>
      <c r="F31" s="37" t="str">
        <f t="shared" si="14"/>
        <v>09H00-17H30</v>
      </c>
      <c r="G31" s="37" t="str">
        <f t="shared" si="14"/>
        <v>10H00-18H30</v>
      </c>
      <c r="H31" s="37" t="str">
        <f t="shared" si="14"/>
        <v>21H45-06H15</v>
      </c>
      <c r="I31" s="37">
        <f t="shared" si="14"/>
        <v>0</v>
      </c>
      <c r="J31" s="181" t="s">
        <v>49</v>
      </c>
      <c r="K31" s="139"/>
      <c r="L31" s="40"/>
    </row>
    <row r="32" spans="1:12" s="39" customFormat="1" ht="13" customHeight="1" thickTop="1" thickBot="1" x14ac:dyDescent="0.25">
      <c r="A32" s="21">
        <f>7-(COUNTIF(C32:I32,"")+COUNTIF(C32:I32,$B$140))</f>
        <v>5</v>
      </c>
      <c r="B32" s="201" t="s">
        <v>12</v>
      </c>
      <c r="C32" s="36"/>
      <c r="D32" s="36" t="s">
        <v>152</v>
      </c>
      <c r="E32" s="36" t="s">
        <v>167</v>
      </c>
      <c r="F32" s="36" t="s">
        <v>152</v>
      </c>
      <c r="G32" s="36" t="s">
        <v>167</v>
      </c>
      <c r="H32" s="36" t="s">
        <v>85</v>
      </c>
      <c r="I32" s="36"/>
      <c r="J32" s="180" t="s">
        <v>50</v>
      </c>
      <c r="K32" s="139">
        <v>5</v>
      </c>
      <c r="L32" s="40"/>
    </row>
    <row r="33" spans="1:12" s="39" customFormat="1" ht="13" customHeight="1" thickTop="1" thickBot="1" x14ac:dyDescent="0.25">
      <c r="B33" s="196"/>
      <c r="C33" s="36"/>
      <c r="D33" s="37" t="str">
        <f t="shared" ref="D33:I33" si="15">IF(ISBLANK(D32),"",VLOOKUP(D32,$B$106:$L$142,11,0))</f>
        <v>08H30-17H00</v>
      </c>
      <c r="E33" s="37" t="str">
        <f t="shared" si="15"/>
        <v>08H00-16H30</v>
      </c>
      <c r="F33" s="37" t="str">
        <f t="shared" si="15"/>
        <v>08H30-17H00</v>
      </c>
      <c r="G33" s="37" t="str">
        <f t="shared" si="15"/>
        <v>08H00-16H30</v>
      </c>
      <c r="H33" s="37" t="str">
        <f t="shared" si="15"/>
        <v>14H30-23H00</v>
      </c>
      <c r="I33" s="37" t="str">
        <f t="shared" si="15"/>
        <v/>
      </c>
      <c r="J33" s="181" t="s">
        <v>50</v>
      </c>
      <c r="K33" s="139"/>
      <c r="L33" s="40"/>
    </row>
    <row r="34" spans="1:12" s="39" customFormat="1" ht="13" customHeight="1" thickTop="1" x14ac:dyDescent="0.2">
      <c r="A34" s="21">
        <f>7-(COUNTIF(C34:I34,"")+COUNTIF(C34:I34,$B$140))</f>
        <v>3</v>
      </c>
      <c r="B34" s="201" t="s">
        <v>13</v>
      </c>
      <c r="C34" s="36" t="s">
        <v>167</v>
      </c>
      <c r="D34" s="36"/>
      <c r="E34" s="36"/>
      <c r="F34" s="36" t="s">
        <v>167</v>
      </c>
      <c r="G34" s="36"/>
      <c r="H34" s="36" t="s">
        <v>168</v>
      </c>
      <c r="I34" s="36"/>
      <c r="J34" s="180" t="s">
        <v>51</v>
      </c>
      <c r="K34" s="139">
        <v>3</v>
      </c>
      <c r="L34" s="40"/>
    </row>
    <row r="35" spans="1:12" s="39" customFormat="1" ht="13" customHeight="1" thickBot="1" x14ac:dyDescent="0.25">
      <c r="B35" s="196"/>
      <c r="C35" s="37" t="str">
        <f t="shared" ref="C35:I35" si="16">IF(ISBLANK(C34),"",VLOOKUP(C34,$B$106:$L$142,11,0))</f>
        <v>08H00-16H30</v>
      </c>
      <c r="D35" s="37" t="str">
        <f t="shared" si="16"/>
        <v/>
      </c>
      <c r="E35" s="37" t="str">
        <f t="shared" si="16"/>
        <v/>
      </c>
      <c r="F35" s="37" t="str">
        <f t="shared" si="16"/>
        <v>08H00-16H30</v>
      </c>
      <c r="G35" s="37" t="str">
        <f t="shared" si="16"/>
        <v/>
      </c>
      <c r="H35" s="37" t="str">
        <f t="shared" si="16"/>
        <v>14H30-23H00</v>
      </c>
      <c r="I35" s="37" t="str">
        <f t="shared" si="16"/>
        <v/>
      </c>
      <c r="J35" s="181" t="s">
        <v>51</v>
      </c>
      <c r="K35" s="139"/>
      <c r="L35" s="40"/>
    </row>
    <row r="36" spans="1:12" s="39" customFormat="1" ht="13" customHeight="1" thickTop="1" x14ac:dyDescent="0.2">
      <c r="A36" s="21">
        <f>7-(COUNTIF(C36:I36,"")+COUNTIF(C36:I36,$B$140))</f>
        <v>5</v>
      </c>
      <c r="B36" s="193" t="s">
        <v>43</v>
      </c>
      <c r="C36" s="36" t="s">
        <v>40</v>
      </c>
      <c r="D36" s="36" t="s">
        <v>40</v>
      </c>
      <c r="E36" s="36" t="s">
        <v>40</v>
      </c>
      <c r="F36" s="36" t="s">
        <v>40</v>
      </c>
      <c r="G36" s="36" t="s">
        <v>40</v>
      </c>
      <c r="H36" s="36" t="s">
        <v>95</v>
      </c>
      <c r="I36" s="36" t="s">
        <v>95</v>
      </c>
      <c r="J36" s="180" t="s">
        <v>114</v>
      </c>
      <c r="K36" s="139">
        <v>5</v>
      </c>
      <c r="L36" s="40"/>
    </row>
    <row r="37" spans="1:12" s="39" customFormat="1" ht="13" customHeight="1" thickBot="1" x14ac:dyDescent="0.25">
      <c r="B37" s="194"/>
      <c r="C37" s="37">
        <f t="shared" ref="C37:I37" si="17">IF(ISBLANK(C36),"",VLOOKUP(C36,$B$106:$L$142,11,0))</f>
        <v>0</v>
      </c>
      <c r="D37" s="37">
        <f t="shared" si="17"/>
        <v>0</v>
      </c>
      <c r="E37" s="37">
        <f t="shared" si="17"/>
        <v>0</v>
      </c>
      <c r="F37" s="37">
        <f t="shared" si="17"/>
        <v>0</v>
      </c>
      <c r="G37" s="37">
        <f t="shared" si="17"/>
        <v>0</v>
      </c>
      <c r="H37" s="37">
        <f t="shared" si="17"/>
        <v>0</v>
      </c>
      <c r="I37" s="37">
        <f t="shared" si="17"/>
        <v>0</v>
      </c>
      <c r="J37" s="181"/>
      <c r="K37" s="139"/>
      <c r="L37" s="40"/>
    </row>
    <row r="38" spans="1:12" s="39" customFormat="1" ht="13" customHeight="1" thickTop="1" x14ac:dyDescent="0.2">
      <c r="A38" s="21">
        <f>7-(COUNTIF(C38:I38,"")+COUNTIF(C38:I38,$B$140))</f>
        <v>4</v>
      </c>
      <c r="B38" s="178" t="s">
        <v>14</v>
      </c>
      <c r="C38" s="36"/>
      <c r="D38" s="35" t="s">
        <v>81</v>
      </c>
      <c r="E38" s="36" t="s">
        <v>150</v>
      </c>
      <c r="F38" s="36"/>
      <c r="G38" s="36" t="s">
        <v>90</v>
      </c>
      <c r="H38" s="36"/>
      <c r="I38" s="36" t="s">
        <v>83</v>
      </c>
      <c r="J38" s="180" t="s">
        <v>52</v>
      </c>
      <c r="K38" s="139">
        <v>4</v>
      </c>
      <c r="L38" s="40"/>
    </row>
    <row r="39" spans="1:12" s="39" customFormat="1" ht="13" customHeight="1" thickBot="1" x14ac:dyDescent="0.25">
      <c r="B39" s="179"/>
      <c r="C39" s="37" t="str">
        <f t="shared" ref="C39:I39" si="18">IF(ISBLANK(C38),"",VLOOKUP(C38,$B$106:$L$142,11,0))</f>
        <v/>
      </c>
      <c r="D39" s="37" t="str">
        <f t="shared" si="18"/>
        <v>14H30-23H00</v>
      </c>
      <c r="E39" s="37" t="str">
        <f t="shared" si="18"/>
        <v>09H00-17H30</v>
      </c>
      <c r="F39" s="37" t="str">
        <f t="shared" si="18"/>
        <v/>
      </c>
      <c r="G39" s="37" t="str">
        <f t="shared" si="18"/>
        <v>06H00-14H30</v>
      </c>
      <c r="H39" s="37" t="str">
        <f t="shared" si="18"/>
        <v/>
      </c>
      <c r="I39" s="37" t="str">
        <f t="shared" si="18"/>
        <v>09H00-17H30</v>
      </c>
      <c r="J39" s="181" t="s">
        <v>52</v>
      </c>
      <c r="K39" s="139"/>
      <c r="L39" s="40"/>
    </row>
    <row r="40" spans="1:12" s="39" customFormat="1" ht="13" customHeight="1" thickTop="1" x14ac:dyDescent="0.2">
      <c r="A40" s="21">
        <f>7-(COUNTIF(C40:I40,"")+COUNTIF(C40:I40,$B$140))</f>
        <v>5</v>
      </c>
      <c r="B40" s="201" t="s">
        <v>15</v>
      </c>
      <c r="C40" s="36"/>
      <c r="D40" s="36" t="s">
        <v>167</v>
      </c>
      <c r="E40" s="36" t="s">
        <v>152</v>
      </c>
      <c r="F40" s="36" t="s">
        <v>31</v>
      </c>
      <c r="G40" s="36" t="s">
        <v>85</v>
      </c>
      <c r="H40" s="36"/>
      <c r="I40" s="36" t="s">
        <v>79</v>
      </c>
      <c r="J40" s="180" t="s">
        <v>53</v>
      </c>
      <c r="K40" s="139">
        <v>5</v>
      </c>
      <c r="L40" s="40"/>
    </row>
    <row r="41" spans="1:12" s="39" customFormat="1" ht="13" customHeight="1" thickBot="1" x14ac:dyDescent="0.25">
      <c r="B41" s="196"/>
      <c r="C41" s="37" t="str">
        <f t="shared" ref="C41:I41" si="19">IF(ISBLANK(C40),"",VLOOKUP(C40,$B$106:$L$142,11,0))</f>
        <v/>
      </c>
      <c r="D41" s="37" t="str">
        <f t="shared" si="19"/>
        <v>08H00-16H30</v>
      </c>
      <c r="E41" s="37" t="str">
        <f t="shared" si="19"/>
        <v>08H30-17H00</v>
      </c>
      <c r="F41" s="37" t="str">
        <f t="shared" si="19"/>
        <v>06H00-14H30</v>
      </c>
      <c r="G41" s="37" t="str">
        <f t="shared" si="19"/>
        <v>14H30-23H00</v>
      </c>
      <c r="H41" s="37" t="str">
        <f t="shared" si="19"/>
        <v/>
      </c>
      <c r="I41" s="37" t="str">
        <f t="shared" si="19"/>
        <v>09H00-17H30</v>
      </c>
      <c r="J41" s="181" t="s">
        <v>54</v>
      </c>
      <c r="K41" s="139"/>
      <c r="L41" s="40"/>
    </row>
    <row r="42" spans="1:12" s="39" customFormat="1" ht="13" customHeight="1" thickTop="1" x14ac:dyDescent="0.2">
      <c r="A42" s="21">
        <f>7-(COUNTIF(C42:I42,"")+COUNTIF(C42:I42,$B$140))</f>
        <v>5</v>
      </c>
      <c r="B42" s="186" t="s">
        <v>119</v>
      </c>
      <c r="C42" s="38" t="s">
        <v>84</v>
      </c>
      <c r="D42" s="38" t="s">
        <v>92</v>
      </c>
      <c r="E42" s="36" t="s">
        <v>82</v>
      </c>
      <c r="F42" s="38" t="s">
        <v>150</v>
      </c>
      <c r="G42" s="36" t="s">
        <v>123</v>
      </c>
      <c r="H42" s="36" t="s">
        <v>95</v>
      </c>
      <c r="I42" s="36" t="s">
        <v>95</v>
      </c>
      <c r="J42" s="188" t="s">
        <v>73</v>
      </c>
      <c r="K42" s="139">
        <v>5</v>
      </c>
      <c r="L42" s="40"/>
    </row>
    <row r="43" spans="1:12" s="39" customFormat="1" ht="13" customHeight="1" thickBot="1" x14ac:dyDescent="0.25">
      <c r="B43" s="202"/>
      <c r="C43" s="43" t="str">
        <f t="shared" ref="C43:I43" si="20">IF(ISBLANK(C42),"",VLOOKUP(C42,$B$106:$L$142,11,0))</f>
        <v>13H30-22H00</v>
      </c>
      <c r="D43" s="43" t="str">
        <f t="shared" si="20"/>
        <v>10H00-18H30</v>
      </c>
      <c r="E43" s="43" t="str">
        <f t="shared" si="20"/>
        <v>06H00-14H30</v>
      </c>
      <c r="F43" s="43" t="str">
        <f t="shared" si="20"/>
        <v>09H00-17H30</v>
      </c>
      <c r="G43" s="43" t="str">
        <f t="shared" si="20"/>
        <v>14H30-23H00</v>
      </c>
      <c r="H43" s="43">
        <f t="shared" si="20"/>
        <v>0</v>
      </c>
      <c r="I43" s="43">
        <f t="shared" si="20"/>
        <v>0</v>
      </c>
      <c r="J43" s="203"/>
      <c r="K43" s="139"/>
      <c r="L43" s="40"/>
    </row>
    <row r="44" spans="1:12" s="39" customFormat="1" ht="13" customHeight="1" thickTop="1" x14ac:dyDescent="0.2">
      <c r="A44" s="21">
        <f>7-(COUNTIF(C44:I44,"")+COUNTIF(C44:I44,$B$140))</f>
        <v>5</v>
      </c>
      <c r="B44" s="178" t="s">
        <v>16</v>
      </c>
      <c r="C44" s="36" t="s">
        <v>40</v>
      </c>
      <c r="D44" s="36" t="s">
        <v>40</v>
      </c>
      <c r="E44" s="36" t="s">
        <v>40</v>
      </c>
      <c r="F44" s="36" t="s">
        <v>40</v>
      </c>
      <c r="G44" s="36" t="s">
        <v>95</v>
      </c>
      <c r="H44" s="36"/>
      <c r="I44" s="36" t="s">
        <v>150</v>
      </c>
      <c r="J44" s="180" t="s">
        <v>54</v>
      </c>
      <c r="K44" s="139">
        <v>5</v>
      </c>
      <c r="L44" s="40"/>
    </row>
    <row r="45" spans="1:12" s="39" customFormat="1" ht="13" customHeight="1" thickBot="1" x14ac:dyDescent="0.25">
      <c r="B45" s="179"/>
      <c r="C45" s="37">
        <f t="shared" ref="C45:I45" si="21">IF(ISBLANK(C44),"",VLOOKUP(C44,$B$106:$L$142,11,0))</f>
        <v>0</v>
      </c>
      <c r="D45" s="37">
        <f t="shared" si="21"/>
        <v>0</v>
      </c>
      <c r="E45" s="37">
        <f t="shared" si="21"/>
        <v>0</v>
      </c>
      <c r="F45" s="37">
        <f t="shared" si="21"/>
        <v>0</v>
      </c>
      <c r="G45" s="37">
        <f t="shared" si="21"/>
        <v>0</v>
      </c>
      <c r="H45" s="37" t="str">
        <f t="shared" si="21"/>
        <v/>
      </c>
      <c r="I45" s="37" t="str">
        <f t="shared" si="21"/>
        <v>09H00-17H30</v>
      </c>
      <c r="J45" s="181" t="s">
        <v>55</v>
      </c>
      <c r="K45" s="139"/>
      <c r="L45" s="40"/>
    </row>
    <row r="46" spans="1:12" s="39" customFormat="1" ht="13" customHeight="1" thickTop="1" x14ac:dyDescent="0.2">
      <c r="A46" s="21">
        <f>7-(COUNTIF(C46:I46,"")+COUNTIF(C46:I46,$B$140))</f>
        <v>5</v>
      </c>
      <c r="B46" s="178" t="s">
        <v>102</v>
      </c>
      <c r="C46" s="36" t="s">
        <v>152</v>
      </c>
      <c r="D46" s="36" t="s">
        <v>149</v>
      </c>
      <c r="E46" s="36" t="s">
        <v>137</v>
      </c>
      <c r="F46" s="36"/>
      <c r="G46" s="36" t="s">
        <v>79</v>
      </c>
      <c r="H46" s="36" t="s">
        <v>81</v>
      </c>
      <c r="I46" s="36" t="s">
        <v>95</v>
      </c>
      <c r="J46" s="180" t="s">
        <v>55</v>
      </c>
      <c r="K46" s="139">
        <v>5</v>
      </c>
      <c r="L46" s="40"/>
    </row>
    <row r="47" spans="1:12" s="39" customFormat="1" ht="13" customHeight="1" thickBot="1" x14ac:dyDescent="0.25">
      <c r="A47" s="21"/>
      <c r="B47" s="179"/>
      <c r="C47" s="37" t="str">
        <f t="shared" ref="C47:I47" si="22">IF(ISBLANK(C46),"",VLOOKUP(C46,$B$106:$L$142,11,0))</f>
        <v>08H30-17H00</v>
      </c>
      <c r="D47" s="37" t="str">
        <f t="shared" si="22"/>
        <v>09H00-17H30</v>
      </c>
      <c r="E47" s="37" t="str">
        <f t="shared" si="22"/>
        <v>06H00-14H30</v>
      </c>
      <c r="F47" s="37" t="str">
        <f t="shared" si="22"/>
        <v/>
      </c>
      <c r="G47" s="37" t="str">
        <f t="shared" si="22"/>
        <v>09H00-17H30</v>
      </c>
      <c r="H47" s="37" t="str">
        <f t="shared" si="22"/>
        <v>14H30-23H00</v>
      </c>
      <c r="I47" s="37">
        <f t="shared" si="22"/>
        <v>0</v>
      </c>
      <c r="J47" s="181" t="s">
        <v>56</v>
      </c>
      <c r="K47" s="139"/>
      <c r="L47" s="40"/>
    </row>
    <row r="48" spans="1:12" s="39" customFormat="1" ht="13" customHeight="1" thickTop="1" x14ac:dyDescent="0.2">
      <c r="A48" s="21">
        <f>7-(COUNTIF(C48:I48,"")+COUNTIF(C48:I48,$B$140))</f>
        <v>5</v>
      </c>
      <c r="B48" s="178" t="s">
        <v>132</v>
      </c>
      <c r="C48" s="36" t="s">
        <v>85</v>
      </c>
      <c r="D48" s="36"/>
      <c r="E48" s="36" t="s">
        <v>93</v>
      </c>
      <c r="F48" s="36" t="s">
        <v>137</v>
      </c>
      <c r="G48" s="36"/>
      <c r="H48" s="36" t="s">
        <v>150</v>
      </c>
      <c r="I48" s="36" t="s">
        <v>84</v>
      </c>
      <c r="J48" s="180" t="s">
        <v>57</v>
      </c>
      <c r="K48" s="139">
        <v>4</v>
      </c>
      <c r="L48" s="40"/>
    </row>
    <row r="49" spans="1:12" ht="13" customHeight="1" thickBot="1" x14ac:dyDescent="0.25">
      <c r="B49" s="179"/>
      <c r="C49" s="37" t="str">
        <f t="shared" ref="C49:I49" si="23">IF(ISBLANK(C48),"",VLOOKUP(C48,$B$106:$L$142,11,0))</f>
        <v>14H30-23H00</v>
      </c>
      <c r="D49" s="37" t="str">
        <f t="shared" si="23"/>
        <v/>
      </c>
      <c r="E49" s="37" t="str">
        <f t="shared" si="23"/>
        <v>06H00-14H30</v>
      </c>
      <c r="F49" s="37" t="str">
        <f t="shared" si="23"/>
        <v>06H00-14H30</v>
      </c>
      <c r="G49" s="37" t="str">
        <f t="shared" si="23"/>
        <v/>
      </c>
      <c r="H49" s="37" t="str">
        <f t="shared" si="23"/>
        <v>09H00-17H30</v>
      </c>
      <c r="I49" s="37" t="str">
        <f t="shared" si="23"/>
        <v>13H30-22H00</v>
      </c>
      <c r="J49" s="181" t="s">
        <v>57</v>
      </c>
      <c r="K49" s="139"/>
    </row>
    <row r="50" spans="1:12" s="39" customFormat="1" ht="13" customHeight="1" thickTop="1" x14ac:dyDescent="0.2">
      <c r="A50" s="21">
        <f>7-(COUNTIF(C50:I50,"")+COUNTIF(C50:I50,$B$140))</f>
        <v>5</v>
      </c>
      <c r="B50" s="193" t="s">
        <v>17</v>
      </c>
      <c r="C50" s="36" t="s">
        <v>79</v>
      </c>
      <c r="D50" s="36"/>
      <c r="E50" s="36" t="s">
        <v>139</v>
      </c>
      <c r="F50" s="36" t="s">
        <v>149</v>
      </c>
      <c r="G50" s="36" t="s">
        <v>82</v>
      </c>
      <c r="H50" s="36" t="s">
        <v>84</v>
      </c>
      <c r="I50" s="36"/>
      <c r="J50" s="180" t="s">
        <v>56</v>
      </c>
      <c r="K50" s="139">
        <v>5</v>
      </c>
      <c r="L50" s="40"/>
    </row>
    <row r="51" spans="1:12" ht="13" customHeight="1" thickBot="1" x14ac:dyDescent="0.25">
      <c r="B51" s="194"/>
      <c r="C51" s="37" t="str">
        <f t="shared" ref="C51:I51" si="24">IF(ISBLANK(C50),"",VLOOKUP(C50,$B$106:$L$142,11,0))</f>
        <v>09H00-17H30</v>
      </c>
      <c r="D51" s="37" t="str">
        <f t="shared" si="24"/>
        <v/>
      </c>
      <c r="E51" s="37" t="str">
        <f t="shared" si="24"/>
        <v>14H00-22H30</v>
      </c>
      <c r="F51" s="37" t="str">
        <f t="shared" si="24"/>
        <v>09H00-17H30</v>
      </c>
      <c r="G51" s="37" t="str">
        <f t="shared" si="24"/>
        <v>06H00-14H30</v>
      </c>
      <c r="H51" s="37" t="str">
        <f t="shared" si="24"/>
        <v>13H30-22H00</v>
      </c>
      <c r="I51" s="37" t="str">
        <f t="shared" si="24"/>
        <v/>
      </c>
      <c r="J51" s="181" t="s">
        <v>57</v>
      </c>
      <c r="K51" s="139"/>
    </row>
    <row r="52" spans="1:12" s="39" customFormat="1" ht="13" customHeight="1" thickTop="1" x14ac:dyDescent="0.2">
      <c r="A52" s="21">
        <f>7-(COUNTIF(C52:I52,"")+COUNTIF(C52:I52,$B$140))</f>
        <v>5</v>
      </c>
      <c r="B52" s="178" t="s">
        <v>127</v>
      </c>
      <c r="C52" s="36" t="s">
        <v>90</v>
      </c>
      <c r="D52" s="36" t="s">
        <v>95</v>
      </c>
      <c r="E52" s="36" t="s">
        <v>95</v>
      </c>
      <c r="F52" s="36" t="s">
        <v>85</v>
      </c>
      <c r="G52" s="36" t="s">
        <v>150</v>
      </c>
      <c r="H52" s="36" t="s">
        <v>83</v>
      </c>
      <c r="I52" s="36" t="s">
        <v>82</v>
      </c>
      <c r="J52" s="180" t="s">
        <v>130</v>
      </c>
      <c r="K52" s="139">
        <v>4</v>
      </c>
      <c r="L52" s="40"/>
    </row>
    <row r="53" spans="1:12" s="39" customFormat="1" ht="13" customHeight="1" thickBot="1" x14ac:dyDescent="0.25">
      <c r="B53" s="179"/>
      <c r="C53" s="37" t="str">
        <f t="shared" ref="C53:I53" si="25">IF(ISBLANK(C52),"",VLOOKUP(C52,$B$106:$L$142,11,0))</f>
        <v>06H00-14H30</v>
      </c>
      <c r="D53" s="37">
        <f t="shared" si="25"/>
        <v>0</v>
      </c>
      <c r="E53" s="37">
        <f t="shared" si="25"/>
        <v>0</v>
      </c>
      <c r="F53" s="37" t="str">
        <f t="shared" si="25"/>
        <v>14H30-23H00</v>
      </c>
      <c r="G53" s="37" t="str">
        <f t="shared" si="25"/>
        <v>09H00-17H30</v>
      </c>
      <c r="H53" s="37" t="str">
        <f t="shared" si="25"/>
        <v>09H00-17H30</v>
      </c>
      <c r="I53" s="37" t="str">
        <f t="shared" si="25"/>
        <v>06H00-14H30</v>
      </c>
      <c r="J53" s="181" t="s">
        <v>45</v>
      </c>
      <c r="K53" s="139"/>
      <c r="L53" s="40"/>
    </row>
    <row r="54" spans="1:12" s="39" customFormat="1" ht="13" customHeight="1" thickTop="1" x14ac:dyDescent="0.2">
      <c r="A54" s="21">
        <f>7-(COUNTIF(C54:I54,"")+COUNTIF(C54:I54,$B$140))</f>
        <v>4</v>
      </c>
      <c r="B54" s="193" t="s">
        <v>18</v>
      </c>
      <c r="C54" s="36"/>
      <c r="D54" s="36" t="s">
        <v>110</v>
      </c>
      <c r="E54" s="36"/>
      <c r="F54" s="36" t="s">
        <v>153</v>
      </c>
      <c r="G54" s="36"/>
      <c r="H54" s="36" t="s">
        <v>79</v>
      </c>
      <c r="I54" s="36" t="s">
        <v>84</v>
      </c>
      <c r="J54" s="180" t="s">
        <v>58</v>
      </c>
      <c r="K54" s="139">
        <v>4</v>
      </c>
      <c r="L54" s="40"/>
    </row>
    <row r="55" spans="1:12" s="39" customFormat="1" ht="13" customHeight="1" thickBot="1" x14ac:dyDescent="0.25">
      <c r="B55" s="194"/>
      <c r="C55" s="37" t="str">
        <f t="shared" ref="C55:I55" si="26">IF(ISBLANK(C54),"",VLOOKUP(C54,$B$106:$L$142,11,0))</f>
        <v/>
      </c>
      <c r="D55" s="37" t="str">
        <f t="shared" si="26"/>
        <v>21H45-06H15</v>
      </c>
      <c r="E55" s="37" t="str">
        <f t="shared" si="26"/>
        <v/>
      </c>
      <c r="F55" s="37" t="str">
        <f t="shared" si="26"/>
        <v>22H00-06H30</v>
      </c>
      <c r="G55" s="37" t="str">
        <f t="shared" si="26"/>
        <v/>
      </c>
      <c r="H55" s="37" t="str">
        <f t="shared" si="26"/>
        <v>09H00-17H30</v>
      </c>
      <c r="I55" s="37" t="str">
        <f t="shared" si="26"/>
        <v>13H30-22H00</v>
      </c>
      <c r="J55" s="181" t="s">
        <v>59</v>
      </c>
      <c r="K55" s="139"/>
      <c r="L55" s="40"/>
    </row>
    <row r="56" spans="1:12" s="39" customFormat="1" ht="13" customHeight="1" thickTop="1" x14ac:dyDescent="0.2">
      <c r="A56" s="21">
        <f>7-(COUNTIF(C56:I56,"")+COUNTIF(C56:I56,$B$140))</f>
        <v>5</v>
      </c>
      <c r="B56" s="178" t="s">
        <v>19</v>
      </c>
      <c r="C56" s="36" t="s">
        <v>150</v>
      </c>
      <c r="D56" s="36"/>
      <c r="E56" s="36" t="s">
        <v>84</v>
      </c>
      <c r="F56" s="36"/>
      <c r="G56" s="36" t="s">
        <v>81</v>
      </c>
      <c r="H56" s="36" t="s">
        <v>92</v>
      </c>
      <c r="I56" s="36" t="s">
        <v>31</v>
      </c>
      <c r="J56" s="180" t="s">
        <v>59</v>
      </c>
      <c r="K56" s="139">
        <v>5</v>
      </c>
      <c r="L56" s="40"/>
    </row>
    <row r="57" spans="1:12" s="39" customFormat="1" ht="13" customHeight="1" thickBot="1" x14ac:dyDescent="0.25">
      <c r="B57" s="179"/>
      <c r="C57" s="37" t="str">
        <f t="shared" ref="C57:I57" si="27">IF(ISBLANK(C56),"",VLOOKUP(C56,$B$106:$L$142,11,0))</f>
        <v>09H00-17H30</v>
      </c>
      <c r="D57" s="37" t="str">
        <f t="shared" si="27"/>
        <v/>
      </c>
      <c r="E57" s="37" t="str">
        <f t="shared" si="27"/>
        <v>13H30-22H00</v>
      </c>
      <c r="F57" s="37" t="str">
        <f t="shared" si="27"/>
        <v/>
      </c>
      <c r="G57" s="37" t="str">
        <f t="shared" si="27"/>
        <v>14H30-23H00</v>
      </c>
      <c r="H57" s="37" t="str">
        <f t="shared" si="27"/>
        <v>10H00-18H30</v>
      </c>
      <c r="I57" s="37" t="str">
        <f t="shared" si="27"/>
        <v>06H00-14H30</v>
      </c>
      <c r="J57" s="181" t="s">
        <v>60</v>
      </c>
      <c r="K57" s="139"/>
      <c r="L57" s="40"/>
    </row>
    <row r="58" spans="1:12" s="39" customFormat="1" ht="13" customHeight="1" thickTop="1" x14ac:dyDescent="0.2">
      <c r="A58" s="21">
        <f>7-(COUNTIF(C58:I58,"")+COUNTIF(C58:I58,$B$140))</f>
        <v>5</v>
      </c>
      <c r="B58" s="178" t="s">
        <v>20</v>
      </c>
      <c r="C58" s="36" t="s">
        <v>92</v>
      </c>
      <c r="D58" s="36" t="s">
        <v>82</v>
      </c>
      <c r="E58" s="36"/>
      <c r="F58" s="36" t="s">
        <v>123</v>
      </c>
      <c r="G58" s="36"/>
      <c r="H58" s="36" t="s">
        <v>91</v>
      </c>
      <c r="I58" s="36" t="s">
        <v>84</v>
      </c>
      <c r="J58" s="180" t="s">
        <v>60</v>
      </c>
      <c r="K58" s="139">
        <v>4</v>
      </c>
      <c r="L58" s="40"/>
    </row>
    <row r="59" spans="1:12" s="39" customFormat="1" ht="13" customHeight="1" thickBot="1" x14ac:dyDescent="0.25">
      <c r="B59" s="186"/>
      <c r="C59" s="38" t="str">
        <f t="shared" ref="C59:I59" si="28">IF(ISBLANK(C58),"",VLOOKUP(C58,$B$106:$L$142,11,0))</f>
        <v>10H00-18H30</v>
      </c>
      <c r="D59" s="38" t="str">
        <f t="shared" si="28"/>
        <v>06H00-14H30</v>
      </c>
      <c r="E59" s="38" t="str">
        <f t="shared" si="28"/>
        <v/>
      </c>
      <c r="F59" s="38" t="str">
        <f t="shared" si="28"/>
        <v>14H30-23H00</v>
      </c>
      <c r="G59" s="38" t="str">
        <f t="shared" si="28"/>
        <v/>
      </c>
      <c r="H59" s="38" t="str">
        <f t="shared" si="28"/>
        <v>06H00-14H30</v>
      </c>
      <c r="I59" s="38" t="str">
        <f t="shared" si="28"/>
        <v>13H30-22H00</v>
      </c>
      <c r="J59" s="188" t="s">
        <v>61</v>
      </c>
      <c r="K59" s="139"/>
      <c r="L59" s="40"/>
    </row>
    <row r="60" spans="1:12" ht="13" customHeight="1" thickTop="1" x14ac:dyDescent="0.2">
      <c r="A60" s="21">
        <f>7-(COUNTIF(C60:I60,"")+COUNTIF(C60:I60,$B$140))</f>
        <v>5</v>
      </c>
      <c r="B60" s="193" t="s">
        <v>133</v>
      </c>
      <c r="C60" s="36" t="s">
        <v>84</v>
      </c>
      <c r="D60" s="36" t="s">
        <v>123</v>
      </c>
      <c r="E60" s="36"/>
      <c r="F60" s="36" t="s">
        <v>91</v>
      </c>
      <c r="G60" s="36"/>
      <c r="H60" s="36" t="s">
        <v>80</v>
      </c>
      <c r="I60" s="36" t="s">
        <v>90</v>
      </c>
      <c r="J60" s="180" t="s">
        <v>134</v>
      </c>
      <c r="K60" s="139">
        <v>4</v>
      </c>
    </row>
    <row r="61" spans="1:12" ht="13" customHeight="1" thickBot="1" x14ac:dyDescent="0.25">
      <c r="B61" s="194"/>
      <c r="C61" s="37" t="str">
        <f t="shared" ref="C61:I61" si="29">IF(ISBLANK(C60),"",VLOOKUP(C60,$B$106:$L$142,11,0))</f>
        <v>13H30-22H00</v>
      </c>
      <c r="D61" s="37" t="str">
        <f t="shared" si="29"/>
        <v>14H30-23H00</v>
      </c>
      <c r="E61" s="37" t="str">
        <f t="shared" si="29"/>
        <v/>
      </c>
      <c r="F61" s="37" t="str">
        <f t="shared" si="29"/>
        <v>06H00-14H30</v>
      </c>
      <c r="G61" s="37" t="str">
        <f t="shared" si="29"/>
        <v/>
      </c>
      <c r="H61" s="37" t="str">
        <f t="shared" si="29"/>
        <v>06H00-14H30</v>
      </c>
      <c r="I61" s="37" t="str">
        <f t="shared" si="29"/>
        <v>06H00-14H30</v>
      </c>
      <c r="J61" s="181"/>
      <c r="K61" s="139"/>
    </row>
    <row r="62" spans="1:12" s="39" customFormat="1" ht="13" customHeight="1" thickTop="1" x14ac:dyDescent="0.2">
      <c r="A62" s="21">
        <f>7-(COUNTIF(C62:I62,"")+COUNTIF(C62:I62,$B$140))</f>
        <v>5</v>
      </c>
      <c r="B62" s="178" t="s">
        <v>21</v>
      </c>
      <c r="C62" s="36" t="s">
        <v>139</v>
      </c>
      <c r="D62" s="36" t="s">
        <v>84</v>
      </c>
      <c r="E62" s="36" t="s">
        <v>79</v>
      </c>
      <c r="F62" s="36"/>
      <c r="G62" s="36" t="s">
        <v>91</v>
      </c>
      <c r="H62" s="36"/>
      <c r="I62" s="36" t="s">
        <v>137</v>
      </c>
      <c r="J62" s="180" t="s">
        <v>61</v>
      </c>
      <c r="K62" s="139">
        <v>5</v>
      </c>
      <c r="L62" s="40"/>
    </row>
    <row r="63" spans="1:12" s="39" customFormat="1" ht="13" customHeight="1" thickBot="1" x14ac:dyDescent="0.25">
      <c r="B63" s="179"/>
      <c r="C63" s="37" t="str">
        <f t="shared" ref="C63:I63" si="30">IF(ISBLANK(C62),"",VLOOKUP(C62,$B$106:$L$142,11,0))</f>
        <v>14H00-22H30</v>
      </c>
      <c r="D63" s="37" t="str">
        <f t="shared" si="30"/>
        <v>13H30-22H00</v>
      </c>
      <c r="E63" s="37" t="str">
        <f t="shared" si="30"/>
        <v>09H00-17H30</v>
      </c>
      <c r="F63" s="37" t="str">
        <f t="shared" si="30"/>
        <v/>
      </c>
      <c r="G63" s="37" t="str">
        <f t="shared" si="30"/>
        <v>06H00-14H30</v>
      </c>
      <c r="H63" s="37" t="str">
        <f t="shared" si="30"/>
        <v/>
      </c>
      <c r="I63" s="37" t="str">
        <f t="shared" si="30"/>
        <v>06H00-14H30</v>
      </c>
      <c r="J63" s="181" t="s">
        <v>62</v>
      </c>
      <c r="K63" s="139"/>
      <c r="L63" s="40"/>
    </row>
    <row r="64" spans="1:12" s="39" customFormat="1" ht="13" customHeight="1" thickTop="1" x14ac:dyDescent="0.2">
      <c r="A64" s="21">
        <f>7-(COUNTIF(C64:I64,"")+COUNTIF(C64:I64,$B$140))</f>
        <v>5</v>
      </c>
      <c r="B64" s="193" t="s">
        <v>131</v>
      </c>
      <c r="C64" s="36" t="s">
        <v>81</v>
      </c>
      <c r="D64" s="36"/>
      <c r="E64" s="36" t="s">
        <v>91</v>
      </c>
      <c r="F64" s="36" t="s">
        <v>122</v>
      </c>
      <c r="G64" s="36"/>
      <c r="H64" s="36" t="s">
        <v>82</v>
      </c>
      <c r="I64" s="36" t="s">
        <v>93</v>
      </c>
      <c r="J64" s="180" t="s">
        <v>129</v>
      </c>
      <c r="K64" s="139">
        <v>4</v>
      </c>
      <c r="L64" s="40"/>
    </row>
    <row r="65" spans="1:12" s="39" customFormat="1" ht="13" customHeight="1" thickBot="1" x14ac:dyDescent="0.25">
      <c r="B65" s="194"/>
      <c r="C65" s="37" t="str">
        <f t="shared" ref="C65:I65" si="31">IF(ISBLANK(C64),"",VLOOKUP(C64,$B$106:$L$142,11,0))</f>
        <v>14H30-23H00</v>
      </c>
      <c r="D65" s="37" t="str">
        <f t="shared" si="31"/>
        <v/>
      </c>
      <c r="E65" s="37" t="str">
        <f t="shared" si="31"/>
        <v>06H00-14H30</v>
      </c>
      <c r="F65" s="37" t="str">
        <f t="shared" si="31"/>
        <v>06H00-14H30</v>
      </c>
      <c r="G65" s="37" t="str">
        <f t="shared" si="31"/>
        <v/>
      </c>
      <c r="H65" s="37" t="str">
        <f t="shared" si="31"/>
        <v>06H00-14H30</v>
      </c>
      <c r="I65" s="37" t="str">
        <f t="shared" si="31"/>
        <v>06H00-14H30</v>
      </c>
      <c r="J65" s="181" t="s">
        <v>66</v>
      </c>
      <c r="K65" s="139"/>
      <c r="L65" s="40"/>
    </row>
    <row r="66" spans="1:12" s="39" customFormat="1" ht="13" customHeight="1" thickTop="1" x14ac:dyDescent="0.2">
      <c r="A66" s="21">
        <f>7-(COUNTIF(C66:I66,"")+COUNTIF(C66:I66,$B$140))</f>
        <v>5</v>
      </c>
      <c r="B66" s="178" t="s">
        <v>124</v>
      </c>
      <c r="C66" s="38" t="s">
        <v>93</v>
      </c>
      <c r="D66" s="36" t="s">
        <v>90</v>
      </c>
      <c r="E66" s="36" t="s">
        <v>82</v>
      </c>
      <c r="F66" s="36" t="s">
        <v>81</v>
      </c>
      <c r="G66" s="36" t="s">
        <v>84</v>
      </c>
      <c r="H66" s="36" t="s">
        <v>95</v>
      </c>
      <c r="I66" s="36" t="s">
        <v>95</v>
      </c>
      <c r="J66" s="180" t="s">
        <v>77</v>
      </c>
      <c r="K66" s="139">
        <v>4</v>
      </c>
      <c r="L66" s="40"/>
    </row>
    <row r="67" spans="1:12" s="39" customFormat="1" ht="13" customHeight="1" thickBot="1" x14ac:dyDescent="0.25">
      <c r="B67" s="179"/>
      <c r="C67" s="37" t="str">
        <f t="shared" ref="C67:I67" si="32">IF(ISBLANK(C66),"",VLOOKUP(C66,$B$106:$L$142,11,0))</f>
        <v>06H00-14H30</v>
      </c>
      <c r="D67" s="37" t="str">
        <f t="shared" si="32"/>
        <v>06H00-14H30</v>
      </c>
      <c r="E67" s="37" t="str">
        <f t="shared" si="32"/>
        <v>06H00-14H30</v>
      </c>
      <c r="F67" s="37" t="str">
        <f t="shared" si="32"/>
        <v>14H30-23H00</v>
      </c>
      <c r="G67" s="37" t="str">
        <f t="shared" si="32"/>
        <v>13H30-22H00</v>
      </c>
      <c r="H67" s="37">
        <f t="shared" si="32"/>
        <v>0</v>
      </c>
      <c r="I67" s="37">
        <f t="shared" si="32"/>
        <v>0</v>
      </c>
      <c r="J67" s="181" t="s">
        <v>78</v>
      </c>
      <c r="K67" s="139"/>
      <c r="L67" s="40"/>
    </row>
    <row r="68" spans="1:12" s="39" customFormat="1" ht="13" customHeight="1" thickTop="1" x14ac:dyDescent="0.2">
      <c r="A68" s="21">
        <f>7-(COUNTIF(C68:I68,"")+COUNTIF(C68:I68,$B$140))</f>
        <v>5</v>
      </c>
      <c r="B68" s="186" t="s">
        <v>146</v>
      </c>
      <c r="C68" s="38" t="s">
        <v>95</v>
      </c>
      <c r="D68" s="36" t="s">
        <v>122</v>
      </c>
      <c r="E68" s="36" t="s">
        <v>81</v>
      </c>
      <c r="F68" s="36" t="s">
        <v>84</v>
      </c>
      <c r="G68" s="36"/>
      <c r="H68" s="36" t="s">
        <v>31</v>
      </c>
      <c r="I68" s="36" t="s">
        <v>82</v>
      </c>
      <c r="J68" s="180" t="s">
        <v>65</v>
      </c>
      <c r="K68" s="139">
        <v>4</v>
      </c>
      <c r="L68" s="40"/>
    </row>
    <row r="69" spans="1:12" s="39" customFormat="1" ht="13" customHeight="1" thickBot="1" x14ac:dyDescent="0.25">
      <c r="A69" s="21"/>
      <c r="B69" s="202"/>
      <c r="C69" s="37">
        <f t="shared" ref="C69:I69" si="33">IF(ISBLANK(C68),"",VLOOKUP(C68,$B$106:$L$142,11,0))</f>
        <v>0</v>
      </c>
      <c r="D69" s="37" t="str">
        <f t="shared" si="33"/>
        <v>06H00-14H30</v>
      </c>
      <c r="E69" s="37" t="str">
        <f t="shared" si="33"/>
        <v>14H30-23H00</v>
      </c>
      <c r="F69" s="37" t="str">
        <f t="shared" si="33"/>
        <v>13H30-22H00</v>
      </c>
      <c r="G69" s="37" t="str">
        <f t="shared" si="33"/>
        <v/>
      </c>
      <c r="H69" s="37" t="str">
        <f t="shared" si="33"/>
        <v>06H00-14H30</v>
      </c>
      <c r="I69" s="37" t="str">
        <f t="shared" si="33"/>
        <v>06H00-14H30</v>
      </c>
      <c r="J69" s="181" t="s">
        <v>66</v>
      </c>
      <c r="K69" s="139"/>
      <c r="L69" s="40"/>
    </row>
    <row r="70" spans="1:12" s="39" customFormat="1" ht="13" customHeight="1" thickTop="1" x14ac:dyDescent="0.2">
      <c r="A70" s="21">
        <f>7-(COUNTIF(C70:I70,"")+COUNTIF(C70:I70,$B$140))</f>
        <v>5</v>
      </c>
      <c r="B70" s="178" t="s">
        <v>104</v>
      </c>
      <c r="C70" s="36" t="s">
        <v>91</v>
      </c>
      <c r="D70" s="36"/>
      <c r="E70" s="36" t="s">
        <v>80</v>
      </c>
      <c r="F70" s="36" t="s">
        <v>84</v>
      </c>
      <c r="G70" s="36" t="s">
        <v>149</v>
      </c>
      <c r="H70" s="36"/>
      <c r="I70" s="36" t="s">
        <v>123</v>
      </c>
      <c r="J70" s="180" t="s">
        <v>66</v>
      </c>
      <c r="K70" s="139">
        <v>5</v>
      </c>
      <c r="L70" s="40"/>
    </row>
    <row r="71" spans="1:12" s="39" customFormat="1" ht="13" customHeight="1" thickBot="1" x14ac:dyDescent="0.25">
      <c r="B71" s="179"/>
      <c r="C71" s="37" t="str">
        <f t="shared" ref="C71:I71" si="34">IF(ISBLANK(C70),"",VLOOKUP(C70,$B$106:$L$142,11,0))</f>
        <v>06H00-14H30</v>
      </c>
      <c r="D71" s="37" t="str">
        <f t="shared" si="34"/>
        <v/>
      </c>
      <c r="E71" s="37" t="str">
        <f t="shared" si="34"/>
        <v>06H00-14H30</v>
      </c>
      <c r="F71" s="37" t="str">
        <f t="shared" si="34"/>
        <v>13H30-22H00</v>
      </c>
      <c r="G71" s="37" t="str">
        <f t="shared" si="34"/>
        <v>09H00-17H30</v>
      </c>
      <c r="H71" s="37" t="str">
        <f t="shared" si="34"/>
        <v/>
      </c>
      <c r="I71" s="37" t="str">
        <f t="shared" si="34"/>
        <v>14H30-23H00</v>
      </c>
      <c r="J71" s="181" t="s">
        <v>67</v>
      </c>
      <c r="K71" s="139"/>
      <c r="L71" s="40"/>
    </row>
    <row r="72" spans="1:12" s="39" customFormat="1" ht="13" customHeight="1" thickTop="1" x14ac:dyDescent="0.2">
      <c r="A72" s="21">
        <f>7-(COUNTIF(C72:I72,"")+COUNTIF(C72:I72,$B$140))</f>
        <v>5</v>
      </c>
      <c r="B72" s="201" t="s">
        <v>23</v>
      </c>
      <c r="C72" s="36" t="s">
        <v>167</v>
      </c>
      <c r="D72" s="36"/>
      <c r="E72" s="36" t="s">
        <v>84</v>
      </c>
      <c r="F72" s="36"/>
      <c r="G72" s="36" t="s">
        <v>137</v>
      </c>
      <c r="H72" s="36" t="s">
        <v>82</v>
      </c>
      <c r="I72" s="36" t="s">
        <v>81</v>
      </c>
      <c r="J72" s="180" t="s">
        <v>68</v>
      </c>
      <c r="K72" s="139">
        <v>5</v>
      </c>
      <c r="L72" s="40"/>
    </row>
    <row r="73" spans="1:12" s="39" customFormat="1" ht="13" customHeight="1" thickBot="1" x14ac:dyDescent="0.25">
      <c r="B73" s="196"/>
      <c r="C73" s="37" t="str">
        <f t="shared" ref="C73:I73" si="35">IF(ISBLANK(C72),"",VLOOKUP(C72,$B$106:$L$142,11,0))</f>
        <v>08H00-16H30</v>
      </c>
      <c r="D73" s="37" t="str">
        <f t="shared" si="35"/>
        <v/>
      </c>
      <c r="E73" s="37" t="str">
        <f t="shared" si="35"/>
        <v>13H30-22H00</v>
      </c>
      <c r="F73" s="37" t="str">
        <f t="shared" si="35"/>
        <v/>
      </c>
      <c r="G73" s="37" t="str">
        <f t="shared" si="35"/>
        <v>06H00-14H30</v>
      </c>
      <c r="H73" s="37" t="str">
        <f t="shared" si="35"/>
        <v>06H00-14H30</v>
      </c>
      <c r="I73" s="37" t="str">
        <f t="shared" si="35"/>
        <v>14H30-23H00</v>
      </c>
      <c r="J73" s="181" t="s">
        <v>69</v>
      </c>
      <c r="K73" s="139"/>
      <c r="L73" s="40"/>
    </row>
    <row r="74" spans="1:12" s="39" customFormat="1" ht="13" customHeight="1" thickTop="1" x14ac:dyDescent="0.2">
      <c r="A74" s="21">
        <f>7-(COUNTIF(C74:I74,"")+COUNTIF(C74:I74,$B$140))</f>
        <v>4</v>
      </c>
      <c r="B74" s="193" t="s">
        <v>120</v>
      </c>
      <c r="C74" s="36"/>
      <c r="D74" s="36" t="s">
        <v>91</v>
      </c>
      <c r="E74" s="36"/>
      <c r="F74" s="36" t="s">
        <v>93</v>
      </c>
      <c r="G74" s="36" t="s">
        <v>82</v>
      </c>
      <c r="H74" s="36" t="s">
        <v>123</v>
      </c>
      <c r="I74" s="36"/>
      <c r="J74" s="180" t="s">
        <v>121</v>
      </c>
      <c r="K74" s="139">
        <v>4</v>
      </c>
      <c r="L74" s="40"/>
    </row>
    <row r="75" spans="1:12" s="39" customFormat="1" ht="13" customHeight="1" thickBot="1" x14ac:dyDescent="0.25">
      <c r="B75" s="194"/>
      <c r="C75" s="37" t="str">
        <f t="shared" ref="C75:I75" si="36">IF(ISBLANK(C74),"",VLOOKUP(C74,$B$106:$L$142,11,0))</f>
        <v/>
      </c>
      <c r="D75" s="37" t="str">
        <f t="shared" si="36"/>
        <v>06H00-14H30</v>
      </c>
      <c r="E75" s="37" t="str">
        <f t="shared" si="36"/>
        <v/>
      </c>
      <c r="F75" s="37" t="str">
        <f t="shared" si="36"/>
        <v>06H00-14H30</v>
      </c>
      <c r="G75" s="37" t="str">
        <f t="shared" si="36"/>
        <v>06H00-14H30</v>
      </c>
      <c r="H75" s="37" t="str">
        <f t="shared" si="36"/>
        <v>14H30-23H00</v>
      </c>
      <c r="I75" s="37" t="str">
        <f t="shared" si="36"/>
        <v/>
      </c>
      <c r="J75" s="181" t="s">
        <v>63</v>
      </c>
      <c r="K75" s="139"/>
      <c r="L75" s="40"/>
    </row>
    <row r="76" spans="1:12" s="39" customFormat="1" ht="13" customHeight="1" thickTop="1" x14ac:dyDescent="0.2">
      <c r="A76" s="21">
        <f>7-(COUNTIF(C76:I76,"")+COUNTIF(C76:I76,$B$140))</f>
        <v>5</v>
      </c>
      <c r="B76" s="178" t="s">
        <v>113</v>
      </c>
      <c r="C76" s="71" t="s">
        <v>84</v>
      </c>
      <c r="D76" s="36"/>
      <c r="E76" s="36" t="s">
        <v>122</v>
      </c>
      <c r="F76" s="36" t="s">
        <v>80</v>
      </c>
      <c r="G76" s="36"/>
      <c r="H76" s="36" t="s">
        <v>139</v>
      </c>
      <c r="I76" s="36" t="s">
        <v>92</v>
      </c>
      <c r="J76" s="180" t="s">
        <v>45</v>
      </c>
      <c r="K76" s="139">
        <v>5</v>
      </c>
      <c r="L76" s="40"/>
    </row>
    <row r="77" spans="1:12" s="39" customFormat="1" ht="13" customHeight="1" thickBot="1" x14ac:dyDescent="0.25">
      <c r="B77" s="202"/>
      <c r="C77" s="37" t="str">
        <f t="shared" ref="C77:I77" si="37">IF(ISBLANK(C76),"",VLOOKUP(C76,$B$106:$L$142,11,0))</f>
        <v>13H30-22H00</v>
      </c>
      <c r="D77" s="37" t="str">
        <f t="shared" si="37"/>
        <v/>
      </c>
      <c r="E77" s="37" t="str">
        <f t="shared" si="37"/>
        <v>06H00-14H30</v>
      </c>
      <c r="F77" s="37" t="str">
        <f t="shared" si="37"/>
        <v>06H00-14H30</v>
      </c>
      <c r="G77" s="37" t="str">
        <f t="shared" si="37"/>
        <v/>
      </c>
      <c r="H77" s="37" t="str">
        <f t="shared" si="37"/>
        <v>14H00-22H30</v>
      </c>
      <c r="I77" s="37" t="str">
        <f t="shared" si="37"/>
        <v>10H00-18H30</v>
      </c>
      <c r="J77" s="181" t="s">
        <v>44</v>
      </c>
      <c r="K77" s="139"/>
      <c r="L77" s="40"/>
    </row>
    <row r="78" spans="1:12" s="39" customFormat="1" ht="13" customHeight="1" thickTop="1" x14ac:dyDescent="0.2">
      <c r="A78" s="21">
        <f>7-(COUNTIF(C78:I78,"")+COUNTIF(C78:I78,$B$140))</f>
        <v>5</v>
      </c>
      <c r="B78" s="209" t="s">
        <v>25</v>
      </c>
      <c r="C78" s="36" t="s">
        <v>149</v>
      </c>
      <c r="D78" s="36" t="s">
        <v>139</v>
      </c>
      <c r="E78" s="36" t="s">
        <v>83</v>
      </c>
      <c r="F78" s="36"/>
      <c r="G78" s="36" t="s">
        <v>80</v>
      </c>
      <c r="H78" s="36"/>
      <c r="I78" s="36" t="s">
        <v>122</v>
      </c>
      <c r="J78" s="180" t="s">
        <v>70</v>
      </c>
      <c r="K78" s="139">
        <v>5</v>
      </c>
      <c r="L78" s="40"/>
    </row>
    <row r="79" spans="1:12" s="39" customFormat="1" ht="13" customHeight="1" thickBot="1" x14ac:dyDescent="0.25">
      <c r="B79" s="210"/>
      <c r="C79" s="38" t="str">
        <f t="shared" ref="C79:I79" si="38">IF(ISBLANK(C78),"",VLOOKUP(C78,$B$106:$L$142,11,0))</f>
        <v>09H00-17H30</v>
      </c>
      <c r="D79" s="38" t="str">
        <f t="shared" si="38"/>
        <v>14H00-22H30</v>
      </c>
      <c r="E79" s="38" t="str">
        <f t="shared" si="38"/>
        <v>09H00-17H30</v>
      </c>
      <c r="F79" s="38" t="str">
        <f t="shared" si="38"/>
        <v/>
      </c>
      <c r="G79" s="38" t="str">
        <f t="shared" si="38"/>
        <v>06H00-14H30</v>
      </c>
      <c r="H79" s="38" t="str">
        <f t="shared" si="38"/>
        <v/>
      </c>
      <c r="I79" s="38" t="str">
        <f t="shared" si="38"/>
        <v>06H00-14H30</v>
      </c>
      <c r="J79" s="188" t="s">
        <v>71</v>
      </c>
      <c r="K79" s="139"/>
      <c r="L79" s="40"/>
    </row>
    <row r="80" spans="1:12" s="39" customFormat="1" ht="13" customHeight="1" thickTop="1" x14ac:dyDescent="0.2">
      <c r="A80" s="21">
        <f>7-(COUNTIF(C80:I80,"")+COUNTIF(C80:I80,$B$140))</f>
        <v>5</v>
      </c>
      <c r="B80" s="178" t="s">
        <v>105</v>
      </c>
      <c r="C80" s="36" t="s">
        <v>82</v>
      </c>
      <c r="D80" s="36" t="s">
        <v>137</v>
      </c>
      <c r="E80" s="36" t="s">
        <v>149</v>
      </c>
      <c r="F80" s="36" t="s">
        <v>79</v>
      </c>
      <c r="G80" s="36" t="s">
        <v>84</v>
      </c>
      <c r="H80" s="36" t="str">
        <f>++++++++++++++I80:I81</f>
        <v>Repos Week-end / Nuit</v>
      </c>
      <c r="I80" s="36" t="s">
        <v>95</v>
      </c>
      <c r="J80" s="180" t="s">
        <v>71</v>
      </c>
      <c r="K80" s="139">
        <v>5</v>
      </c>
      <c r="L80" s="40"/>
    </row>
    <row r="81" spans="1:12" s="39" customFormat="1" ht="13" customHeight="1" thickBot="1" x14ac:dyDescent="0.25">
      <c r="B81" s="179"/>
      <c r="C81" s="37" t="str">
        <f t="shared" ref="C81:I81" si="39">IF(ISBLANK(C80),"",VLOOKUP(C80,$B$106:$L$142,11,0))</f>
        <v>06H00-14H30</v>
      </c>
      <c r="D81" s="37" t="str">
        <f t="shared" si="39"/>
        <v>06H00-14H30</v>
      </c>
      <c r="E81" s="37" t="str">
        <f t="shared" si="39"/>
        <v>09H00-17H30</v>
      </c>
      <c r="F81" s="37" t="str">
        <f t="shared" si="39"/>
        <v>09H00-17H30</v>
      </c>
      <c r="G81" s="37" t="str">
        <f t="shared" si="39"/>
        <v>13H30-22H00</v>
      </c>
      <c r="H81" s="37">
        <f t="shared" si="39"/>
        <v>0</v>
      </c>
      <c r="I81" s="37">
        <f t="shared" si="39"/>
        <v>0</v>
      </c>
      <c r="J81" s="181" t="s">
        <v>72</v>
      </c>
      <c r="K81" s="139"/>
      <c r="L81" s="40"/>
    </row>
    <row r="82" spans="1:12" s="39" customFormat="1" ht="13" customHeight="1" thickTop="1" x14ac:dyDescent="0.2">
      <c r="A82" s="21">
        <f>7-(COUNTIF(C82:I82,"")+COUNTIF(C82:I82,$B$140))</f>
        <v>5</v>
      </c>
      <c r="B82" s="178" t="s">
        <v>143</v>
      </c>
      <c r="C82" s="36"/>
      <c r="D82" s="36" t="s">
        <v>84</v>
      </c>
      <c r="E82" s="36" t="s">
        <v>85</v>
      </c>
      <c r="F82" s="71"/>
      <c r="G82" s="36" t="s">
        <v>122</v>
      </c>
      <c r="H82" s="36" t="s">
        <v>93</v>
      </c>
      <c r="I82" s="36" t="s">
        <v>91</v>
      </c>
      <c r="J82" s="180" t="s">
        <v>142</v>
      </c>
      <c r="K82" s="139">
        <v>4</v>
      </c>
      <c r="L82" s="40"/>
    </row>
    <row r="83" spans="1:12" ht="13" customHeight="1" thickBot="1" x14ac:dyDescent="0.25">
      <c r="A83" s="41"/>
      <c r="B83" s="179"/>
      <c r="C83" s="37" t="str">
        <f t="shared" ref="C83:I83" si="40">IF(ISBLANK(C82),"",VLOOKUP(C82,$B$106:$L$142,11,0))</f>
        <v/>
      </c>
      <c r="D83" s="37" t="str">
        <f t="shared" si="40"/>
        <v>13H30-22H00</v>
      </c>
      <c r="E83" s="37" t="str">
        <f t="shared" si="40"/>
        <v>14H30-23H00</v>
      </c>
      <c r="F83" s="37" t="str">
        <f t="shared" si="40"/>
        <v/>
      </c>
      <c r="G83" s="37" t="str">
        <f t="shared" si="40"/>
        <v>06H00-14H30</v>
      </c>
      <c r="H83" s="37" t="str">
        <f t="shared" si="40"/>
        <v>06H00-14H30</v>
      </c>
      <c r="I83" s="37" t="str">
        <f t="shared" si="40"/>
        <v>06H00-14H30</v>
      </c>
      <c r="J83" s="181" t="s">
        <v>57</v>
      </c>
      <c r="K83" s="139"/>
    </row>
    <row r="84" spans="1:12" s="39" customFormat="1" ht="13" customHeight="1" thickTop="1" x14ac:dyDescent="0.2">
      <c r="A84" s="21">
        <f>7-(COUNTIF(C84:I84,"")+COUNTIF(C84:I84,$B$140))</f>
        <v>5</v>
      </c>
      <c r="B84" s="201" t="s">
        <v>26</v>
      </c>
      <c r="C84" s="38" t="s">
        <v>82</v>
      </c>
      <c r="D84" s="36" t="s">
        <v>167</v>
      </c>
      <c r="E84" s="36"/>
      <c r="F84" s="36" t="s">
        <v>167</v>
      </c>
      <c r="G84" s="36" t="s">
        <v>139</v>
      </c>
      <c r="H84" s="36"/>
      <c r="I84" s="36" t="s">
        <v>151</v>
      </c>
      <c r="J84" s="180" t="s">
        <v>72</v>
      </c>
      <c r="K84" s="139">
        <v>5</v>
      </c>
      <c r="L84" s="40"/>
    </row>
    <row r="85" spans="1:12" s="39" customFormat="1" ht="13" customHeight="1" thickBot="1" x14ac:dyDescent="0.25">
      <c r="B85" s="196"/>
      <c r="C85" s="37" t="str">
        <f t="shared" ref="C85:I85" si="41">IF(ISBLANK(C84),"",VLOOKUP(C84,$B$106:$L$142,11,0))</f>
        <v>06H00-14H30</v>
      </c>
      <c r="D85" s="37" t="str">
        <f t="shared" si="41"/>
        <v>08H00-16H30</v>
      </c>
      <c r="E85" s="37" t="str">
        <f t="shared" si="41"/>
        <v/>
      </c>
      <c r="F85" s="37" t="str">
        <f t="shared" si="41"/>
        <v>08H00-16H30</v>
      </c>
      <c r="G85" s="37" t="str">
        <f t="shared" si="41"/>
        <v>14H00-22H30</v>
      </c>
      <c r="H85" s="37" t="str">
        <f t="shared" si="41"/>
        <v/>
      </c>
      <c r="I85" s="37" t="str">
        <f t="shared" si="41"/>
        <v>08H30-17H00</v>
      </c>
      <c r="J85" s="181" t="s">
        <v>73</v>
      </c>
      <c r="K85" s="139"/>
      <c r="L85" s="40"/>
    </row>
    <row r="86" spans="1:12" s="39" customFormat="1" ht="13" customHeight="1" thickTop="1" x14ac:dyDescent="0.2">
      <c r="A86" s="21">
        <f>7-(COUNTIF(C86:I86,"")+COUNTIF(C86:I86,$B$140))</f>
        <v>5</v>
      </c>
      <c r="B86" s="193" t="s">
        <v>27</v>
      </c>
      <c r="C86" s="36" t="s">
        <v>80</v>
      </c>
      <c r="D86" s="71" t="s">
        <v>84</v>
      </c>
      <c r="E86" s="36"/>
      <c r="F86" s="36" t="s">
        <v>82</v>
      </c>
      <c r="G86" s="36" t="s">
        <v>31</v>
      </c>
      <c r="H86" s="36" t="s">
        <v>84</v>
      </c>
      <c r="I86" s="36"/>
      <c r="J86" s="180" t="s">
        <v>74</v>
      </c>
      <c r="K86" s="139">
        <v>5</v>
      </c>
      <c r="L86" s="40"/>
    </row>
    <row r="87" spans="1:12" s="39" customFormat="1" ht="13" customHeight="1" thickBot="1" x14ac:dyDescent="0.25">
      <c r="B87" s="194"/>
      <c r="C87" s="37" t="str">
        <f t="shared" ref="C87:I87" si="42">IF(ISBLANK(C86),"",VLOOKUP(C86,$B$106:$L$142,11,0))</f>
        <v>06H00-14H30</v>
      </c>
      <c r="D87" s="37" t="str">
        <f t="shared" si="42"/>
        <v>13H30-22H00</v>
      </c>
      <c r="E87" s="37" t="str">
        <f t="shared" si="42"/>
        <v/>
      </c>
      <c r="F87" s="37" t="str">
        <f t="shared" si="42"/>
        <v>06H00-14H30</v>
      </c>
      <c r="G87" s="37" t="str">
        <f t="shared" si="42"/>
        <v>06H00-14H30</v>
      </c>
      <c r="H87" s="37" t="str">
        <f t="shared" si="42"/>
        <v>13H30-22H00</v>
      </c>
      <c r="I87" s="37" t="str">
        <f t="shared" si="42"/>
        <v/>
      </c>
      <c r="J87" s="181" t="s">
        <v>75</v>
      </c>
      <c r="K87" s="139"/>
      <c r="L87" s="40"/>
    </row>
    <row r="88" spans="1:12" s="39" customFormat="1" ht="13" customHeight="1" thickTop="1" x14ac:dyDescent="0.2">
      <c r="A88" s="21">
        <f>7-(COUNTIF(C88:I88,"")+COUNTIF(C88:I88,$B$140))</f>
        <v>5</v>
      </c>
      <c r="B88" s="193" t="s">
        <v>115</v>
      </c>
      <c r="C88" s="38" t="s">
        <v>95</v>
      </c>
      <c r="D88" s="36" t="s">
        <v>80</v>
      </c>
      <c r="E88" s="71" t="s">
        <v>90</v>
      </c>
      <c r="F88" s="38" t="s">
        <v>82</v>
      </c>
      <c r="G88" s="38" t="s">
        <v>83</v>
      </c>
      <c r="H88" s="36"/>
      <c r="I88" s="36" t="s">
        <v>139</v>
      </c>
      <c r="J88" s="188" t="s">
        <v>63</v>
      </c>
      <c r="K88" s="139">
        <v>5</v>
      </c>
      <c r="L88" s="40"/>
    </row>
    <row r="89" spans="1:12" s="39" customFormat="1" ht="13" customHeight="1" thickBot="1" x14ac:dyDescent="0.25">
      <c r="B89" s="206"/>
      <c r="C89" s="43">
        <f t="shared" ref="C89:I89" si="43">IF(ISBLANK(C88),"",VLOOKUP(C88,$B$106:$L$142,11,0))</f>
        <v>0</v>
      </c>
      <c r="D89" s="43" t="str">
        <f t="shared" si="43"/>
        <v>06H00-14H30</v>
      </c>
      <c r="E89" s="43" t="str">
        <f t="shared" si="43"/>
        <v>06H00-14H30</v>
      </c>
      <c r="F89" s="43" t="str">
        <f t="shared" si="43"/>
        <v>06H00-14H30</v>
      </c>
      <c r="G89" s="43" t="str">
        <f t="shared" si="43"/>
        <v>09H00-17H30</v>
      </c>
      <c r="H89" s="43" t="str">
        <f t="shared" si="43"/>
        <v/>
      </c>
      <c r="I89" s="43" t="str">
        <f t="shared" si="43"/>
        <v>14H00-22H30</v>
      </c>
      <c r="J89" s="203"/>
      <c r="K89" s="139"/>
      <c r="L89" s="40"/>
    </row>
    <row r="90" spans="1:12" s="39" customFormat="1" ht="13" customHeight="1" thickTop="1" x14ac:dyDescent="0.2">
      <c r="A90" s="21">
        <f>7-(COUNTIF(C90:I90,"")+COUNTIF(C90:I90,$B$140))</f>
        <v>4</v>
      </c>
      <c r="B90" s="178" t="s">
        <v>148</v>
      </c>
      <c r="C90" s="36"/>
      <c r="D90" s="36" t="s">
        <v>85</v>
      </c>
      <c r="E90" s="36" t="s">
        <v>84</v>
      </c>
      <c r="F90" s="36"/>
      <c r="G90" s="36"/>
      <c r="H90" s="36" t="s">
        <v>84</v>
      </c>
      <c r="I90" s="71" t="s">
        <v>149</v>
      </c>
      <c r="J90" s="180" t="s">
        <v>144</v>
      </c>
      <c r="K90" s="139">
        <v>4</v>
      </c>
      <c r="L90" s="40"/>
    </row>
    <row r="91" spans="1:12" ht="13" customHeight="1" thickBot="1" x14ac:dyDescent="0.25">
      <c r="A91" s="41"/>
      <c r="B91" s="179"/>
      <c r="C91" s="37" t="str">
        <f t="shared" ref="C91:I91" si="44">IF(ISBLANK(C90),"",VLOOKUP(C90,$B$106:$L$142,11,0))</f>
        <v/>
      </c>
      <c r="D91" s="37" t="str">
        <f t="shared" si="44"/>
        <v>14H30-23H00</v>
      </c>
      <c r="E91" s="37" t="str">
        <f t="shared" si="44"/>
        <v>13H30-22H00</v>
      </c>
      <c r="F91" s="37" t="str">
        <f t="shared" si="44"/>
        <v/>
      </c>
      <c r="G91" s="37" t="str">
        <f t="shared" si="44"/>
        <v/>
      </c>
      <c r="H91" s="37" t="str">
        <f t="shared" si="44"/>
        <v>13H30-22H00</v>
      </c>
      <c r="I91" s="37" t="str">
        <f t="shared" si="44"/>
        <v>09H00-17H30</v>
      </c>
      <c r="J91" s="181" t="s">
        <v>57</v>
      </c>
      <c r="K91" s="139"/>
    </row>
    <row r="92" spans="1:12" s="39" customFormat="1" ht="13" customHeight="1" thickTop="1" x14ac:dyDescent="0.2">
      <c r="A92" s="21">
        <f>7-(COUNTIF(C92:I92,"")+COUNTIF(C92:I92,$B$140))</f>
        <v>5</v>
      </c>
      <c r="B92" s="178" t="s">
        <v>147</v>
      </c>
      <c r="C92" s="36" t="s">
        <v>110</v>
      </c>
      <c r="D92" s="36"/>
      <c r="E92" s="36" t="s">
        <v>153</v>
      </c>
      <c r="F92" s="36"/>
      <c r="G92" s="36" t="s">
        <v>93</v>
      </c>
      <c r="H92" s="71" t="s">
        <v>122</v>
      </c>
      <c r="I92" s="36" t="s">
        <v>153</v>
      </c>
      <c r="J92" s="180" t="s">
        <v>145</v>
      </c>
      <c r="K92" s="139">
        <v>4</v>
      </c>
      <c r="L92" s="40"/>
    </row>
    <row r="93" spans="1:12" ht="13" customHeight="1" thickBot="1" x14ac:dyDescent="0.25">
      <c r="A93" s="41"/>
      <c r="B93" s="179"/>
      <c r="C93" s="37" t="str">
        <f t="shared" ref="C93:I93" si="45">IF(ISBLANK(C92),"",VLOOKUP(C92,$B$106:$L$142,11,0))</f>
        <v>21H45-06H15</v>
      </c>
      <c r="D93" s="37" t="str">
        <f t="shared" si="45"/>
        <v/>
      </c>
      <c r="E93" s="37" t="str">
        <f t="shared" si="45"/>
        <v>22H00-06H30</v>
      </c>
      <c r="F93" s="37" t="str">
        <f t="shared" si="45"/>
        <v/>
      </c>
      <c r="G93" s="37" t="str">
        <f t="shared" si="45"/>
        <v>06H00-14H30</v>
      </c>
      <c r="H93" s="37" t="str">
        <f t="shared" si="45"/>
        <v>06H00-14H30</v>
      </c>
      <c r="I93" s="37" t="str">
        <f t="shared" si="45"/>
        <v>22H00-06H30</v>
      </c>
      <c r="J93" s="181" t="s">
        <v>57</v>
      </c>
      <c r="K93" s="139"/>
    </row>
    <row r="94" spans="1:12" s="39" customFormat="1" ht="13" customHeight="1" thickTop="1" x14ac:dyDescent="0.2">
      <c r="A94" s="21">
        <f>7-(COUNTIF(C94:I94,"")+COUNTIF(C94:I94,$B$140))</f>
        <v>5</v>
      </c>
      <c r="B94" s="201" t="s">
        <v>106</v>
      </c>
      <c r="C94" s="36" t="s">
        <v>31</v>
      </c>
      <c r="D94" s="36" t="s">
        <v>79</v>
      </c>
      <c r="E94" s="36" t="s">
        <v>167</v>
      </c>
      <c r="F94" s="36"/>
      <c r="G94" s="36" t="s">
        <v>167</v>
      </c>
      <c r="H94" s="36" t="s">
        <v>151</v>
      </c>
      <c r="I94" s="36"/>
      <c r="J94" s="180" t="s">
        <v>75</v>
      </c>
      <c r="K94" s="139">
        <v>5</v>
      </c>
      <c r="L94" s="40"/>
    </row>
    <row r="95" spans="1:12" s="39" customFormat="1" ht="13" customHeight="1" thickBot="1" x14ac:dyDescent="0.25">
      <c r="B95" s="196"/>
      <c r="C95" s="37" t="str">
        <f t="shared" ref="C95:I95" si="46">IF(ISBLANK(C94),"",VLOOKUP(C94,$B$106:$L$142,11,0))</f>
        <v>06H00-14H30</v>
      </c>
      <c r="D95" s="37" t="str">
        <f t="shared" si="46"/>
        <v>09H00-17H30</v>
      </c>
      <c r="E95" s="37" t="str">
        <f t="shared" si="46"/>
        <v>08H00-16H30</v>
      </c>
      <c r="F95" s="37" t="str">
        <f t="shared" si="46"/>
        <v/>
      </c>
      <c r="G95" s="37" t="str">
        <f t="shared" si="46"/>
        <v>08H00-16H30</v>
      </c>
      <c r="H95" s="37" t="str">
        <f t="shared" si="46"/>
        <v>08H30-17H00</v>
      </c>
      <c r="I95" s="37" t="str">
        <f t="shared" si="46"/>
        <v/>
      </c>
      <c r="J95" s="181" t="s">
        <v>76</v>
      </c>
      <c r="K95" s="139"/>
      <c r="L95" s="40"/>
    </row>
    <row r="96" spans="1:12" s="39" customFormat="1" ht="13" customHeight="1" thickTop="1" x14ac:dyDescent="0.2">
      <c r="A96" s="21">
        <f>7-(COUNTIF(C96:I96,"")+COUNTIF(C96:I96,$B$140))</f>
        <v>5</v>
      </c>
      <c r="B96" s="178" t="s">
        <v>28</v>
      </c>
      <c r="C96" s="38" t="s">
        <v>123</v>
      </c>
      <c r="D96" s="38"/>
      <c r="E96" s="38" t="s">
        <v>31</v>
      </c>
      <c r="F96" s="38" t="s">
        <v>84</v>
      </c>
      <c r="G96" s="71"/>
      <c r="H96" s="38" t="s">
        <v>90</v>
      </c>
      <c r="I96" s="38" t="s">
        <v>80</v>
      </c>
      <c r="J96" s="180" t="s">
        <v>76</v>
      </c>
      <c r="K96" s="139">
        <v>5</v>
      </c>
      <c r="L96" s="40"/>
    </row>
    <row r="97" spans="1:12" s="39" customFormat="1" ht="13" customHeight="1" thickBot="1" x14ac:dyDescent="0.25">
      <c r="B97" s="179"/>
      <c r="C97" s="37" t="str">
        <f t="shared" ref="C97:I97" si="47">IF(ISBLANK(C96),"",VLOOKUP(C96,$B$106:$L$142,11,0))</f>
        <v>14H30-23H00</v>
      </c>
      <c r="D97" s="37" t="str">
        <f t="shared" si="47"/>
        <v/>
      </c>
      <c r="E97" s="37" t="str">
        <f t="shared" si="47"/>
        <v>06H00-14H30</v>
      </c>
      <c r="F97" s="37" t="str">
        <f t="shared" si="47"/>
        <v>13H30-22H00</v>
      </c>
      <c r="G97" s="37" t="str">
        <f t="shared" si="47"/>
        <v/>
      </c>
      <c r="H97" s="37" t="str">
        <f t="shared" si="47"/>
        <v>06H00-14H30</v>
      </c>
      <c r="I97" s="37" t="str">
        <f t="shared" si="47"/>
        <v>06H00-14H30</v>
      </c>
      <c r="J97" s="181" t="s">
        <v>77</v>
      </c>
      <c r="K97" s="139"/>
      <c r="L97" s="40"/>
    </row>
    <row r="98" spans="1:12" s="39" customFormat="1" ht="13" customHeight="1" thickTop="1" x14ac:dyDescent="0.2">
      <c r="A98" s="21"/>
      <c r="B98" s="178" t="s">
        <v>136</v>
      </c>
      <c r="C98" s="36"/>
      <c r="D98" s="35" t="s">
        <v>95</v>
      </c>
      <c r="E98" s="36"/>
      <c r="F98" s="35" t="s">
        <v>95</v>
      </c>
      <c r="G98" s="35" t="s">
        <v>95</v>
      </c>
      <c r="H98" s="35" t="s">
        <v>95</v>
      </c>
      <c r="I98" s="35" t="s">
        <v>95</v>
      </c>
      <c r="J98" s="180"/>
      <c r="K98" s="139">
        <v>2</v>
      </c>
      <c r="L98" s="40"/>
    </row>
    <row r="99" spans="1:12" ht="13" customHeight="1" thickBot="1" x14ac:dyDescent="0.25">
      <c r="A99" s="41"/>
      <c r="B99" s="179"/>
      <c r="C99" s="37" t="str">
        <f t="shared" ref="C99:I99" si="48">IF(ISBLANK(C98),"",VLOOKUP(C98,$B$106:$L$142,11,0))</f>
        <v/>
      </c>
      <c r="D99" s="37">
        <f t="shared" si="48"/>
        <v>0</v>
      </c>
      <c r="E99" s="37" t="str">
        <f t="shared" si="48"/>
        <v/>
      </c>
      <c r="F99" s="37">
        <f t="shared" si="48"/>
        <v>0</v>
      </c>
      <c r="G99" s="37">
        <f t="shared" si="48"/>
        <v>0</v>
      </c>
      <c r="H99" s="37">
        <f t="shared" si="48"/>
        <v>0</v>
      </c>
      <c r="I99" s="37">
        <f t="shared" si="48"/>
        <v>0</v>
      </c>
      <c r="J99" s="181" t="s">
        <v>57</v>
      </c>
      <c r="K99" s="139"/>
    </row>
    <row r="100" spans="1:12" s="39" customFormat="1" ht="13" customHeight="1" thickTop="1" x14ac:dyDescent="0.2">
      <c r="A100" s="21"/>
      <c r="B100" s="178" t="s">
        <v>135</v>
      </c>
      <c r="C100" s="36"/>
      <c r="D100" s="35"/>
      <c r="E100" s="36"/>
      <c r="F100" s="35" t="s">
        <v>95</v>
      </c>
      <c r="G100" s="36"/>
      <c r="H100" s="35" t="s">
        <v>95</v>
      </c>
      <c r="I100" s="35" t="s">
        <v>95</v>
      </c>
      <c r="J100" s="180"/>
      <c r="K100" s="139">
        <v>4</v>
      </c>
      <c r="L100" s="40"/>
    </row>
    <row r="101" spans="1:12" ht="13" customHeight="1" thickBot="1" x14ac:dyDescent="0.25">
      <c r="A101" s="41"/>
      <c r="B101" s="179"/>
      <c r="C101" s="37" t="str">
        <f t="shared" ref="C101:I101" si="49">IF(ISBLANK(C100),"",VLOOKUP(C100,$B$106:$L$142,11,0))</f>
        <v/>
      </c>
      <c r="D101" s="37" t="str">
        <f t="shared" si="49"/>
        <v/>
      </c>
      <c r="E101" s="37" t="str">
        <f t="shared" si="49"/>
        <v/>
      </c>
      <c r="F101" s="37">
        <f t="shared" si="49"/>
        <v>0</v>
      </c>
      <c r="G101" s="37" t="str">
        <f t="shared" si="49"/>
        <v/>
      </c>
      <c r="H101" s="37">
        <f t="shared" si="49"/>
        <v>0</v>
      </c>
      <c r="I101" s="37">
        <f t="shared" si="49"/>
        <v>0</v>
      </c>
      <c r="J101" s="181" t="s">
        <v>57</v>
      </c>
      <c r="K101" s="139"/>
    </row>
    <row r="102" spans="1:12" s="39" customFormat="1" ht="13" customHeight="1" thickTop="1" x14ac:dyDescent="0.2">
      <c r="A102" s="21">
        <f>7-(COUNTIF(C102:I102,"")+COUNTIF(C102:I102,$B$140))</f>
        <v>5</v>
      </c>
      <c r="B102" s="178" t="s">
        <v>29</v>
      </c>
      <c r="C102" s="35" t="s">
        <v>87</v>
      </c>
      <c r="D102" s="35" t="s">
        <v>87</v>
      </c>
      <c r="E102" s="35" t="s">
        <v>87</v>
      </c>
      <c r="F102" s="35" t="s">
        <v>87</v>
      </c>
      <c r="G102" s="35" t="s">
        <v>87</v>
      </c>
      <c r="H102" s="35" t="s">
        <v>95</v>
      </c>
      <c r="I102" s="35" t="s">
        <v>95</v>
      </c>
      <c r="J102" s="180"/>
      <c r="K102" s="139">
        <v>5</v>
      </c>
      <c r="L102" s="40"/>
    </row>
    <row r="103" spans="1:12" s="39" customFormat="1" ht="13" customHeight="1" thickBot="1" x14ac:dyDescent="0.25">
      <c r="B103" s="202"/>
      <c r="C103" s="43" t="str">
        <f t="shared" ref="C103:I103" si="50">IF(ISBLANK(C102),"",VLOOKUP(C102,$B$106:$L$142,11,0))</f>
        <v>08H00-16H30</v>
      </c>
      <c r="D103" s="43" t="str">
        <f t="shared" si="50"/>
        <v>08H00-16H30</v>
      </c>
      <c r="E103" s="43" t="str">
        <f t="shared" si="50"/>
        <v>08H00-16H30</v>
      </c>
      <c r="F103" s="43" t="str">
        <f t="shared" si="50"/>
        <v>08H00-16H30</v>
      </c>
      <c r="G103" s="43" t="str">
        <f t="shared" si="50"/>
        <v>08H00-16H30</v>
      </c>
      <c r="H103" s="43">
        <f t="shared" si="50"/>
        <v>0</v>
      </c>
      <c r="I103" s="43">
        <f t="shared" si="50"/>
        <v>0</v>
      </c>
      <c r="J103" s="203"/>
      <c r="K103" s="139"/>
      <c r="L103" s="40"/>
    </row>
    <row r="104" spans="1:12" s="39" customFormat="1" ht="13" customHeight="1" thickTop="1" x14ac:dyDescent="0.2">
      <c r="C104" s="45">
        <f>C5</f>
        <v>43171</v>
      </c>
      <c r="D104" s="45">
        <f t="shared" ref="D104:I104" si="51">C104+1</f>
        <v>43172</v>
      </c>
      <c r="E104" s="45">
        <f t="shared" si="51"/>
        <v>43173</v>
      </c>
      <c r="F104" s="45">
        <f t="shared" si="51"/>
        <v>43174</v>
      </c>
      <c r="G104" s="45">
        <f t="shared" si="51"/>
        <v>43175</v>
      </c>
      <c r="H104" s="45">
        <f t="shared" si="51"/>
        <v>43176</v>
      </c>
      <c r="I104" s="45">
        <f t="shared" si="51"/>
        <v>43177</v>
      </c>
      <c r="L104" s="40"/>
    </row>
    <row r="105" spans="1:12" ht="13" customHeight="1" x14ac:dyDescent="0.2">
      <c r="A105" s="41"/>
      <c r="B105" s="46" t="s">
        <v>39</v>
      </c>
      <c r="C105" s="47"/>
      <c r="D105" s="47"/>
      <c r="E105" s="47"/>
      <c r="F105" s="47"/>
      <c r="G105" s="47"/>
      <c r="H105" s="39"/>
      <c r="I105" s="39"/>
      <c r="J105" s="48" t="s">
        <v>98</v>
      </c>
      <c r="K105" s="49" t="s">
        <v>107</v>
      </c>
      <c r="L105" s="50" t="s">
        <v>97</v>
      </c>
    </row>
    <row r="106" spans="1:12" ht="13" customHeight="1" x14ac:dyDescent="0.2">
      <c r="A106" s="41"/>
      <c r="B106" s="51" t="s">
        <v>117</v>
      </c>
      <c r="C106" s="52">
        <f t="shared" ref="C106:I115" si="52">COUNTIF(C$6:C$103,$B106)</f>
        <v>0</v>
      </c>
      <c r="D106" s="52">
        <f t="shared" si="52"/>
        <v>0</v>
      </c>
      <c r="E106" s="52">
        <f t="shared" si="52"/>
        <v>0</v>
      </c>
      <c r="F106" s="52">
        <f t="shared" si="52"/>
        <v>0</v>
      </c>
      <c r="G106" s="52">
        <f t="shared" si="52"/>
        <v>0</v>
      </c>
      <c r="H106" s="52">
        <f t="shared" si="52"/>
        <v>0</v>
      </c>
      <c r="I106" s="52">
        <f t="shared" si="52"/>
        <v>0</v>
      </c>
      <c r="J106" s="53">
        <f t="shared" ref="J106:J142" si="53">SUM(C106:I106)</f>
        <v>0</v>
      </c>
      <c r="K106" s="49">
        <v>3</v>
      </c>
      <c r="L106" s="1" t="s">
        <v>118</v>
      </c>
    </row>
    <row r="107" spans="1:12" ht="13" customHeight="1" x14ac:dyDescent="0.2">
      <c r="A107" s="41"/>
      <c r="B107" s="54" t="s">
        <v>167</v>
      </c>
      <c r="C107" s="52">
        <f t="shared" si="52"/>
        <v>2</v>
      </c>
      <c r="D107" s="52">
        <f t="shared" si="52"/>
        <v>2</v>
      </c>
      <c r="E107" s="52">
        <f t="shared" si="52"/>
        <v>2</v>
      </c>
      <c r="F107" s="52">
        <f t="shared" si="52"/>
        <v>2</v>
      </c>
      <c r="G107" s="52">
        <f t="shared" si="52"/>
        <v>2</v>
      </c>
      <c r="H107" s="52">
        <f t="shared" si="52"/>
        <v>0</v>
      </c>
      <c r="I107" s="52">
        <f t="shared" si="52"/>
        <v>0</v>
      </c>
      <c r="J107" s="53">
        <f t="shared" si="53"/>
        <v>10</v>
      </c>
      <c r="K107" s="49">
        <v>3</v>
      </c>
      <c r="L107" s="1" t="s">
        <v>116</v>
      </c>
    </row>
    <row r="108" spans="1:12" ht="13" customHeight="1" x14ac:dyDescent="0.2">
      <c r="A108" s="41"/>
      <c r="B108" s="55" t="s">
        <v>79</v>
      </c>
      <c r="C108" s="52">
        <f t="shared" si="52"/>
        <v>1</v>
      </c>
      <c r="D108" s="52">
        <f t="shared" si="52"/>
        <v>1</v>
      </c>
      <c r="E108" s="52">
        <f t="shared" si="52"/>
        <v>1</v>
      </c>
      <c r="F108" s="52">
        <f t="shared" si="52"/>
        <v>1</v>
      </c>
      <c r="G108" s="52">
        <f t="shared" si="52"/>
        <v>1</v>
      </c>
      <c r="H108" s="52">
        <f t="shared" si="52"/>
        <v>1</v>
      </c>
      <c r="I108" s="52">
        <f t="shared" si="52"/>
        <v>1</v>
      </c>
      <c r="J108" s="53">
        <f t="shared" si="53"/>
        <v>7</v>
      </c>
      <c r="K108" s="49">
        <v>7</v>
      </c>
      <c r="L108" s="1" t="s">
        <v>34</v>
      </c>
    </row>
    <row r="109" spans="1:12" ht="13" customHeight="1" x14ac:dyDescent="0.2">
      <c r="A109" s="41"/>
      <c r="B109" s="70" t="s">
        <v>150</v>
      </c>
      <c r="C109" s="52">
        <f t="shared" si="52"/>
        <v>1</v>
      </c>
      <c r="D109" s="52">
        <f t="shared" si="52"/>
        <v>1</v>
      </c>
      <c r="E109" s="52">
        <f t="shared" si="52"/>
        <v>1</v>
      </c>
      <c r="F109" s="52">
        <f t="shared" si="52"/>
        <v>1</v>
      </c>
      <c r="G109" s="52">
        <f t="shared" si="52"/>
        <v>1</v>
      </c>
      <c r="H109" s="52">
        <f t="shared" si="52"/>
        <v>1</v>
      </c>
      <c r="I109" s="52">
        <f t="shared" si="52"/>
        <v>1</v>
      </c>
      <c r="J109" s="53">
        <f t="shared" si="53"/>
        <v>7</v>
      </c>
      <c r="K109" s="49">
        <v>7</v>
      </c>
      <c r="L109" s="1" t="s">
        <v>34</v>
      </c>
    </row>
    <row r="110" spans="1:12" ht="13" customHeight="1" x14ac:dyDescent="0.2">
      <c r="A110" s="41"/>
      <c r="B110" s="3" t="s">
        <v>80</v>
      </c>
      <c r="C110" s="52">
        <f t="shared" si="52"/>
        <v>1</v>
      </c>
      <c r="D110" s="52">
        <f t="shared" si="52"/>
        <v>1</v>
      </c>
      <c r="E110" s="52">
        <f t="shared" si="52"/>
        <v>1</v>
      </c>
      <c r="F110" s="52">
        <f t="shared" si="52"/>
        <v>1</v>
      </c>
      <c r="G110" s="52">
        <f t="shared" si="52"/>
        <v>1</v>
      </c>
      <c r="H110" s="52">
        <f t="shared" si="52"/>
        <v>1</v>
      </c>
      <c r="I110" s="52">
        <f t="shared" si="52"/>
        <v>1</v>
      </c>
      <c r="J110" s="53">
        <f t="shared" si="53"/>
        <v>7</v>
      </c>
      <c r="K110" s="49">
        <v>7</v>
      </c>
      <c r="L110" s="1" t="s">
        <v>32</v>
      </c>
    </row>
    <row r="111" spans="1:12" ht="13" customHeight="1" x14ac:dyDescent="0.2">
      <c r="A111" s="41"/>
      <c r="B111" s="4" t="s">
        <v>81</v>
      </c>
      <c r="C111" s="52">
        <f t="shared" si="52"/>
        <v>1</v>
      </c>
      <c r="D111" s="52">
        <f t="shared" si="52"/>
        <v>1</v>
      </c>
      <c r="E111" s="52">
        <f t="shared" si="52"/>
        <v>1</v>
      </c>
      <c r="F111" s="52">
        <f t="shared" si="52"/>
        <v>1</v>
      </c>
      <c r="G111" s="52">
        <f t="shared" si="52"/>
        <v>1</v>
      </c>
      <c r="H111" s="52">
        <f t="shared" si="52"/>
        <v>1</v>
      </c>
      <c r="I111" s="52">
        <f t="shared" si="52"/>
        <v>1</v>
      </c>
      <c r="J111" s="53">
        <f t="shared" si="53"/>
        <v>7</v>
      </c>
      <c r="K111" s="49">
        <v>7</v>
      </c>
      <c r="L111" s="1" t="s">
        <v>36</v>
      </c>
    </row>
    <row r="112" spans="1:12" ht="13" customHeight="1" x14ac:dyDescent="0.2">
      <c r="B112" s="15" t="s">
        <v>154</v>
      </c>
      <c r="C112" s="52">
        <f t="shared" si="52"/>
        <v>0</v>
      </c>
      <c r="D112" s="52">
        <f t="shared" si="52"/>
        <v>0</v>
      </c>
      <c r="E112" s="52">
        <f t="shared" si="52"/>
        <v>0</v>
      </c>
      <c r="F112" s="52">
        <f t="shared" si="52"/>
        <v>0</v>
      </c>
      <c r="G112" s="52">
        <f t="shared" si="52"/>
        <v>0</v>
      </c>
      <c r="H112" s="52">
        <f t="shared" si="52"/>
        <v>0</v>
      </c>
      <c r="I112" s="52">
        <f t="shared" si="52"/>
        <v>0</v>
      </c>
      <c r="J112" s="53">
        <f t="shared" si="53"/>
        <v>0</v>
      </c>
      <c r="K112" s="49">
        <v>7</v>
      </c>
      <c r="L112" s="1" t="s">
        <v>125</v>
      </c>
    </row>
    <row r="113" spans="1:12" ht="13" customHeight="1" x14ac:dyDescent="0.2">
      <c r="A113" s="41"/>
      <c r="B113" s="5" t="s">
        <v>103</v>
      </c>
      <c r="C113" s="52">
        <f t="shared" si="52"/>
        <v>0</v>
      </c>
      <c r="D113" s="52">
        <f t="shared" si="52"/>
        <v>0</v>
      </c>
      <c r="E113" s="52">
        <f t="shared" si="52"/>
        <v>0</v>
      </c>
      <c r="F113" s="52">
        <f t="shared" si="52"/>
        <v>0</v>
      </c>
      <c r="G113" s="52">
        <f t="shared" si="52"/>
        <v>0</v>
      </c>
      <c r="H113" s="52">
        <f t="shared" si="52"/>
        <v>0</v>
      </c>
      <c r="I113" s="52">
        <f t="shared" si="52"/>
        <v>0</v>
      </c>
      <c r="J113" s="53">
        <f t="shared" si="53"/>
        <v>0</v>
      </c>
      <c r="K113" s="49">
        <v>0</v>
      </c>
      <c r="L113" s="1" t="s">
        <v>38</v>
      </c>
    </row>
    <row r="114" spans="1:12" ht="13" customHeight="1" x14ac:dyDescent="0.2">
      <c r="A114" s="41"/>
      <c r="B114" s="14" t="s">
        <v>149</v>
      </c>
      <c r="C114" s="52">
        <f t="shared" si="52"/>
        <v>1</v>
      </c>
      <c r="D114" s="52">
        <f t="shared" si="52"/>
        <v>1</v>
      </c>
      <c r="E114" s="52">
        <f t="shared" si="52"/>
        <v>1</v>
      </c>
      <c r="F114" s="52">
        <f t="shared" si="52"/>
        <v>1</v>
      </c>
      <c r="G114" s="52">
        <f t="shared" si="52"/>
        <v>1</v>
      </c>
      <c r="H114" s="52">
        <f t="shared" si="52"/>
        <v>1</v>
      </c>
      <c r="I114" s="52">
        <f t="shared" si="52"/>
        <v>1</v>
      </c>
      <c r="J114" s="53">
        <f t="shared" si="53"/>
        <v>7</v>
      </c>
      <c r="K114" s="49">
        <v>7</v>
      </c>
      <c r="L114" s="1" t="s">
        <v>34</v>
      </c>
    </row>
    <row r="115" spans="1:12" ht="13" customHeight="1" x14ac:dyDescent="0.2">
      <c r="A115" s="41"/>
      <c r="B115" s="16" t="s">
        <v>122</v>
      </c>
      <c r="C115" s="52">
        <f t="shared" si="52"/>
        <v>1</v>
      </c>
      <c r="D115" s="52">
        <f t="shared" si="52"/>
        <v>1</v>
      </c>
      <c r="E115" s="52">
        <f t="shared" si="52"/>
        <v>1</v>
      </c>
      <c r="F115" s="52">
        <f t="shared" si="52"/>
        <v>1</v>
      </c>
      <c r="G115" s="52">
        <f t="shared" si="52"/>
        <v>1</v>
      </c>
      <c r="H115" s="52">
        <f t="shared" si="52"/>
        <v>1</v>
      </c>
      <c r="I115" s="52">
        <f t="shared" si="52"/>
        <v>1</v>
      </c>
      <c r="J115" s="53">
        <f>SUM(C115:I115)</f>
        <v>7</v>
      </c>
      <c r="K115" s="49">
        <v>7</v>
      </c>
      <c r="L115" s="1" t="s">
        <v>32</v>
      </c>
    </row>
    <row r="116" spans="1:12" ht="13" customHeight="1" x14ac:dyDescent="0.2">
      <c r="A116" s="41"/>
      <c r="B116" s="6" t="s">
        <v>82</v>
      </c>
      <c r="C116" s="52">
        <f t="shared" ref="C116:I125" si="54">COUNTIF(C$6:C$103,$B116)</f>
        <v>2</v>
      </c>
      <c r="D116" s="52">
        <f t="shared" si="54"/>
        <v>2</v>
      </c>
      <c r="E116" s="52">
        <f t="shared" si="54"/>
        <v>2</v>
      </c>
      <c r="F116" s="52">
        <f t="shared" si="54"/>
        <v>2</v>
      </c>
      <c r="G116" s="52">
        <f t="shared" si="54"/>
        <v>2</v>
      </c>
      <c r="H116" s="52">
        <f t="shared" si="54"/>
        <v>2</v>
      </c>
      <c r="I116" s="52">
        <f t="shared" si="54"/>
        <v>2</v>
      </c>
      <c r="J116" s="53">
        <f t="shared" si="53"/>
        <v>14</v>
      </c>
      <c r="K116" s="49">
        <v>14</v>
      </c>
      <c r="L116" s="1" t="s">
        <v>32</v>
      </c>
    </row>
    <row r="117" spans="1:12" ht="13" customHeight="1" x14ac:dyDescent="0.2">
      <c r="A117" s="41"/>
      <c r="B117" s="6" t="s">
        <v>83</v>
      </c>
      <c r="C117" s="52">
        <f t="shared" si="54"/>
        <v>1</v>
      </c>
      <c r="D117" s="52">
        <f t="shared" si="54"/>
        <v>1</v>
      </c>
      <c r="E117" s="52">
        <f t="shared" si="54"/>
        <v>1</v>
      </c>
      <c r="F117" s="52">
        <f t="shared" si="54"/>
        <v>1</v>
      </c>
      <c r="G117" s="52">
        <f t="shared" si="54"/>
        <v>1</v>
      </c>
      <c r="H117" s="52">
        <f t="shared" si="54"/>
        <v>1</v>
      </c>
      <c r="I117" s="52">
        <f t="shared" si="54"/>
        <v>1</v>
      </c>
      <c r="J117" s="53">
        <f t="shared" si="53"/>
        <v>7</v>
      </c>
      <c r="K117" s="49">
        <v>7</v>
      </c>
      <c r="L117" s="1" t="s">
        <v>34</v>
      </c>
    </row>
    <row r="118" spans="1:12" ht="13" customHeight="1" x14ac:dyDescent="0.2">
      <c r="A118" s="41"/>
      <c r="B118" s="6" t="s">
        <v>109</v>
      </c>
      <c r="C118" s="52">
        <f t="shared" si="54"/>
        <v>0</v>
      </c>
      <c r="D118" s="52">
        <f t="shared" si="54"/>
        <v>0</v>
      </c>
      <c r="E118" s="52">
        <f t="shared" si="54"/>
        <v>0</v>
      </c>
      <c r="F118" s="52">
        <f t="shared" si="54"/>
        <v>0</v>
      </c>
      <c r="G118" s="52">
        <f t="shared" si="54"/>
        <v>0</v>
      </c>
      <c r="H118" s="52">
        <f t="shared" si="54"/>
        <v>0</v>
      </c>
      <c r="I118" s="52">
        <f t="shared" si="54"/>
        <v>0</v>
      </c>
      <c r="J118" s="53">
        <f t="shared" si="53"/>
        <v>0</v>
      </c>
      <c r="K118" s="49">
        <v>0</v>
      </c>
      <c r="L118" s="1" t="s">
        <v>126</v>
      </c>
    </row>
    <row r="119" spans="1:12" ht="13" customHeight="1" x14ac:dyDescent="0.2">
      <c r="A119" s="41"/>
      <c r="B119" s="7" t="s">
        <v>84</v>
      </c>
      <c r="C119" s="52">
        <f t="shared" si="54"/>
        <v>3</v>
      </c>
      <c r="D119" s="52">
        <f t="shared" si="54"/>
        <v>3</v>
      </c>
      <c r="E119" s="52">
        <f t="shared" si="54"/>
        <v>3</v>
      </c>
      <c r="F119" s="52">
        <f t="shared" si="54"/>
        <v>3</v>
      </c>
      <c r="G119" s="52">
        <f t="shared" si="54"/>
        <v>3</v>
      </c>
      <c r="H119" s="52">
        <f t="shared" si="54"/>
        <v>3</v>
      </c>
      <c r="I119" s="52">
        <f t="shared" si="54"/>
        <v>3</v>
      </c>
      <c r="J119" s="53">
        <f t="shared" si="53"/>
        <v>21</v>
      </c>
      <c r="K119" s="49">
        <v>21</v>
      </c>
      <c r="L119" s="1" t="s">
        <v>35</v>
      </c>
    </row>
    <row r="120" spans="1:12" ht="13" customHeight="1" x14ac:dyDescent="0.2">
      <c r="A120" s="41"/>
      <c r="B120" s="17" t="s">
        <v>123</v>
      </c>
      <c r="C120" s="52">
        <f t="shared" si="54"/>
        <v>1</v>
      </c>
      <c r="D120" s="52">
        <f t="shared" si="54"/>
        <v>1</v>
      </c>
      <c r="E120" s="52">
        <f t="shared" si="54"/>
        <v>1</v>
      </c>
      <c r="F120" s="52">
        <f t="shared" si="54"/>
        <v>1</v>
      </c>
      <c r="G120" s="52">
        <f t="shared" si="54"/>
        <v>1</v>
      </c>
      <c r="H120" s="52">
        <f t="shared" si="54"/>
        <v>1</v>
      </c>
      <c r="I120" s="52">
        <f t="shared" si="54"/>
        <v>1</v>
      </c>
      <c r="J120" s="53">
        <f>SUM(C120:I120)</f>
        <v>7</v>
      </c>
      <c r="K120" s="49">
        <v>7</v>
      </c>
      <c r="L120" s="1" t="s">
        <v>36</v>
      </c>
    </row>
    <row r="121" spans="1:12" ht="13" customHeight="1" x14ac:dyDescent="0.2">
      <c r="A121" s="41"/>
      <c r="B121" s="7" t="s">
        <v>85</v>
      </c>
      <c r="C121" s="52">
        <f t="shared" si="54"/>
        <v>1</v>
      </c>
      <c r="D121" s="52">
        <f t="shared" si="54"/>
        <v>1</v>
      </c>
      <c r="E121" s="52">
        <f t="shared" si="54"/>
        <v>1</v>
      </c>
      <c r="F121" s="52">
        <f t="shared" si="54"/>
        <v>1</v>
      </c>
      <c r="G121" s="52">
        <f t="shared" si="54"/>
        <v>1</v>
      </c>
      <c r="H121" s="52">
        <f t="shared" si="54"/>
        <v>1</v>
      </c>
      <c r="I121" s="52">
        <f t="shared" si="54"/>
        <v>1</v>
      </c>
      <c r="J121" s="53">
        <f t="shared" si="53"/>
        <v>7</v>
      </c>
      <c r="K121" s="49">
        <v>7</v>
      </c>
      <c r="L121" s="1" t="s">
        <v>36</v>
      </c>
    </row>
    <row r="122" spans="1:12" ht="13" customHeight="1" x14ac:dyDescent="0.2">
      <c r="A122" s="41"/>
      <c r="B122" s="8" t="s">
        <v>110</v>
      </c>
      <c r="C122" s="52">
        <f t="shared" si="54"/>
        <v>1</v>
      </c>
      <c r="D122" s="52">
        <f t="shared" si="54"/>
        <v>1</v>
      </c>
      <c r="E122" s="52">
        <f t="shared" si="54"/>
        <v>1</v>
      </c>
      <c r="F122" s="52">
        <f t="shared" si="54"/>
        <v>1</v>
      </c>
      <c r="G122" s="52">
        <f t="shared" si="54"/>
        <v>1</v>
      </c>
      <c r="H122" s="52">
        <f t="shared" si="54"/>
        <v>1</v>
      </c>
      <c r="I122" s="52">
        <f t="shared" si="54"/>
        <v>1</v>
      </c>
      <c r="J122" s="53">
        <f t="shared" si="53"/>
        <v>7</v>
      </c>
      <c r="K122" s="49">
        <v>7</v>
      </c>
      <c r="L122" s="1" t="s">
        <v>38</v>
      </c>
    </row>
    <row r="123" spans="1:12" ht="13" customHeight="1" x14ac:dyDescent="0.2">
      <c r="A123" s="41"/>
      <c r="B123" s="56" t="s">
        <v>86</v>
      </c>
      <c r="C123" s="52">
        <f t="shared" si="54"/>
        <v>0</v>
      </c>
      <c r="D123" s="52">
        <f t="shared" si="54"/>
        <v>0</v>
      </c>
      <c r="E123" s="52">
        <f t="shared" si="54"/>
        <v>0</v>
      </c>
      <c r="F123" s="52">
        <f t="shared" si="54"/>
        <v>0</v>
      </c>
      <c r="G123" s="52">
        <f t="shared" si="54"/>
        <v>0</v>
      </c>
      <c r="H123" s="52">
        <f t="shared" si="54"/>
        <v>0</v>
      </c>
      <c r="I123" s="52">
        <f t="shared" si="54"/>
        <v>0</v>
      </c>
      <c r="J123" s="53">
        <f t="shared" si="53"/>
        <v>0</v>
      </c>
      <c r="K123" s="49">
        <v>19</v>
      </c>
      <c r="L123" s="1" t="s">
        <v>32</v>
      </c>
    </row>
    <row r="124" spans="1:12" ht="13" customHeight="1" x14ac:dyDescent="0.2">
      <c r="A124" s="41"/>
      <c r="B124" s="56" t="s">
        <v>87</v>
      </c>
      <c r="C124" s="52">
        <f t="shared" si="54"/>
        <v>7</v>
      </c>
      <c r="D124" s="52">
        <f t="shared" si="54"/>
        <v>7</v>
      </c>
      <c r="E124" s="52">
        <f t="shared" si="54"/>
        <v>7</v>
      </c>
      <c r="F124" s="52">
        <f t="shared" si="54"/>
        <v>7</v>
      </c>
      <c r="G124" s="52">
        <f t="shared" si="54"/>
        <v>7</v>
      </c>
      <c r="H124" s="52">
        <f t="shared" si="54"/>
        <v>0</v>
      </c>
      <c r="I124" s="52">
        <f t="shared" si="54"/>
        <v>0</v>
      </c>
      <c r="J124" s="53">
        <f t="shared" si="53"/>
        <v>35</v>
      </c>
      <c r="K124" s="49">
        <v>20</v>
      </c>
      <c r="L124" s="1" t="s">
        <v>116</v>
      </c>
    </row>
    <row r="125" spans="1:12" ht="13" customHeight="1" x14ac:dyDescent="0.2">
      <c r="A125" s="41"/>
      <c r="B125" s="57" t="s">
        <v>168</v>
      </c>
      <c r="C125" s="52">
        <f t="shared" si="54"/>
        <v>0</v>
      </c>
      <c r="D125" s="52">
        <f t="shared" si="54"/>
        <v>0</v>
      </c>
      <c r="E125" s="52">
        <f t="shared" si="54"/>
        <v>0</v>
      </c>
      <c r="F125" s="52">
        <f t="shared" si="54"/>
        <v>0</v>
      </c>
      <c r="G125" s="52">
        <f t="shared" si="54"/>
        <v>0</v>
      </c>
      <c r="H125" s="52">
        <f t="shared" si="54"/>
        <v>1</v>
      </c>
      <c r="I125" s="52">
        <f t="shared" si="54"/>
        <v>0</v>
      </c>
      <c r="J125" s="53">
        <f t="shared" si="53"/>
        <v>1</v>
      </c>
      <c r="K125" s="49">
        <v>6</v>
      </c>
      <c r="L125" s="1" t="s">
        <v>36</v>
      </c>
    </row>
    <row r="126" spans="1:12" ht="13" customHeight="1" x14ac:dyDescent="0.2">
      <c r="A126" s="41"/>
      <c r="B126" s="58" t="s">
        <v>89</v>
      </c>
      <c r="C126" s="52">
        <f t="shared" ref="C126:I131" si="55">COUNTIF(C$6:C$103,$B126)</f>
        <v>1</v>
      </c>
      <c r="D126" s="52">
        <f t="shared" si="55"/>
        <v>1</v>
      </c>
      <c r="E126" s="52">
        <f t="shared" si="55"/>
        <v>1</v>
      </c>
      <c r="F126" s="52">
        <f t="shared" si="55"/>
        <v>1</v>
      </c>
      <c r="G126" s="52">
        <f t="shared" si="55"/>
        <v>1</v>
      </c>
      <c r="H126" s="52">
        <f t="shared" si="55"/>
        <v>0</v>
      </c>
      <c r="I126" s="52">
        <f t="shared" si="55"/>
        <v>0</v>
      </c>
      <c r="J126" s="53">
        <f t="shared" si="53"/>
        <v>5</v>
      </c>
      <c r="K126" s="49">
        <v>5</v>
      </c>
      <c r="L126" s="1" t="s">
        <v>37</v>
      </c>
    </row>
    <row r="127" spans="1:12" ht="13" customHeight="1" x14ac:dyDescent="0.2">
      <c r="A127" s="41"/>
      <c r="B127" s="9" t="s">
        <v>90</v>
      </c>
      <c r="C127" s="52">
        <f t="shared" si="55"/>
        <v>1</v>
      </c>
      <c r="D127" s="52">
        <f t="shared" si="55"/>
        <v>1</v>
      </c>
      <c r="E127" s="52">
        <f t="shared" si="55"/>
        <v>1</v>
      </c>
      <c r="F127" s="52">
        <f t="shared" si="55"/>
        <v>1</v>
      </c>
      <c r="G127" s="52">
        <f t="shared" si="55"/>
        <v>1</v>
      </c>
      <c r="H127" s="52">
        <f t="shared" si="55"/>
        <v>1</v>
      </c>
      <c r="I127" s="52">
        <f t="shared" si="55"/>
        <v>1</v>
      </c>
      <c r="J127" s="53">
        <f t="shared" si="53"/>
        <v>7</v>
      </c>
      <c r="K127" s="49">
        <v>7</v>
      </c>
      <c r="L127" s="1" t="s">
        <v>32</v>
      </c>
    </row>
    <row r="128" spans="1:12" ht="13" customHeight="1" x14ac:dyDescent="0.2">
      <c r="A128" s="41"/>
      <c r="B128" s="9" t="s">
        <v>91</v>
      </c>
      <c r="C128" s="52">
        <f t="shared" si="55"/>
        <v>1</v>
      </c>
      <c r="D128" s="52">
        <f t="shared" si="55"/>
        <v>1</v>
      </c>
      <c r="E128" s="52">
        <f t="shared" si="55"/>
        <v>1</v>
      </c>
      <c r="F128" s="52">
        <f t="shared" si="55"/>
        <v>1</v>
      </c>
      <c r="G128" s="52">
        <f t="shared" si="55"/>
        <v>1</v>
      </c>
      <c r="H128" s="52">
        <f t="shared" si="55"/>
        <v>1</v>
      </c>
      <c r="I128" s="52">
        <f t="shared" si="55"/>
        <v>1</v>
      </c>
      <c r="J128" s="53">
        <f t="shared" si="53"/>
        <v>7</v>
      </c>
      <c r="K128" s="49">
        <v>7</v>
      </c>
      <c r="L128" s="1" t="s">
        <v>32</v>
      </c>
    </row>
    <row r="129" spans="1:12" ht="13" customHeight="1" x14ac:dyDescent="0.2">
      <c r="A129" s="41"/>
      <c r="B129" s="9" t="s">
        <v>92</v>
      </c>
      <c r="C129" s="52">
        <f t="shared" si="55"/>
        <v>1</v>
      </c>
      <c r="D129" s="52">
        <f t="shared" si="55"/>
        <v>1</v>
      </c>
      <c r="E129" s="52">
        <f t="shared" si="55"/>
        <v>1</v>
      </c>
      <c r="F129" s="52">
        <f t="shared" si="55"/>
        <v>1</v>
      </c>
      <c r="G129" s="52">
        <f t="shared" si="55"/>
        <v>1</v>
      </c>
      <c r="H129" s="52">
        <f t="shared" si="55"/>
        <v>1</v>
      </c>
      <c r="I129" s="52">
        <f t="shared" si="55"/>
        <v>1</v>
      </c>
      <c r="J129" s="53">
        <f t="shared" si="53"/>
        <v>7</v>
      </c>
      <c r="K129" s="49">
        <v>7</v>
      </c>
      <c r="L129" s="1" t="s">
        <v>96</v>
      </c>
    </row>
    <row r="130" spans="1:12" ht="13" customHeight="1" x14ac:dyDescent="0.2">
      <c r="A130" s="41"/>
      <c r="B130" s="10" t="s">
        <v>31</v>
      </c>
      <c r="C130" s="52">
        <f t="shared" si="55"/>
        <v>1</v>
      </c>
      <c r="D130" s="52">
        <f t="shared" si="55"/>
        <v>1</v>
      </c>
      <c r="E130" s="52">
        <f t="shared" si="55"/>
        <v>1</v>
      </c>
      <c r="F130" s="52">
        <f t="shared" si="55"/>
        <v>1</v>
      </c>
      <c r="G130" s="52">
        <f t="shared" si="55"/>
        <v>1</v>
      </c>
      <c r="H130" s="52">
        <f t="shared" si="55"/>
        <v>1</v>
      </c>
      <c r="I130" s="52">
        <f t="shared" si="55"/>
        <v>1</v>
      </c>
      <c r="J130" s="53">
        <f t="shared" si="53"/>
        <v>7</v>
      </c>
      <c r="K130" s="49">
        <v>7</v>
      </c>
      <c r="L130" s="1" t="s">
        <v>32</v>
      </c>
    </row>
    <row r="131" spans="1:12" ht="13" customHeight="1" x14ac:dyDescent="0.2">
      <c r="A131" s="41"/>
      <c r="B131" s="11" t="s">
        <v>93</v>
      </c>
      <c r="C131" s="52">
        <f t="shared" si="55"/>
        <v>1</v>
      </c>
      <c r="D131" s="52">
        <f t="shared" si="55"/>
        <v>1</v>
      </c>
      <c r="E131" s="52">
        <f t="shared" si="55"/>
        <v>1</v>
      </c>
      <c r="F131" s="52">
        <f t="shared" si="55"/>
        <v>1</v>
      </c>
      <c r="G131" s="52">
        <f t="shared" si="55"/>
        <v>1</v>
      </c>
      <c r="H131" s="52">
        <f t="shared" si="55"/>
        <v>1</v>
      </c>
      <c r="I131" s="52">
        <f t="shared" si="55"/>
        <v>1</v>
      </c>
      <c r="J131" s="53">
        <f t="shared" si="53"/>
        <v>7</v>
      </c>
      <c r="K131" s="49">
        <v>7</v>
      </c>
      <c r="L131" s="1" t="s">
        <v>32</v>
      </c>
    </row>
    <row r="132" spans="1:12" ht="13" customHeight="1" x14ac:dyDescent="0.2">
      <c r="B132" s="19" t="s">
        <v>137</v>
      </c>
      <c r="C132" s="52">
        <f t="shared" ref="C132:I134" si="56">COUNTIF(C$6:C$111,Actions)</f>
        <v>1</v>
      </c>
      <c r="D132" s="52">
        <f t="shared" si="56"/>
        <v>1</v>
      </c>
      <c r="E132" s="52">
        <f t="shared" si="56"/>
        <v>1</v>
      </c>
      <c r="F132" s="52">
        <f t="shared" si="56"/>
        <v>1</v>
      </c>
      <c r="G132" s="52">
        <f t="shared" si="56"/>
        <v>1</v>
      </c>
      <c r="H132" s="52">
        <f t="shared" si="56"/>
        <v>1</v>
      </c>
      <c r="I132" s="52">
        <f t="shared" si="56"/>
        <v>1</v>
      </c>
      <c r="J132" s="53">
        <f t="shared" si="53"/>
        <v>7</v>
      </c>
      <c r="K132" s="59">
        <v>7</v>
      </c>
      <c r="L132" s="2" t="s">
        <v>32</v>
      </c>
    </row>
    <row r="133" spans="1:12" ht="13" customHeight="1" x14ac:dyDescent="0.2">
      <c r="B133" s="18" t="s">
        <v>139</v>
      </c>
      <c r="C133" s="52">
        <f t="shared" si="56"/>
        <v>1</v>
      </c>
      <c r="D133" s="52">
        <f t="shared" si="56"/>
        <v>1</v>
      </c>
      <c r="E133" s="52">
        <f t="shared" si="56"/>
        <v>1</v>
      </c>
      <c r="F133" s="52">
        <f t="shared" si="56"/>
        <v>1</v>
      </c>
      <c r="G133" s="52">
        <f t="shared" si="56"/>
        <v>1</v>
      </c>
      <c r="H133" s="52">
        <f t="shared" si="56"/>
        <v>1</v>
      </c>
      <c r="I133" s="52">
        <f t="shared" si="56"/>
        <v>1</v>
      </c>
      <c r="J133" s="53">
        <f t="shared" si="53"/>
        <v>7</v>
      </c>
      <c r="K133" s="60">
        <v>7</v>
      </c>
      <c r="L133" s="2" t="s">
        <v>140</v>
      </c>
    </row>
    <row r="134" spans="1:12" ht="13" customHeight="1" x14ac:dyDescent="0.2">
      <c r="B134" s="61" t="s">
        <v>153</v>
      </c>
      <c r="C134" s="52">
        <f t="shared" si="56"/>
        <v>1</v>
      </c>
      <c r="D134" s="52">
        <f t="shared" si="56"/>
        <v>1</v>
      </c>
      <c r="E134" s="52">
        <f t="shared" si="56"/>
        <v>1</v>
      </c>
      <c r="F134" s="52">
        <f t="shared" si="56"/>
        <v>1</v>
      </c>
      <c r="G134" s="52">
        <f t="shared" si="56"/>
        <v>1</v>
      </c>
      <c r="H134" s="52">
        <f t="shared" si="56"/>
        <v>1</v>
      </c>
      <c r="I134" s="52">
        <f t="shared" si="56"/>
        <v>1</v>
      </c>
      <c r="J134" s="53">
        <f t="shared" si="53"/>
        <v>7</v>
      </c>
      <c r="K134" s="62">
        <v>7</v>
      </c>
      <c r="L134" s="2" t="s">
        <v>141</v>
      </c>
    </row>
    <row r="135" spans="1:12" ht="13" customHeight="1" x14ac:dyDescent="0.2">
      <c r="A135" s="41"/>
      <c r="B135" s="12" t="s">
        <v>151</v>
      </c>
      <c r="C135" s="52">
        <f t="shared" ref="C135:I142" si="57">COUNTIF(C$6:C$103,$B135)</f>
        <v>0</v>
      </c>
      <c r="D135" s="52">
        <f t="shared" si="57"/>
        <v>0</v>
      </c>
      <c r="E135" s="52">
        <f t="shared" si="57"/>
        <v>0</v>
      </c>
      <c r="F135" s="52">
        <f t="shared" si="57"/>
        <v>0</v>
      </c>
      <c r="G135" s="52">
        <f t="shared" si="57"/>
        <v>0</v>
      </c>
      <c r="H135" s="52">
        <f t="shared" si="57"/>
        <v>1</v>
      </c>
      <c r="I135" s="52">
        <f t="shared" si="57"/>
        <v>1</v>
      </c>
      <c r="J135" s="53">
        <f t="shared" si="53"/>
        <v>2</v>
      </c>
      <c r="K135" s="59">
        <v>2</v>
      </c>
      <c r="L135" s="2" t="s">
        <v>33</v>
      </c>
    </row>
    <row r="136" spans="1:12" ht="13" customHeight="1" x14ac:dyDescent="0.2">
      <c r="A136" s="41"/>
      <c r="B136" s="12" t="s">
        <v>94</v>
      </c>
      <c r="C136" s="52">
        <f t="shared" si="57"/>
        <v>0</v>
      </c>
      <c r="D136" s="52">
        <f t="shared" si="57"/>
        <v>0</v>
      </c>
      <c r="E136" s="52">
        <f t="shared" si="57"/>
        <v>0</v>
      </c>
      <c r="F136" s="52">
        <f t="shared" si="57"/>
        <v>0</v>
      </c>
      <c r="G136" s="52">
        <f t="shared" si="57"/>
        <v>0</v>
      </c>
      <c r="H136" s="52">
        <f t="shared" si="57"/>
        <v>0</v>
      </c>
      <c r="I136" s="52">
        <f t="shared" si="57"/>
        <v>0</v>
      </c>
      <c r="J136" s="53">
        <f t="shared" si="53"/>
        <v>0</v>
      </c>
      <c r="K136" s="60">
        <v>1</v>
      </c>
      <c r="L136" s="2" t="s">
        <v>33</v>
      </c>
    </row>
    <row r="137" spans="1:12" ht="13" customHeight="1" x14ac:dyDescent="0.2">
      <c r="A137" s="41"/>
      <c r="B137" s="63" t="s">
        <v>152</v>
      </c>
      <c r="C137" s="52">
        <f t="shared" si="57"/>
        <v>1</v>
      </c>
      <c r="D137" s="52">
        <f t="shared" si="57"/>
        <v>1</v>
      </c>
      <c r="E137" s="52">
        <f t="shared" si="57"/>
        <v>1</v>
      </c>
      <c r="F137" s="52">
        <f t="shared" si="57"/>
        <v>1</v>
      </c>
      <c r="G137" s="52">
        <f t="shared" si="57"/>
        <v>1</v>
      </c>
      <c r="H137" s="52">
        <f t="shared" si="57"/>
        <v>0</v>
      </c>
      <c r="I137" s="52">
        <f t="shared" si="57"/>
        <v>0</v>
      </c>
      <c r="J137" s="53">
        <f t="shared" si="53"/>
        <v>5</v>
      </c>
      <c r="K137" s="62">
        <v>5</v>
      </c>
      <c r="L137" s="2" t="s">
        <v>33</v>
      </c>
    </row>
    <row r="138" spans="1:12" ht="13" customHeight="1" x14ac:dyDescent="0.2">
      <c r="A138" s="41"/>
      <c r="B138" s="64" t="s">
        <v>40</v>
      </c>
      <c r="C138" s="52">
        <f t="shared" si="57"/>
        <v>2</v>
      </c>
      <c r="D138" s="52">
        <f t="shared" si="57"/>
        <v>2</v>
      </c>
      <c r="E138" s="52">
        <f t="shared" si="57"/>
        <v>2</v>
      </c>
      <c r="F138" s="52">
        <f t="shared" si="57"/>
        <v>2</v>
      </c>
      <c r="G138" s="52">
        <f t="shared" si="57"/>
        <v>1</v>
      </c>
      <c r="H138" s="52">
        <f t="shared" si="57"/>
        <v>0</v>
      </c>
      <c r="I138" s="52">
        <f t="shared" si="57"/>
        <v>0</v>
      </c>
      <c r="J138" s="53">
        <f t="shared" si="53"/>
        <v>9</v>
      </c>
      <c r="K138" s="65">
        <v>7</v>
      </c>
      <c r="L138" s="13"/>
    </row>
    <row r="139" spans="1:12" ht="13" customHeight="1" x14ac:dyDescent="0.2">
      <c r="A139" s="41"/>
      <c r="B139" s="64" t="s">
        <v>41</v>
      </c>
      <c r="C139" s="52">
        <f t="shared" si="57"/>
        <v>0</v>
      </c>
      <c r="D139" s="52">
        <f t="shared" si="57"/>
        <v>0</v>
      </c>
      <c r="E139" s="52">
        <f t="shared" si="57"/>
        <v>0</v>
      </c>
      <c r="F139" s="52">
        <f t="shared" si="57"/>
        <v>0</v>
      </c>
      <c r="G139" s="52">
        <f t="shared" si="57"/>
        <v>0</v>
      </c>
      <c r="H139" s="52">
        <f t="shared" si="57"/>
        <v>0</v>
      </c>
      <c r="I139" s="52">
        <f t="shared" si="57"/>
        <v>0</v>
      </c>
      <c r="J139" s="53">
        <f t="shared" si="53"/>
        <v>0</v>
      </c>
      <c r="K139" s="65">
        <v>0</v>
      </c>
      <c r="L139" s="13"/>
    </row>
    <row r="140" spans="1:12" ht="13" customHeight="1" x14ac:dyDescent="0.2">
      <c r="A140" s="41"/>
      <c r="B140" s="66" t="s">
        <v>95</v>
      </c>
      <c r="C140" s="52">
        <f t="shared" si="57"/>
        <v>2</v>
      </c>
      <c r="D140" s="52">
        <f t="shared" si="57"/>
        <v>2</v>
      </c>
      <c r="E140" s="52">
        <f t="shared" si="57"/>
        <v>1</v>
      </c>
      <c r="F140" s="52">
        <f t="shared" si="57"/>
        <v>2</v>
      </c>
      <c r="G140" s="52">
        <f t="shared" si="57"/>
        <v>2</v>
      </c>
      <c r="H140" s="52">
        <f t="shared" si="57"/>
        <v>15</v>
      </c>
      <c r="I140" s="52">
        <f t="shared" si="57"/>
        <v>18</v>
      </c>
      <c r="J140" s="53">
        <f t="shared" si="53"/>
        <v>42</v>
      </c>
      <c r="K140" s="65">
        <v>25</v>
      </c>
      <c r="L140" s="13"/>
    </row>
    <row r="141" spans="1:12" ht="13" customHeight="1" x14ac:dyDescent="0.2">
      <c r="A141" s="41"/>
      <c r="B141" s="67" t="s">
        <v>99</v>
      </c>
      <c r="C141" s="52">
        <f t="shared" si="57"/>
        <v>0</v>
      </c>
      <c r="D141" s="52">
        <f t="shared" si="57"/>
        <v>0</v>
      </c>
      <c r="E141" s="52">
        <f t="shared" si="57"/>
        <v>0</v>
      </c>
      <c r="F141" s="52">
        <f t="shared" si="57"/>
        <v>0</v>
      </c>
      <c r="G141" s="52">
        <f t="shared" si="57"/>
        <v>0</v>
      </c>
      <c r="H141" s="52">
        <f t="shared" si="57"/>
        <v>0</v>
      </c>
      <c r="I141" s="52">
        <f t="shared" si="57"/>
        <v>0</v>
      </c>
      <c r="J141" s="53">
        <f t="shared" si="53"/>
        <v>0</v>
      </c>
      <c r="K141" s="65">
        <v>0</v>
      </c>
      <c r="L141" s="13"/>
    </row>
    <row r="142" spans="1:12" ht="13" customHeight="1" x14ac:dyDescent="0.2">
      <c r="A142" s="41"/>
      <c r="B142" s="67" t="s">
        <v>100</v>
      </c>
      <c r="C142" s="52">
        <f t="shared" si="57"/>
        <v>0</v>
      </c>
      <c r="D142" s="52">
        <f t="shared" si="57"/>
        <v>0</v>
      </c>
      <c r="E142" s="52">
        <f t="shared" si="57"/>
        <v>0</v>
      </c>
      <c r="F142" s="52">
        <f t="shared" si="57"/>
        <v>0</v>
      </c>
      <c r="G142" s="52">
        <f t="shared" si="57"/>
        <v>0</v>
      </c>
      <c r="H142" s="52">
        <f t="shared" si="57"/>
        <v>0</v>
      </c>
      <c r="I142" s="52">
        <f t="shared" si="57"/>
        <v>0</v>
      </c>
      <c r="J142" s="53">
        <f t="shared" si="53"/>
        <v>0</v>
      </c>
      <c r="K142" s="65">
        <v>0</v>
      </c>
      <c r="L142" s="13" t="s">
        <v>101</v>
      </c>
    </row>
    <row r="143" spans="1:12" ht="13" customHeight="1" x14ac:dyDescent="0.2">
      <c r="A143" s="41"/>
      <c r="B143" s="68"/>
      <c r="C143" s="69">
        <f t="shared" ref="C143:I143" si="58">SUM(C106:C137)-SUM(C123:C126)-C106</f>
        <v>26</v>
      </c>
      <c r="D143" s="69">
        <f t="shared" si="58"/>
        <v>26</v>
      </c>
      <c r="E143" s="69">
        <f t="shared" si="58"/>
        <v>26</v>
      </c>
      <c r="F143" s="69">
        <f t="shared" si="58"/>
        <v>26</v>
      </c>
      <c r="G143" s="69">
        <f t="shared" si="58"/>
        <v>26</v>
      </c>
      <c r="H143" s="69">
        <f t="shared" si="58"/>
        <v>24</v>
      </c>
      <c r="I143" s="69">
        <f t="shared" si="58"/>
        <v>24</v>
      </c>
      <c r="J143" s="69">
        <f>SUM(J106:J137)</f>
        <v>219</v>
      </c>
    </row>
  </sheetData>
  <mergeCells count="100">
    <mergeCell ref="B1:B2"/>
    <mergeCell ref="C4:I4"/>
    <mergeCell ref="B6:B7"/>
    <mergeCell ref="J6:J7"/>
    <mergeCell ref="B8:B9"/>
    <mergeCell ref="J8:J9"/>
    <mergeCell ref="B10:B11"/>
    <mergeCell ref="J10:J11"/>
    <mergeCell ref="B12:B13"/>
    <mergeCell ref="J12:J13"/>
    <mergeCell ref="B14:B15"/>
    <mergeCell ref="J14:J15"/>
    <mergeCell ref="B16:B17"/>
    <mergeCell ref="J16:J17"/>
    <mergeCell ref="B18:B19"/>
    <mergeCell ref="J18:J19"/>
    <mergeCell ref="B20:B21"/>
    <mergeCell ref="J20:J21"/>
    <mergeCell ref="B22:B23"/>
    <mergeCell ref="J22:J23"/>
    <mergeCell ref="B24:B25"/>
    <mergeCell ref="J24:J25"/>
    <mergeCell ref="B26:B27"/>
    <mergeCell ref="J26:J27"/>
    <mergeCell ref="B28:B29"/>
    <mergeCell ref="J28:J29"/>
    <mergeCell ref="B30:B31"/>
    <mergeCell ref="J30:J31"/>
    <mergeCell ref="B32:B33"/>
    <mergeCell ref="J32:J33"/>
    <mergeCell ref="B34:B35"/>
    <mergeCell ref="J34:J35"/>
    <mergeCell ref="B36:B37"/>
    <mergeCell ref="J36:J37"/>
    <mergeCell ref="B38:B39"/>
    <mergeCell ref="J38:J39"/>
    <mergeCell ref="B40:B41"/>
    <mergeCell ref="J40:J41"/>
    <mergeCell ref="B42:B43"/>
    <mergeCell ref="J42:J43"/>
    <mergeCell ref="B44:B45"/>
    <mergeCell ref="J44:J45"/>
    <mergeCell ref="B46:B47"/>
    <mergeCell ref="J46:J47"/>
    <mergeCell ref="B48:B49"/>
    <mergeCell ref="J48:J49"/>
    <mergeCell ref="B50:B51"/>
    <mergeCell ref="J50:J51"/>
    <mergeCell ref="B52:B53"/>
    <mergeCell ref="J52:J53"/>
    <mergeCell ref="B54:B55"/>
    <mergeCell ref="J54:J55"/>
    <mergeCell ref="B56:B57"/>
    <mergeCell ref="J56:J57"/>
    <mergeCell ref="B58:B59"/>
    <mergeCell ref="J58:J59"/>
    <mergeCell ref="B60:B61"/>
    <mergeCell ref="J60:J61"/>
    <mergeCell ref="B62:B63"/>
    <mergeCell ref="J62:J63"/>
    <mergeCell ref="B76:B77"/>
    <mergeCell ref="J76:J77"/>
    <mergeCell ref="B78:B79"/>
    <mergeCell ref="J78:J79"/>
    <mergeCell ref="B72:B73"/>
    <mergeCell ref="J72:J73"/>
    <mergeCell ref="B74:B75"/>
    <mergeCell ref="J74:J75"/>
    <mergeCell ref="B68:B69"/>
    <mergeCell ref="J68:J69"/>
    <mergeCell ref="B70:B71"/>
    <mergeCell ref="J70:J71"/>
    <mergeCell ref="B64:B65"/>
    <mergeCell ref="J64:J65"/>
    <mergeCell ref="B66:B67"/>
    <mergeCell ref="J66:J67"/>
    <mergeCell ref="B90:B91"/>
    <mergeCell ref="J90:J91"/>
    <mergeCell ref="B92:B93"/>
    <mergeCell ref="J92:J93"/>
    <mergeCell ref="B94:B95"/>
    <mergeCell ref="J94:J95"/>
    <mergeCell ref="B102:B103"/>
    <mergeCell ref="J102:J103"/>
    <mergeCell ref="B96:B97"/>
    <mergeCell ref="J96:J97"/>
    <mergeCell ref="B98:B99"/>
    <mergeCell ref="J98:J99"/>
    <mergeCell ref="B100:B101"/>
    <mergeCell ref="J100:J101"/>
    <mergeCell ref="B86:B87"/>
    <mergeCell ref="J86:J87"/>
    <mergeCell ref="B88:B89"/>
    <mergeCell ref="J88:J89"/>
    <mergeCell ref="B80:B81"/>
    <mergeCell ref="J80:J81"/>
    <mergeCell ref="B82:B83"/>
    <mergeCell ref="J82:J83"/>
    <mergeCell ref="B84:B85"/>
    <mergeCell ref="J84:J85"/>
  </mergeCells>
  <conditionalFormatting sqref="C143:I143">
    <cfRule type="cellIs" dxfId="1310" priority="970" operator="lessThan">
      <formula>22</formula>
    </cfRule>
  </conditionalFormatting>
  <conditionalFormatting sqref="J113:J114 J116:J119 J121:J131 J106:J111">
    <cfRule type="cellIs" dxfId="1309" priority="969" operator="notEqual">
      <formula>$K106</formula>
    </cfRule>
  </conditionalFormatting>
  <conditionalFormatting sqref="J135">
    <cfRule type="expression" dxfId="1308" priority="968">
      <formula>$J$135+$J$136&lt;$K$135</formula>
    </cfRule>
  </conditionalFormatting>
  <conditionalFormatting sqref="J136">
    <cfRule type="expression" dxfId="1307" priority="967">
      <formula>$J$135+$J$136&lt;$K$135</formula>
    </cfRule>
  </conditionalFormatting>
  <conditionalFormatting sqref="J138:J142">
    <cfRule type="cellIs" dxfId="1306" priority="966" operator="notEqual">
      <formula>$K138</formula>
    </cfRule>
  </conditionalFormatting>
  <conditionalFormatting sqref="C89:I89">
    <cfRule type="expression" dxfId="1305" priority="965">
      <formula>C89=$B$112</formula>
    </cfRule>
  </conditionalFormatting>
  <conditionalFormatting sqref="J112">
    <cfRule type="cellIs" dxfId="1304" priority="964" operator="notEqual">
      <formula>$K112</formula>
    </cfRule>
  </conditionalFormatting>
  <conditionalFormatting sqref="C75:I75">
    <cfRule type="expression" dxfId="1303" priority="962">
      <formula>C75=$B$112</formula>
    </cfRule>
  </conditionalFormatting>
  <conditionalFormatting sqref="C75:I75">
    <cfRule type="expression" dxfId="1302" priority="963">
      <formula>C75=$B$107</formula>
    </cfRule>
  </conditionalFormatting>
  <conditionalFormatting sqref="J115">
    <cfRule type="cellIs" dxfId="1301" priority="961" operator="notEqual">
      <formula>$K115</formula>
    </cfRule>
  </conditionalFormatting>
  <conditionalFormatting sqref="J120">
    <cfRule type="cellIs" dxfId="1300" priority="960" operator="notEqual">
      <formula>$K120</formula>
    </cfRule>
  </conditionalFormatting>
  <conditionalFormatting sqref="H50">
    <cfRule type="expression" dxfId="1299" priority="958">
      <formula>H50=$B$112</formula>
    </cfRule>
  </conditionalFormatting>
  <conditionalFormatting sqref="H50">
    <cfRule type="expression" dxfId="1298" priority="959">
      <formula>H50=$B$107</formula>
    </cfRule>
  </conditionalFormatting>
  <conditionalFormatting sqref="C36">
    <cfRule type="expression" dxfId="1297" priority="956">
      <formula>C36=$B$112</formula>
    </cfRule>
  </conditionalFormatting>
  <conditionalFormatting sqref="C36">
    <cfRule type="expression" dxfId="1296" priority="957">
      <formula>C36=$B$107</formula>
    </cfRule>
  </conditionalFormatting>
  <conditionalFormatting sqref="C90:F90 C58:F58 C59:I63 C38 D82:I82 E38:I38 C50:I57 C64:D64 H64:I64 C86:D86 C87:I89 C84:I85 C102:I103 C94:I97 C66:I81 C6:I37 C39:I47">
    <cfRule type="expression" dxfId="1295" priority="972">
      <formula>C6=$B$126</formula>
    </cfRule>
    <cfRule type="expression" dxfId="1294" priority="973">
      <formula>C6=$B$124</formula>
    </cfRule>
    <cfRule type="expression" dxfId="1293" priority="974">
      <formula>C6=$B$120</formula>
    </cfRule>
    <cfRule type="expression" dxfId="1292" priority="975">
      <formula>C6=$B$115</formula>
    </cfRule>
    <cfRule type="expression" dxfId="1291" priority="976">
      <formula>C6=$B$112</formula>
    </cfRule>
    <cfRule type="expression" dxfId="1290" priority="977">
      <formula>C6=$B$109</formula>
    </cfRule>
    <cfRule type="expression" dxfId="1289" priority="978">
      <formula>C6=$B$112</formula>
    </cfRule>
    <cfRule type="expression" dxfId="1288" priority="979">
      <formula>C6=$B$142</formula>
    </cfRule>
    <cfRule type="expression" dxfId="1287" priority="980">
      <formula>C6=$B$114</formula>
    </cfRule>
    <cfRule type="expression" dxfId="1286" priority="981">
      <formula>C6=$B$142</formula>
    </cfRule>
    <cfRule type="expression" dxfId="1285" priority="982">
      <formula>C6=$B$141</formula>
    </cfRule>
    <cfRule type="expression" dxfId="1284" priority="983">
      <formula>C6=$B$140</formula>
    </cfRule>
    <cfRule type="expression" dxfId="1283" priority="984">
      <formula>C6=$B$139</formula>
    </cfRule>
    <cfRule type="expression" dxfId="1282" priority="985">
      <formula>C6=$B$138</formula>
    </cfRule>
    <cfRule type="expression" dxfId="1281" priority="986">
      <formula>C6=$B$137</formula>
    </cfRule>
    <cfRule type="expression" dxfId="1280" priority="987">
      <formula>C6=$B$136</formula>
    </cfRule>
    <cfRule type="expression" dxfId="1279" priority="988">
      <formula>C6=$B$135</formula>
    </cfRule>
    <cfRule type="expression" dxfId="1278" priority="989">
      <formula>C6=$B$131</formula>
    </cfRule>
    <cfRule type="expression" dxfId="1277" priority="990">
      <formula>C6=$B$130</formula>
    </cfRule>
    <cfRule type="expression" dxfId="1276" priority="991">
      <formula>C6=$B$129</formula>
    </cfRule>
    <cfRule type="expression" dxfId="1275" priority="992">
      <formula>C6=$B$128</formula>
    </cfRule>
    <cfRule type="expression" dxfId="1274" priority="993">
      <formula>C6=$B$127</formula>
    </cfRule>
    <cfRule type="expression" dxfId="1273" priority="994" stopIfTrue="1">
      <formula>C6=$B$126</formula>
    </cfRule>
    <cfRule type="expression" dxfId="1272" priority="995">
      <formula>C6=$B$125</formula>
    </cfRule>
    <cfRule type="expression" dxfId="1271" priority="996" stopIfTrue="1">
      <formula>C6=$B$124</formula>
    </cfRule>
    <cfRule type="expression" dxfId="1270" priority="997">
      <formula>C6=$B$123</formula>
    </cfRule>
    <cfRule type="expression" dxfId="1269" priority="998">
      <formula>C6=$B$122</formula>
    </cfRule>
    <cfRule type="expression" dxfId="1268" priority="999">
      <formula>C6=$B$121</formula>
    </cfRule>
    <cfRule type="expression" dxfId="1267" priority="1000" stopIfTrue="1">
      <formula>C6=$B$119</formula>
    </cfRule>
    <cfRule type="expression" dxfId="1266" priority="1001" stopIfTrue="1">
      <formula>C6=$B$118</formula>
    </cfRule>
    <cfRule type="expression" dxfId="1265" priority="1002" stopIfTrue="1">
      <formula>C6=$B$117</formula>
    </cfRule>
    <cfRule type="expression" dxfId="1264" priority="1003">
      <formula>C6=$B$116</formula>
    </cfRule>
    <cfRule type="expression" dxfId="1263" priority="1004">
      <formula>C6=$B$113</formula>
    </cfRule>
    <cfRule type="expression" dxfId="1262" priority="1005" stopIfTrue="1">
      <formula>C6=$B$111</formula>
    </cfRule>
    <cfRule type="expression" dxfId="1261" priority="1006">
      <formula>C6=$B$110</formula>
    </cfRule>
    <cfRule type="expression" dxfId="1260" priority="1007">
      <formula>C6=$B$109</formula>
    </cfRule>
    <cfRule type="expression" dxfId="1259" priority="1008">
      <formula>C6=$B$108</formula>
    </cfRule>
    <cfRule type="expression" dxfId="1258" priority="1009">
      <formula>C6=$B$106</formula>
    </cfRule>
    <cfRule type="expression" dxfId="1257" priority="1010" stopIfTrue="1">
      <formula>C6=$B$107</formula>
    </cfRule>
    <cfRule type="expression" dxfId="1256" priority="1011" stopIfTrue="1">
      <formula>C$5=TODAY()</formula>
    </cfRule>
  </conditionalFormatting>
  <conditionalFormatting sqref="J137">
    <cfRule type="cellIs" dxfId="1255" priority="955" operator="notEqual">
      <formula>$K137</formula>
    </cfRule>
  </conditionalFormatting>
  <conditionalFormatting sqref="C98:I101 G90:I90 H22:I22 C48:I49 C83:I83 C92:I93 H30:I30 H42:I42 C38:D38 G58:I58 C64:I65 C82 E86:H86 C91:G91 I91 G66:H66">
    <cfRule type="expression" dxfId="1254" priority="914">
      <formula>C22=$B$141</formula>
    </cfRule>
    <cfRule type="expression" dxfId="1253" priority="915">
      <formula>C22=$B$126</formula>
    </cfRule>
    <cfRule type="expression" dxfId="1252" priority="916">
      <formula>C22=$B$124</formula>
    </cfRule>
    <cfRule type="expression" dxfId="1251" priority="917">
      <formula>C22=$B$120</formula>
    </cfRule>
    <cfRule type="expression" dxfId="1250" priority="918">
      <formula>C22=$B$115</formula>
    </cfRule>
    <cfRule type="expression" dxfId="1249" priority="919">
      <formula>C22=$B$112</formula>
    </cfRule>
    <cfRule type="expression" dxfId="1248" priority="920">
      <formula>C22=$B$109</formula>
    </cfRule>
    <cfRule type="expression" dxfId="1247" priority="921">
      <formula>C22=$B$112</formula>
    </cfRule>
    <cfRule type="expression" dxfId="1246" priority="922">
      <formula>C22=$B$142</formula>
    </cfRule>
    <cfRule type="expression" dxfId="1245" priority="923">
      <formula>C22=$B$114</formula>
    </cfRule>
    <cfRule type="expression" dxfId="1244" priority="924">
      <formula>C22=$B$142</formula>
    </cfRule>
    <cfRule type="expression" dxfId="1243" priority="925">
      <formula>C22=$B$141</formula>
    </cfRule>
    <cfRule type="expression" dxfId="1242" priority="926">
      <formula>C22=$B$140</formula>
    </cfRule>
    <cfRule type="expression" dxfId="1241" priority="927">
      <formula>C22=$B$139</formula>
    </cfRule>
    <cfRule type="expression" dxfId="1240" priority="928">
      <formula>C22=$B$138</formula>
    </cfRule>
    <cfRule type="expression" dxfId="1239" priority="929">
      <formula>C22=$B$137</formula>
    </cfRule>
    <cfRule type="expression" dxfId="1238" priority="930">
      <formula>C22=$B$136</formula>
    </cfRule>
    <cfRule type="expression" dxfId="1237" priority="931">
      <formula>C22=$B$135</formula>
    </cfRule>
    <cfRule type="expression" dxfId="1236" priority="932">
      <formula>C22=$B$131</formula>
    </cfRule>
    <cfRule type="expression" dxfId="1235" priority="933">
      <formula>C22=$B$130</formula>
    </cfRule>
    <cfRule type="expression" dxfId="1234" priority="934">
      <formula>C22=$B$129</formula>
    </cfRule>
    <cfRule type="expression" dxfId="1233" priority="935">
      <formula>C22=$B$128</formula>
    </cfRule>
    <cfRule type="expression" dxfId="1232" priority="936">
      <formula>C22=$B$127</formula>
    </cfRule>
    <cfRule type="expression" dxfId="1231" priority="937" stopIfTrue="1">
      <formula>C22=$B$126</formula>
    </cfRule>
    <cfRule type="expression" dxfId="1230" priority="938">
      <formula>C22=$B$125</formula>
    </cfRule>
    <cfRule type="expression" dxfId="1229" priority="939" stopIfTrue="1">
      <formula>C22=$B$124</formula>
    </cfRule>
    <cfRule type="expression" dxfId="1228" priority="940">
      <formula>C22=$B$123</formula>
    </cfRule>
    <cfRule type="expression" dxfId="1227" priority="941">
      <formula>C22=$B$122</formula>
    </cfRule>
    <cfRule type="expression" dxfId="1226" priority="942">
      <formula>C22=$B$121</formula>
    </cfRule>
    <cfRule type="expression" dxfId="1225" priority="943" stopIfTrue="1">
      <formula>C22=$B$119</formula>
    </cfRule>
    <cfRule type="expression" dxfId="1224" priority="944" stopIfTrue="1">
      <formula>C22=$B$118</formula>
    </cfRule>
    <cfRule type="expression" dxfId="1223" priority="945" stopIfTrue="1">
      <formula>C22=$B$117</formula>
    </cfRule>
    <cfRule type="expression" dxfId="1222" priority="946">
      <formula>C22=$B$116</formula>
    </cfRule>
    <cfRule type="expression" dxfId="1221" priority="947">
      <formula>C22=$B$113</formula>
    </cfRule>
    <cfRule type="expression" dxfId="1220" priority="948" stopIfTrue="1">
      <formula>C22=$B$111</formula>
    </cfRule>
    <cfRule type="expression" dxfId="1219" priority="949">
      <formula>C22=$B$110</formula>
    </cfRule>
    <cfRule type="expression" dxfId="1218" priority="950">
      <formula>C22=$B$109</formula>
    </cfRule>
    <cfRule type="expression" dxfId="1217" priority="951">
      <formula>C22=$B$108</formula>
    </cfRule>
    <cfRule type="expression" dxfId="1216" priority="952">
      <formula>C22=$B$106</formula>
    </cfRule>
    <cfRule type="expression" dxfId="1215" priority="953" stopIfTrue="1">
      <formula>C22=$B$107</formula>
    </cfRule>
    <cfRule type="expression" dxfId="1214" priority="954" stopIfTrue="1">
      <formula>C$5=TODAY()</formula>
    </cfRule>
  </conditionalFormatting>
  <conditionalFormatting sqref="H48">
    <cfRule type="expression" dxfId="1213" priority="912">
      <formula>H48=$B$112</formula>
    </cfRule>
  </conditionalFormatting>
  <conditionalFormatting sqref="H48">
    <cfRule type="expression" dxfId="1212" priority="913">
      <formula>H48=$B$107</formula>
    </cfRule>
  </conditionalFormatting>
  <conditionalFormatting sqref="H92">
    <cfRule type="expression" dxfId="1211" priority="908">
      <formula>H92=$B$112</formula>
    </cfRule>
  </conditionalFormatting>
  <conditionalFormatting sqref="H92">
    <cfRule type="expression" dxfId="1210" priority="909">
      <formula>H92=$B$107</formula>
    </cfRule>
  </conditionalFormatting>
  <conditionalFormatting sqref="C38 C59:I63 C50:I57 C40 I38 C86:D86 C87:I89 C84:I85 C102:I103 C94:I97 C66:I81 C6:I37">
    <cfRule type="expression" dxfId="1209" priority="971">
      <formula>C6=$B$141</formula>
    </cfRule>
  </conditionalFormatting>
  <conditionalFormatting sqref="C82 G90:I90 I91 C86:D86 C87:I89 C83:I85 C92:I101 C59:I81 C6:I57">
    <cfRule type="expression" dxfId="1208" priority="905">
      <formula>C6=$B$133</formula>
    </cfRule>
    <cfRule type="expression" dxfId="1207" priority="906">
      <formula>C6=$B$134</formula>
    </cfRule>
    <cfRule type="expression" dxfId="1206" priority="907">
      <formula>C6=$B$132</formula>
    </cfRule>
  </conditionalFormatting>
  <conditionalFormatting sqref="H90">
    <cfRule type="expression" dxfId="1205" priority="903">
      <formula>H90=$B$112</formula>
    </cfRule>
  </conditionalFormatting>
  <conditionalFormatting sqref="H90">
    <cfRule type="expression" dxfId="1204" priority="904">
      <formula>H90=$B$107</formula>
    </cfRule>
  </conditionalFormatting>
  <conditionalFormatting sqref="C91:G91">
    <cfRule type="expression" dxfId="1203" priority="900">
      <formula>C91=$B$133</formula>
    </cfRule>
    <cfRule type="expression" dxfId="1202" priority="901">
      <formula>C91=$B$134</formula>
    </cfRule>
    <cfRule type="expression" dxfId="1201" priority="902">
      <formula>C91=$B$132</formula>
    </cfRule>
  </conditionalFormatting>
  <conditionalFormatting sqref="C90:F90">
    <cfRule type="expression" dxfId="1200" priority="899">
      <formula>C90=$B$141</formula>
    </cfRule>
  </conditionalFormatting>
  <conditionalFormatting sqref="C90:F90">
    <cfRule type="expression" dxfId="1199" priority="896">
      <formula>C90=$B$133</formula>
    </cfRule>
    <cfRule type="expression" dxfId="1198" priority="897">
      <formula>C90=$B$134</formula>
    </cfRule>
    <cfRule type="expression" dxfId="1197" priority="898">
      <formula>C90=$B$132</formula>
    </cfRule>
  </conditionalFormatting>
  <conditionalFormatting sqref="J134">
    <cfRule type="cellIs" dxfId="1196" priority="895" operator="notEqual">
      <formula>$K134</formula>
    </cfRule>
  </conditionalFormatting>
  <conditionalFormatting sqref="G58:I58">
    <cfRule type="expression" dxfId="1195" priority="892">
      <formula>G58=$B$133</formula>
    </cfRule>
    <cfRule type="expression" dxfId="1194" priority="893">
      <formula>G58=$B$134</formula>
    </cfRule>
    <cfRule type="expression" dxfId="1193" priority="894">
      <formula>G58=$B$132</formula>
    </cfRule>
  </conditionalFormatting>
  <conditionalFormatting sqref="H58">
    <cfRule type="expression" dxfId="1192" priority="890">
      <formula>H58=$B$112</formula>
    </cfRule>
  </conditionalFormatting>
  <conditionalFormatting sqref="H58">
    <cfRule type="expression" dxfId="1191" priority="891">
      <formula>H58=$B$107</formula>
    </cfRule>
  </conditionalFormatting>
  <conditionalFormatting sqref="C58:F58">
    <cfRule type="expression" dxfId="1190" priority="889">
      <formula>C58=$B$141</formula>
    </cfRule>
  </conditionalFormatting>
  <conditionalFormatting sqref="C58:F58">
    <cfRule type="expression" dxfId="1189" priority="886">
      <formula>C58=$B$133</formula>
    </cfRule>
    <cfRule type="expression" dxfId="1188" priority="887">
      <formula>C58=$B$134</formula>
    </cfRule>
    <cfRule type="expression" dxfId="1187" priority="888">
      <formula>C58=$B$132</formula>
    </cfRule>
  </conditionalFormatting>
  <conditionalFormatting sqref="J132">
    <cfRule type="cellIs" dxfId="1186" priority="885" operator="notEqual">
      <formula>$K132</formula>
    </cfRule>
  </conditionalFormatting>
  <conditionalFormatting sqref="A6:A102">
    <cfRule type="cellIs" dxfId="1185" priority="883" operator="lessThan">
      <formula>5</formula>
    </cfRule>
    <cfRule type="cellIs" dxfId="1184" priority="884" operator="greaterThanOrEqual">
      <formula>5</formula>
    </cfRule>
  </conditionalFormatting>
  <conditionalFormatting sqref="J133">
    <cfRule type="cellIs" dxfId="1183" priority="882" operator="notEqual">
      <formula>$K133</formula>
    </cfRule>
  </conditionalFormatting>
  <conditionalFormatting sqref="H42:I42">
    <cfRule type="expression" dxfId="1182" priority="841">
      <formula>H42=$B$141</formula>
    </cfRule>
  </conditionalFormatting>
  <conditionalFormatting sqref="I46">
    <cfRule type="expression" dxfId="1181" priority="840">
      <formula>I46=$B$141</formula>
    </cfRule>
  </conditionalFormatting>
  <conditionalFormatting sqref="C46">
    <cfRule type="expression" dxfId="1180" priority="795">
      <formula>C46=$B$141</formula>
    </cfRule>
  </conditionalFormatting>
  <conditionalFormatting sqref="C46">
    <cfRule type="expression" dxfId="1179" priority="792">
      <formula>C46=$B$133</formula>
    </cfRule>
    <cfRule type="expression" dxfId="1178" priority="793">
      <formula>C46=$B$134</formula>
    </cfRule>
    <cfRule type="expression" dxfId="1177" priority="794">
      <formula>C46=$B$132</formula>
    </cfRule>
  </conditionalFormatting>
  <conditionalFormatting sqref="C72">
    <cfRule type="expression" dxfId="1176" priority="791">
      <formula>C72=$B$141</formula>
    </cfRule>
  </conditionalFormatting>
  <conditionalFormatting sqref="C72">
    <cfRule type="expression" dxfId="1175" priority="788">
      <formula>C72=$B$133</formula>
    </cfRule>
    <cfRule type="expression" dxfId="1174" priority="789">
      <formula>C72=$B$134</formula>
    </cfRule>
    <cfRule type="expression" dxfId="1173" priority="790">
      <formula>C72=$B$132</formula>
    </cfRule>
  </conditionalFormatting>
  <conditionalFormatting sqref="D74">
    <cfRule type="expression" dxfId="1172" priority="747">
      <formula>D74=$B$141</formula>
    </cfRule>
  </conditionalFormatting>
  <conditionalFormatting sqref="H64">
    <cfRule type="expression" dxfId="1171" priority="660">
      <formula>H64=$B$112</formula>
    </cfRule>
  </conditionalFormatting>
  <conditionalFormatting sqref="H64">
    <cfRule type="expression" dxfId="1170" priority="661">
      <formula>H64=$B$107</formula>
    </cfRule>
  </conditionalFormatting>
  <conditionalFormatting sqref="E86:H86">
    <cfRule type="expression" dxfId="1169" priority="575">
      <formula>E86=$B$133</formula>
    </cfRule>
    <cfRule type="expression" dxfId="1168" priority="576">
      <formula>E86=$B$134</formula>
    </cfRule>
    <cfRule type="expression" dxfId="1167" priority="577">
      <formula>E86=$B$132</formula>
    </cfRule>
  </conditionalFormatting>
  <conditionalFormatting sqref="D82:I82">
    <cfRule type="expression" dxfId="1166" priority="534">
      <formula>D82=$B$141</formula>
    </cfRule>
  </conditionalFormatting>
  <conditionalFormatting sqref="D82:I82">
    <cfRule type="expression" dxfId="1165" priority="531">
      <formula>D82=$B$133</formula>
    </cfRule>
    <cfRule type="expression" dxfId="1164" priority="532">
      <formula>D82=$B$134</formula>
    </cfRule>
    <cfRule type="expression" dxfId="1163" priority="533">
      <formula>D82=$B$132</formula>
    </cfRule>
  </conditionalFormatting>
  <conditionalFormatting sqref="H64">
    <cfRule type="expression" dxfId="1162" priority="403">
      <formula>H64=$B$141</formula>
    </cfRule>
  </conditionalFormatting>
  <conditionalFormatting sqref="C64:D64">
    <cfRule type="expression" dxfId="1161" priority="362">
      <formula>C64=$B$141</formula>
    </cfRule>
  </conditionalFormatting>
  <conditionalFormatting sqref="D34">
    <cfRule type="expression" dxfId="1160" priority="360">
      <formula>D34=$B$141</formula>
    </cfRule>
  </conditionalFormatting>
  <conditionalFormatting sqref="F82">
    <cfRule type="expression" dxfId="1159" priority="359">
      <formula>F82=$B$141</formula>
    </cfRule>
  </conditionalFormatting>
  <conditionalFormatting sqref="F82">
    <cfRule type="expression" dxfId="1158" priority="356">
      <formula>F82=$B$133</formula>
    </cfRule>
    <cfRule type="expression" dxfId="1157" priority="357">
      <formula>F82=$B$134</formula>
    </cfRule>
    <cfRule type="expression" dxfId="1156" priority="358">
      <formula>F82=$B$132</formula>
    </cfRule>
  </conditionalFormatting>
  <conditionalFormatting sqref="H90">
    <cfRule type="expression" dxfId="1155" priority="276">
      <formula>H90=$B$126</formula>
    </cfRule>
    <cfRule type="expression" dxfId="1154" priority="277">
      <formula>H90=$B$124</formula>
    </cfRule>
    <cfRule type="expression" dxfId="1153" priority="278">
      <formula>H90=$B$120</formula>
    </cfRule>
    <cfRule type="expression" dxfId="1152" priority="279">
      <formula>H90=$B$115</formula>
    </cfRule>
    <cfRule type="expression" dxfId="1151" priority="280">
      <formula>H90=$B$112</formula>
    </cfRule>
    <cfRule type="expression" dxfId="1150" priority="281">
      <formula>H90=$B$109</formula>
    </cfRule>
    <cfRule type="expression" dxfId="1149" priority="282">
      <formula>H90=$B$112</formula>
    </cfRule>
    <cfRule type="expression" dxfId="1148" priority="283">
      <formula>H90=$B$142</formula>
    </cfRule>
    <cfRule type="expression" dxfId="1147" priority="284">
      <formula>H90=$B$114</formula>
    </cfRule>
    <cfRule type="expression" dxfId="1146" priority="285">
      <formula>H90=$B$142</formula>
    </cfRule>
    <cfRule type="expression" dxfId="1145" priority="286">
      <formula>H90=$B$141</formula>
    </cfRule>
    <cfRule type="expression" dxfId="1144" priority="287">
      <formula>H90=$B$140</formula>
    </cfRule>
    <cfRule type="expression" dxfId="1143" priority="288">
      <formula>H90=$B$139</formula>
    </cfRule>
    <cfRule type="expression" dxfId="1142" priority="289">
      <formula>H90=$B$138</formula>
    </cfRule>
    <cfRule type="expression" dxfId="1141" priority="290">
      <formula>H90=$B$137</formula>
    </cfRule>
    <cfRule type="expression" dxfId="1140" priority="291">
      <formula>H90=$B$136</formula>
    </cfRule>
    <cfRule type="expression" dxfId="1139" priority="292">
      <formula>H90=$B$135</formula>
    </cfRule>
    <cfRule type="expression" dxfId="1138" priority="293">
      <formula>H90=$B$131</formula>
    </cfRule>
    <cfRule type="expression" dxfId="1137" priority="294">
      <formula>H90=$B$130</formula>
    </cfRule>
    <cfRule type="expression" dxfId="1136" priority="295">
      <formula>H90=$B$129</formula>
    </cfRule>
    <cfRule type="expression" dxfId="1135" priority="296">
      <formula>H90=$B$128</formula>
    </cfRule>
    <cfRule type="expression" dxfId="1134" priority="297">
      <formula>H90=$B$127</formula>
    </cfRule>
    <cfRule type="expression" dxfId="1133" priority="298" stopIfTrue="1">
      <formula>H90=$B$126</formula>
    </cfRule>
    <cfRule type="expression" dxfId="1132" priority="299">
      <formula>H90=$B$125</formula>
    </cfRule>
    <cfRule type="expression" dxfId="1131" priority="300" stopIfTrue="1">
      <formula>H90=$B$124</formula>
    </cfRule>
    <cfRule type="expression" dxfId="1130" priority="301">
      <formula>H90=$B$123</formula>
    </cfRule>
    <cfRule type="expression" dxfId="1129" priority="302">
      <formula>H90=$B$122</formula>
    </cfRule>
    <cfRule type="expression" dxfId="1128" priority="303">
      <formula>H90=$B$121</formula>
    </cfRule>
    <cfRule type="expression" dxfId="1127" priority="304" stopIfTrue="1">
      <formula>H90=$B$119</formula>
    </cfRule>
    <cfRule type="expression" dxfId="1126" priority="305" stopIfTrue="1">
      <formula>H90=$B$118</formula>
    </cfRule>
    <cfRule type="expression" dxfId="1125" priority="306" stopIfTrue="1">
      <formula>H90=$B$117</formula>
    </cfRule>
    <cfRule type="expression" dxfId="1124" priority="307">
      <formula>H90=$B$116</formula>
    </cfRule>
    <cfRule type="expression" dxfId="1123" priority="308">
      <formula>H90=$B$113</formula>
    </cfRule>
    <cfRule type="expression" dxfId="1122" priority="309" stopIfTrue="1">
      <formula>H90=$B$111</formula>
    </cfRule>
    <cfRule type="expression" dxfId="1121" priority="310">
      <formula>H90=$B$110</formula>
    </cfRule>
    <cfRule type="expression" dxfId="1120" priority="311">
      <formula>H90=$B$109</formula>
    </cfRule>
    <cfRule type="expression" dxfId="1119" priority="312">
      <formula>H90=$B$108</formula>
    </cfRule>
    <cfRule type="expression" dxfId="1118" priority="313">
      <formula>H90=$B$106</formula>
    </cfRule>
    <cfRule type="expression" dxfId="1117" priority="314" stopIfTrue="1">
      <formula>H90=$B$107</formula>
    </cfRule>
    <cfRule type="expression" dxfId="1116" priority="315" stopIfTrue="1">
      <formula>H$5=TODAY()</formula>
    </cfRule>
  </conditionalFormatting>
  <conditionalFormatting sqref="H90">
    <cfRule type="expression" dxfId="1115" priority="275">
      <formula>H90=$B$141</formula>
    </cfRule>
  </conditionalFormatting>
  <conditionalFormatting sqref="I86">
    <cfRule type="expression" dxfId="1114" priority="235">
      <formula>I86=$B$126</formula>
    </cfRule>
    <cfRule type="expression" dxfId="1113" priority="236">
      <formula>I86=$B$124</formula>
    </cfRule>
    <cfRule type="expression" dxfId="1112" priority="237">
      <formula>I86=$B$120</formula>
    </cfRule>
    <cfRule type="expression" dxfId="1111" priority="238">
      <formula>I86=$B$115</formula>
    </cfRule>
    <cfRule type="expression" dxfId="1110" priority="239">
      <formula>I86=$B$112</formula>
    </cfRule>
    <cfRule type="expression" dxfId="1109" priority="240">
      <formula>I86=$B$109</formula>
    </cfRule>
    <cfRule type="expression" dxfId="1108" priority="241">
      <formula>I86=$B$112</formula>
    </cfRule>
    <cfRule type="expression" dxfId="1107" priority="242">
      <formula>I86=$B$142</formula>
    </cfRule>
    <cfRule type="expression" dxfId="1106" priority="243">
      <formula>I86=$B$114</formula>
    </cfRule>
    <cfRule type="expression" dxfId="1105" priority="244">
      <formula>I86=$B$142</formula>
    </cfRule>
    <cfRule type="expression" dxfId="1104" priority="245">
      <formula>I86=$B$141</formula>
    </cfRule>
    <cfRule type="expression" dxfId="1103" priority="246">
      <formula>I86=$B$140</formula>
    </cfRule>
    <cfRule type="expression" dxfId="1102" priority="247">
      <formula>I86=$B$139</formula>
    </cfRule>
    <cfRule type="expression" dxfId="1101" priority="248">
      <formula>I86=$B$138</formula>
    </cfRule>
    <cfRule type="expression" dxfId="1100" priority="249">
      <formula>I86=$B$137</formula>
    </cfRule>
    <cfRule type="expression" dxfId="1099" priority="250">
      <formula>I86=$B$136</formula>
    </cfRule>
    <cfRule type="expression" dxfId="1098" priority="251">
      <formula>I86=$B$135</formula>
    </cfRule>
    <cfRule type="expression" dxfId="1097" priority="252">
      <formula>I86=$B$131</formula>
    </cfRule>
    <cfRule type="expression" dxfId="1096" priority="253">
      <formula>I86=$B$130</formula>
    </cfRule>
    <cfRule type="expression" dxfId="1095" priority="254">
      <formula>I86=$B$129</formula>
    </cfRule>
    <cfRule type="expression" dxfId="1094" priority="255">
      <formula>I86=$B$128</formula>
    </cfRule>
    <cfRule type="expression" dxfId="1093" priority="256">
      <formula>I86=$B$127</formula>
    </cfRule>
    <cfRule type="expression" dxfId="1092" priority="257" stopIfTrue="1">
      <formula>I86=$B$126</formula>
    </cfRule>
    <cfRule type="expression" dxfId="1091" priority="258">
      <formula>I86=$B$125</formula>
    </cfRule>
    <cfRule type="expression" dxfId="1090" priority="259" stopIfTrue="1">
      <formula>I86=$B$124</formula>
    </cfRule>
    <cfRule type="expression" dxfId="1089" priority="260">
      <formula>I86=$B$123</formula>
    </cfRule>
    <cfRule type="expression" dxfId="1088" priority="261">
      <formula>I86=$B$122</formula>
    </cfRule>
    <cfRule type="expression" dxfId="1087" priority="262">
      <formula>I86=$B$121</formula>
    </cfRule>
    <cfRule type="expression" dxfId="1086" priority="263" stopIfTrue="1">
      <formula>I86=$B$119</formula>
    </cfRule>
    <cfRule type="expression" dxfId="1085" priority="264" stopIfTrue="1">
      <formula>I86=$B$118</formula>
    </cfRule>
    <cfRule type="expression" dxfId="1084" priority="265" stopIfTrue="1">
      <formula>I86=$B$117</formula>
    </cfRule>
    <cfRule type="expression" dxfId="1083" priority="266">
      <formula>I86=$B$116</formula>
    </cfRule>
    <cfRule type="expression" dxfId="1082" priority="267">
      <formula>I86=$B$113</formula>
    </cfRule>
    <cfRule type="expression" dxfId="1081" priority="268" stopIfTrue="1">
      <formula>I86=$B$111</formula>
    </cfRule>
    <cfRule type="expression" dxfId="1080" priority="269">
      <formula>I86=$B$110</formula>
    </cfRule>
    <cfRule type="expression" dxfId="1079" priority="270">
      <formula>I86=$B$109</formula>
    </cfRule>
    <cfRule type="expression" dxfId="1078" priority="271">
      <formula>I86=$B$108</formula>
    </cfRule>
    <cfRule type="expression" dxfId="1077" priority="272">
      <formula>I86=$B$106</formula>
    </cfRule>
    <cfRule type="expression" dxfId="1076" priority="273" stopIfTrue="1">
      <formula>I86=$B$107</formula>
    </cfRule>
    <cfRule type="expression" dxfId="1075" priority="274" stopIfTrue="1">
      <formula>I$5=TODAY()</formula>
    </cfRule>
  </conditionalFormatting>
  <conditionalFormatting sqref="I86">
    <cfRule type="expression" dxfId="1074" priority="234">
      <formula>I86=$B$141</formula>
    </cfRule>
  </conditionalFormatting>
  <conditionalFormatting sqref="I86">
    <cfRule type="expression" dxfId="1073" priority="231">
      <formula>I86=$B$133</formula>
    </cfRule>
    <cfRule type="expression" dxfId="1072" priority="232">
      <formula>I86=$B$134</formula>
    </cfRule>
    <cfRule type="expression" dxfId="1071" priority="233">
      <formula>I86=$B$132</formula>
    </cfRule>
  </conditionalFormatting>
  <conditionalFormatting sqref="H91">
    <cfRule type="expression" dxfId="1070" priority="149">
      <formula>H91=$B$141</formula>
    </cfRule>
    <cfRule type="expression" dxfId="1069" priority="150">
      <formula>H91=$B$126</formula>
    </cfRule>
    <cfRule type="expression" dxfId="1068" priority="151">
      <formula>H91=$B$124</formula>
    </cfRule>
    <cfRule type="expression" dxfId="1067" priority="152">
      <formula>H91=$B$120</formula>
    </cfRule>
    <cfRule type="expression" dxfId="1066" priority="153">
      <formula>H91=$B$115</formula>
    </cfRule>
    <cfRule type="expression" dxfId="1065" priority="154">
      <formula>H91=$B$112</formula>
    </cfRule>
    <cfRule type="expression" dxfId="1064" priority="155">
      <formula>H91=$B$109</formula>
    </cfRule>
    <cfRule type="expression" dxfId="1063" priority="156">
      <formula>H91=$B$112</formula>
    </cfRule>
    <cfRule type="expression" dxfId="1062" priority="157">
      <formula>H91=$B$142</formula>
    </cfRule>
    <cfRule type="expression" dxfId="1061" priority="158">
      <formula>H91=$B$114</formula>
    </cfRule>
    <cfRule type="expression" dxfId="1060" priority="159">
      <formula>H91=$B$142</formula>
    </cfRule>
    <cfRule type="expression" dxfId="1059" priority="160">
      <formula>H91=$B$141</formula>
    </cfRule>
    <cfRule type="expression" dxfId="1058" priority="161">
      <formula>H91=$B$140</formula>
    </cfRule>
    <cfRule type="expression" dxfId="1057" priority="162">
      <formula>H91=$B$139</formula>
    </cfRule>
    <cfRule type="expression" dxfId="1056" priority="163">
      <formula>H91=$B$138</formula>
    </cfRule>
    <cfRule type="expression" dxfId="1055" priority="164">
      <formula>H91=$B$137</formula>
    </cfRule>
    <cfRule type="expression" dxfId="1054" priority="165">
      <formula>H91=$B$136</formula>
    </cfRule>
    <cfRule type="expression" dxfId="1053" priority="166">
      <formula>H91=$B$135</formula>
    </cfRule>
    <cfRule type="expression" dxfId="1052" priority="167">
      <formula>H91=$B$131</formula>
    </cfRule>
    <cfRule type="expression" dxfId="1051" priority="168">
      <formula>H91=$B$130</formula>
    </cfRule>
    <cfRule type="expression" dxfId="1050" priority="169">
      <formula>H91=$B$129</formula>
    </cfRule>
    <cfRule type="expression" dxfId="1049" priority="170">
      <formula>H91=$B$128</formula>
    </cfRule>
    <cfRule type="expression" dxfId="1048" priority="171">
      <formula>H91=$B$127</formula>
    </cfRule>
    <cfRule type="expression" dxfId="1047" priority="172" stopIfTrue="1">
      <formula>H91=$B$126</formula>
    </cfRule>
    <cfRule type="expression" dxfId="1046" priority="173">
      <formula>H91=$B$125</formula>
    </cfRule>
    <cfRule type="expression" dxfId="1045" priority="174" stopIfTrue="1">
      <formula>H91=$B$124</formula>
    </cfRule>
    <cfRule type="expression" dxfId="1044" priority="175">
      <formula>H91=$B$123</formula>
    </cfRule>
    <cfRule type="expression" dxfId="1043" priority="176">
      <formula>H91=$B$122</formula>
    </cfRule>
    <cfRule type="expression" dxfId="1042" priority="177">
      <formula>H91=$B$121</formula>
    </cfRule>
    <cfRule type="expression" dxfId="1041" priority="178" stopIfTrue="1">
      <formula>H91=$B$119</formula>
    </cfRule>
    <cfRule type="expression" dxfId="1040" priority="179" stopIfTrue="1">
      <formula>H91=$B$118</formula>
    </cfRule>
    <cfRule type="expression" dxfId="1039" priority="180" stopIfTrue="1">
      <formula>H91=$B$117</formula>
    </cfRule>
    <cfRule type="expression" dxfId="1038" priority="181">
      <formula>H91=$B$116</formula>
    </cfRule>
    <cfRule type="expression" dxfId="1037" priority="182">
      <formula>H91=$B$113</formula>
    </cfRule>
    <cfRule type="expression" dxfId="1036" priority="183" stopIfTrue="1">
      <formula>H91=$B$111</formula>
    </cfRule>
    <cfRule type="expression" dxfId="1035" priority="184">
      <formula>H91=$B$110</formula>
    </cfRule>
    <cfRule type="expression" dxfId="1034" priority="185">
      <formula>H91=$B$109</formula>
    </cfRule>
    <cfRule type="expression" dxfId="1033" priority="186">
      <formula>H91=$B$108</formula>
    </cfRule>
    <cfRule type="expression" dxfId="1032" priority="187">
      <formula>H91=$B$106</formula>
    </cfRule>
    <cfRule type="expression" dxfId="1031" priority="188" stopIfTrue="1">
      <formula>H91=$B$107</formula>
    </cfRule>
    <cfRule type="expression" dxfId="1030" priority="189" stopIfTrue="1">
      <formula>H$5=TODAY()</formula>
    </cfRule>
  </conditionalFormatting>
  <conditionalFormatting sqref="H91">
    <cfRule type="expression" dxfId="1029" priority="146">
      <formula>H91=$B$133</formula>
    </cfRule>
    <cfRule type="expression" dxfId="1028" priority="147">
      <formula>H91=$B$134</formula>
    </cfRule>
    <cfRule type="expression" dxfId="1027" priority="148">
      <formula>H91=$B$132</formula>
    </cfRule>
  </conditionalFormatting>
  <conditionalFormatting sqref="C12">
    <cfRule type="expression" dxfId="1026" priority="145">
      <formula>C12=$B$141</formula>
    </cfRule>
  </conditionalFormatting>
  <conditionalFormatting sqref="C12">
    <cfRule type="expression" dxfId="1025" priority="142">
      <formula>C12=$B$133</formula>
    </cfRule>
    <cfRule type="expression" dxfId="1024" priority="143">
      <formula>C12=$B$134</formula>
    </cfRule>
    <cfRule type="expression" dxfId="1023" priority="144">
      <formula>C12=$B$132</formula>
    </cfRule>
  </conditionalFormatting>
  <conditionalFormatting sqref="H40:I40">
    <cfRule type="expression" dxfId="1022" priority="141">
      <formula>H40=$B$141</formula>
    </cfRule>
  </conditionalFormatting>
  <conditionalFormatting sqref="I46">
    <cfRule type="expression" dxfId="1021" priority="140">
      <formula>I46=$B$141</formula>
    </cfRule>
  </conditionalFormatting>
  <conditionalFormatting sqref="H64:I64">
    <cfRule type="expression" dxfId="1020" priority="99">
      <formula>H64=$B$141</formula>
    </cfRule>
  </conditionalFormatting>
  <conditionalFormatting sqref="I92">
    <cfRule type="expression" dxfId="1019" priority="59">
      <formula>I92=$B$126</formula>
    </cfRule>
    <cfRule type="expression" dxfId="1018" priority="60">
      <formula>I92=$B$124</formula>
    </cfRule>
    <cfRule type="expression" dxfId="1017" priority="61">
      <formula>I92=$B$120</formula>
    </cfRule>
    <cfRule type="expression" dxfId="1016" priority="62">
      <formula>I92=$B$115</formula>
    </cfRule>
    <cfRule type="expression" dxfId="1015" priority="63">
      <formula>I92=$B$112</formula>
    </cfRule>
    <cfRule type="expression" dxfId="1014" priority="64">
      <formula>I92=$B$109</formula>
    </cfRule>
    <cfRule type="expression" dxfId="1013" priority="65">
      <formula>I92=$B$112</formula>
    </cfRule>
    <cfRule type="expression" dxfId="1012" priority="66">
      <formula>I92=$B$142</formula>
    </cfRule>
    <cfRule type="expression" dxfId="1011" priority="67">
      <formula>I92=$B$114</formula>
    </cfRule>
    <cfRule type="expression" dxfId="1010" priority="68">
      <formula>I92=$B$142</formula>
    </cfRule>
    <cfRule type="expression" dxfId="1009" priority="69">
      <formula>I92=$B$141</formula>
    </cfRule>
    <cfRule type="expression" dxfId="1008" priority="70">
      <formula>I92=$B$140</formula>
    </cfRule>
    <cfRule type="expression" dxfId="1007" priority="71">
      <formula>I92=$B$139</formula>
    </cfRule>
    <cfRule type="expression" dxfId="1006" priority="72">
      <formula>I92=$B$138</formula>
    </cfRule>
    <cfRule type="expression" dxfId="1005" priority="73">
      <formula>I92=$B$137</formula>
    </cfRule>
    <cfRule type="expression" dxfId="1004" priority="74">
      <formula>I92=$B$136</formula>
    </cfRule>
    <cfRule type="expression" dxfId="1003" priority="75">
      <formula>I92=$B$135</formula>
    </cfRule>
    <cfRule type="expression" dxfId="1002" priority="76">
      <formula>I92=$B$131</formula>
    </cfRule>
    <cfRule type="expression" dxfId="1001" priority="77">
      <formula>I92=$B$130</formula>
    </cfRule>
    <cfRule type="expression" dxfId="1000" priority="78">
      <formula>I92=$B$129</formula>
    </cfRule>
    <cfRule type="expression" dxfId="999" priority="79">
      <formula>I92=$B$128</formula>
    </cfRule>
    <cfRule type="expression" dxfId="998" priority="80">
      <formula>I92=$B$127</formula>
    </cfRule>
    <cfRule type="expression" dxfId="997" priority="81" stopIfTrue="1">
      <formula>I92=$B$126</formula>
    </cfRule>
    <cfRule type="expression" dxfId="996" priority="82">
      <formula>I92=$B$125</formula>
    </cfRule>
    <cfRule type="expression" dxfId="995" priority="83" stopIfTrue="1">
      <formula>I92=$B$124</formula>
    </cfRule>
    <cfRule type="expression" dxfId="994" priority="84">
      <formula>I92=$B$123</formula>
    </cfRule>
    <cfRule type="expression" dxfId="993" priority="85">
      <formula>I92=$B$122</formula>
    </cfRule>
    <cfRule type="expression" dxfId="992" priority="86">
      <formula>I92=$B$121</formula>
    </cfRule>
    <cfRule type="expression" dxfId="991" priority="87" stopIfTrue="1">
      <formula>I92=$B$119</formula>
    </cfRule>
    <cfRule type="expression" dxfId="990" priority="88" stopIfTrue="1">
      <formula>I92=$B$118</formula>
    </cfRule>
    <cfRule type="expression" dxfId="989" priority="89" stopIfTrue="1">
      <formula>I92=$B$117</formula>
    </cfRule>
    <cfRule type="expression" dxfId="988" priority="90">
      <formula>I92=$B$116</formula>
    </cfRule>
    <cfRule type="expression" dxfId="987" priority="91">
      <formula>I92=$B$113</formula>
    </cfRule>
    <cfRule type="expression" dxfId="986" priority="92" stopIfTrue="1">
      <formula>I92=$B$111</formula>
    </cfRule>
    <cfRule type="expression" dxfId="985" priority="93">
      <formula>I92=$B$110</formula>
    </cfRule>
    <cfRule type="expression" dxfId="984" priority="94">
      <formula>I92=$B$109</formula>
    </cfRule>
    <cfRule type="expression" dxfId="983" priority="95">
      <formula>I92=$B$108</formula>
    </cfRule>
    <cfRule type="expression" dxfId="982" priority="96">
      <formula>I92=$B$106</formula>
    </cfRule>
    <cfRule type="expression" dxfId="981" priority="97" stopIfTrue="1">
      <formula>I92=$B$107</formula>
    </cfRule>
    <cfRule type="expression" dxfId="980" priority="98" stopIfTrue="1">
      <formula>I$5=TODAY()</formula>
    </cfRule>
  </conditionalFormatting>
  <conditionalFormatting sqref="I92">
    <cfRule type="expression" dxfId="979" priority="58">
      <formula>I92=$B$141</formula>
    </cfRule>
  </conditionalFormatting>
  <conditionalFormatting sqref="H42:I42">
    <cfRule type="expression" dxfId="978" priority="57">
      <formula>H42=$B$141</formula>
    </cfRule>
  </conditionalFormatting>
  <conditionalFormatting sqref="D36:G36">
    <cfRule type="expression" dxfId="977" priority="55">
      <formula>D36=$B$112</formula>
    </cfRule>
  </conditionalFormatting>
  <conditionalFormatting sqref="D36:G36">
    <cfRule type="expression" dxfId="976" priority="56">
      <formula>D36=$B$107</formula>
    </cfRule>
  </conditionalFormatting>
  <conditionalFormatting sqref="C46:F46">
    <cfRule type="expression" dxfId="975" priority="52">
      <formula>C46=$B$112</formula>
    </cfRule>
  </conditionalFormatting>
  <conditionalFormatting sqref="C46:F46">
    <cfRule type="expression" dxfId="974" priority="53">
      <formula>C46=$B$107</formula>
    </cfRule>
  </conditionalFormatting>
  <conditionalFormatting sqref="C46:F46">
    <cfRule type="expression" dxfId="973" priority="54">
      <formula>C46=$B$141</formula>
    </cfRule>
  </conditionalFormatting>
  <conditionalFormatting sqref="H36:I36">
    <cfRule type="expression" dxfId="972" priority="11">
      <formula>H36=$B$141</formula>
    </cfRule>
    <cfRule type="expression" dxfId="971" priority="12">
      <formula>H36=$B$126</formula>
    </cfRule>
    <cfRule type="expression" dxfId="970" priority="13">
      <formula>H36=$B$124</formula>
    </cfRule>
    <cfRule type="expression" dxfId="969" priority="14">
      <formula>H36=$B$120</formula>
    </cfRule>
    <cfRule type="expression" dxfId="968" priority="15">
      <formula>H36=$B$115</formula>
    </cfRule>
    <cfRule type="expression" dxfId="967" priority="16">
      <formula>H36=$B$112</formula>
    </cfRule>
    <cfRule type="expression" dxfId="966" priority="17">
      <formula>H36=$B$109</formula>
    </cfRule>
    <cfRule type="expression" dxfId="965" priority="18">
      <formula>H36=$B$112</formula>
    </cfRule>
    <cfRule type="expression" dxfId="964" priority="19">
      <formula>H36=$B$142</formula>
    </cfRule>
    <cfRule type="expression" dxfId="963" priority="20">
      <formula>H36=$B$114</formula>
    </cfRule>
    <cfRule type="expression" dxfId="962" priority="21">
      <formula>H36=$B$142</formula>
    </cfRule>
    <cfRule type="expression" dxfId="961" priority="22">
      <formula>H36=$B$141</formula>
    </cfRule>
    <cfRule type="expression" dxfId="960" priority="23">
      <formula>H36=$B$140</formula>
    </cfRule>
    <cfRule type="expression" dxfId="959" priority="24">
      <formula>H36=$B$139</formula>
    </cfRule>
    <cfRule type="expression" dxfId="958" priority="25">
      <formula>H36=$B$138</formula>
    </cfRule>
    <cfRule type="expression" dxfId="957" priority="26">
      <formula>H36=$B$137</formula>
    </cfRule>
    <cfRule type="expression" dxfId="956" priority="27">
      <formula>H36=$B$136</formula>
    </cfRule>
    <cfRule type="expression" dxfId="955" priority="28">
      <formula>H36=$B$135</formula>
    </cfRule>
    <cfRule type="expression" dxfId="954" priority="29">
      <formula>H36=$B$131</formula>
    </cfRule>
    <cfRule type="expression" dxfId="953" priority="30">
      <formula>H36=$B$130</formula>
    </cfRule>
    <cfRule type="expression" dxfId="952" priority="31">
      <formula>H36=$B$129</formula>
    </cfRule>
    <cfRule type="expression" dxfId="951" priority="32">
      <formula>H36=$B$128</formula>
    </cfRule>
    <cfRule type="expression" dxfId="950" priority="33">
      <formula>H36=$B$127</formula>
    </cfRule>
    <cfRule type="expression" dxfId="949" priority="34" stopIfTrue="1">
      <formula>H36=$B$126</formula>
    </cfRule>
    <cfRule type="expression" dxfId="948" priority="35">
      <formula>H36=$B$125</formula>
    </cfRule>
    <cfRule type="expression" dxfId="947" priority="36" stopIfTrue="1">
      <formula>H36=$B$124</formula>
    </cfRule>
    <cfRule type="expression" dxfId="946" priority="37">
      <formula>H36=$B$123</formula>
    </cfRule>
    <cfRule type="expression" dxfId="945" priority="38">
      <formula>H36=$B$122</formula>
    </cfRule>
    <cfRule type="expression" dxfId="944" priority="39">
      <formula>H36=$B$121</formula>
    </cfRule>
    <cfRule type="expression" dxfId="943" priority="40" stopIfTrue="1">
      <formula>H36=$B$119</formula>
    </cfRule>
    <cfRule type="expression" dxfId="942" priority="41" stopIfTrue="1">
      <formula>H36=$B$118</formula>
    </cfRule>
    <cfRule type="expression" dxfId="941" priority="42" stopIfTrue="1">
      <formula>H36=$B$117</formula>
    </cfRule>
    <cfRule type="expression" dxfId="940" priority="43">
      <formula>H36=$B$116</formula>
    </cfRule>
    <cfRule type="expression" dxfId="939" priority="44">
      <formula>H36=$B$113</formula>
    </cfRule>
    <cfRule type="expression" dxfId="938" priority="45" stopIfTrue="1">
      <formula>H36=$B$111</formula>
    </cfRule>
    <cfRule type="expression" dxfId="937" priority="46">
      <formula>H36=$B$110</formula>
    </cfRule>
    <cfRule type="expression" dxfId="936" priority="47">
      <formula>H36=$B$109</formula>
    </cfRule>
    <cfRule type="expression" dxfId="935" priority="48">
      <formula>H36=$B$108</formula>
    </cfRule>
    <cfRule type="expression" dxfId="934" priority="49">
      <formula>H36=$B$106</formula>
    </cfRule>
    <cfRule type="expression" dxfId="933" priority="50" stopIfTrue="1">
      <formula>H36=$B$107</formula>
    </cfRule>
    <cfRule type="expression" dxfId="932" priority="51" stopIfTrue="1">
      <formula>H$5=TODAY()</formula>
    </cfRule>
  </conditionalFormatting>
  <conditionalFormatting sqref="H36:I36">
    <cfRule type="expression" dxfId="931" priority="10">
      <formula>H36=$B$141</formula>
    </cfRule>
  </conditionalFormatting>
  <conditionalFormatting sqref="H36:I36">
    <cfRule type="expression" dxfId="930" priority="9">
      <formula>H36=$B$141</formula>
    </cfRule>
  </conditionalFormatting>
  <conditionalFormatting sqref="C44">
    <cfRule type="expression" dxfId="929" priority="8">
      <formula>C44=$B$141</formula>
    </cfRule>
  </conditionalFormatting>
  <conditionalFormatting sqref="C44">
    <cfRule type="expression" dxfId="928" priority="5">
      <formula>C44=$B$133</formula>
    </cfRule>
    <cfRule type="expression" dxfId="927" priority="6">
      <formula>C44=$B$134</formula>
    </cfRule>
    <cfRule type="expression" dxfId="926" priority="7">
      <formula>C44=$B$132</formula>
    </cfRule>
  </conditionalFormatting>
  <conditionalFormatting sqref="C44:F44">
    <cfRule type="expression" dxfId="925" priority="2">
      <formula>C44=$B$112</formula>
    </cfRule>
  </conditionalFormatting>
  <conditionalFormatting sqref="C44:F44">
    <cfRule type="expression" dxfId="924" priority="3">
      <formula>C44=$B$107</formula>
    </cfRule>
  </conditionalFormatting>
  <conditionalFormatting sqref="C44:F44">
    <cfRule type="expression" dxfId="923" priority="4">
      <formula>C44=$B$141</formula>
    </cfRule>
  </conditionalFormatting>
  <conditionalFormatting sqref="F46:G46">
    <cfRule type="expression" dxfId="922" priority="1">
      <formula>F46=$B$141</formula>
    </cfRule>
  </conditionalFormatting>
  <dataValidations count="1">
    <dataValidation type="list" allowBlank="1" showInputMessage="1" showErrorMessage="1" sqref="C36:I36 C88:I88 C16:I16 C86:I86 C14:I14 C32:I32 C98:I98 C56:I56 C84:I84 C70:I70 C62:I62 C42:I42 C78:I78 C33:C34 C66:I66 C6:I6 C30:I30 C10:I10 D34:I34 C24:I24 C90:I90 C44:I44 C58:I58 C26:I26 C52:I52 C28:I28 C72:I72 C60:I60 C18:I18 C38:I38 C102:I102 C64:I64 C50:I50 C68:I68 C20:I20 C22:I22 C80:I80 C40:I40 C92:I92 C96:I96 C8:I8 C54:I54 C74:I74 C48:I48 C94:I94 C100:I100 C76:I76 C82:I82 C12:I12 C46:I46" xr:uid="{00000000-0002-0000-0900-000000000000}">
      <formula1>Actions</formula1>
    </dataValidation>
  </dataValidations>
  <pageMargins left="0.7" right="0.7" top="0.75" bottom="0.75" header="0.3" footer="0.3"/>
  <pageSetup paperSize="9" scale="44" orientation="portrait" r:id="rId1"/>
  <colBreaks count="1" manualBreakCount="1">
    <brk id="10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0"/>
  <dimension ref="A1:L143"/>
  <sheetViews>
    <sheetView tabSelected="1" zoomScale="140" zoomScaleNormal="140" zoomScalePageLayoutView="125" workbookViewId="0">
      <pane ySplit="5" topLeftCell="A6" activePane="bottomLeft" state="frozen"/>
      <selection pane="bottomLeft" activeCell="C78" sqref="C78"/>
    </sheetView>
  </sheetViews>
  <sheetFormatPr baseColWidth="10" defaultColWidth="10.83203125" defaultRowHeight="14" x14ac:dyDescent="0.2"/>
  <cols>
    <col min="1" max="1" width="2.33203125" style="39" customWidth="1"/>
    <col min="2" max="6" width="21.5" style="41" customWidth="1"/>
    <col min="7" max="7" width="23.33203125" style="41" bestFit="1" customWidth="1"/>
    <col min="8" max="8" width="21.5" style="41" customWidth="1"/>
    <col min="9" max="9" width="23.33203125" style="41" bestFit="1" customWidth="1"/>
    <col min="10" max="10" width="11.83203125" style="39" bestFit="1" customWidth="1"/>
    <col min="11" max="11" width="10.83203125" style="39"/>
    <col min="12" max="12" width="12.6640625" style="40" customWidth="1"/>
    <col min="13" max="16384" width="10.83203125" style="41"/>
  </cols>
  <sheetData>
    <row r="1" spans="1:12" s="24" customFormat="1" ht="18.75" customHeight="1" x14ac:dyDescent="0.2">
      <c r="A1" s="74"/>
      <c r="B1" s="147" t="s">
        <v>112</v>
      </c>
      <c r="C1" s="75">
        <f t="shared" ref="C1:I1" si="0">COUNTIF(C6:C103,$B$123)+COUNTIF(C6:C103,$B$124)+COUNTIF(C6:C103,$B$125)+COUNTIF(C6:C103,$B$126)</f>
        <v>8</v>
      </c>
      <c r="D1" s="75">
        <f t="shared" si="0"/>
        <v>8</v>
      </c>
      <c r="E1" s="75">
        <f t="shared" si="0"/>
        <v>8</v>
      </c>
      <c r="F1" s="75">
        <f t="shared" si="0"/>
        <v>8</v>
      </c>
      <c r="G1" s="75">
        <f t="shared" si="0"/>
        <v>8</v>
      </c>
      <c r="H1" s="75">
        <f t="shared" si="0"/>
        <v>1</v>
      </c>
      <c r="I1" s="75">
        <f t="shared" si="0"/>
        <v>0</v>
      </c>
      <c r="J1" s="74"/>
      <c r="K1" s="74"/>
      <c r="L1" s="76"/>
    </row>
    <row r="2" spans="1:12" s="24" customFormat="1" ht="15" hidden="1" customHeight="1" x14ac:dyDescent="0.15">
      <c r="A2" s="74"/>
      <c r="B2" s="148" t="s">
        <v>30</v>
      </c>
      <c r="C2" s="77"/>
      <c r="D2" s="77"/>
      <c r="E2" s="77"/>
      <c r="F2" s="77"/>
      <c r="G2" s="77"/>
      <c r="H2" s="77"/>
      <c r="I2" s="77"/>
      <c r="J2" s="74"/>
      <c r="K2" s="74"/>
      <c r="L2" s="76"/>
    </row>
    <row r="3" spans="1:12" s="24" customFormat="1" hidden="1" x14ac:dyDescent="0.15">
      <c r="A3" s="74"/>
      <c r="B3" s="78">
        <v>43178</v>
      </c>
      <c r="C3" s="79">
        <f ca="1">WEEKNUM(TODAY())-1</f>
        <v>9</v>
      </c>
      <c r="D3" s="79">
        <f ca="1">IF($C$3=B4,1,0)</f>
        <v>0</v>
      </c>
      <c r="E3" s="79"/>
      <c r="F3" s="79">
        <f ca="1">IF($C$3=E4,1,0)</f>
        <v>0</v>
      </c>
      <c r="G3" s="79"/>
      <c r="H3" s="79">
        <f ca="1">IF($C$3=G4,1,0)</f>
        <v>0</v>
      </c>
      <c r="I3" s="79"/>
      <c r="J3" s="74"/>
      <c r="K3" s="74"/>
      <c r="L3" s="76"/>
    </row>
    <row r="4" spans="1:12" s="31" customFormat="1" x14ac:dyDescent="0.2">
      <c r="A4" s="80"/>
      <c r="B4" s="81"/>
      <c r="C4" s="149" t="s">
        <v>170</v>
      </c>
      <c r="D4" s="149"/>
      <c r="E4" s="149"/>
      <c r="F4" s="149"/>
      <c r="G4" s="149"/>
      <c r="H4" s="149"/>
      <c r="I4" s="149"/>
      <c r="J4" s="80"/>
      <c r="K4" s="80"/>
      <c r="L4" s="82"/>
    </row>
    <row r="5" spans="1:12" s="24" customFormat="1" ht="15" thickBot="1" x14ac:dyDescent="0.25">
      <c r="A5" s="74"/>
      <c r="B5" s="83"/>
      <c r="C5" s="84">
        <f>B3</f>
        <v>43178</v>
      </c>
      <c r="D5" s="84">
        <f t="shared" ref="D5:I5" si="1">C5+1</f>
        <v>43179</v>
      </c>
      <c r="E5" s="84">
        <f t="shared" si="1"/>
        <v>43180</v>
      </c>
      <c r="F5" s="84">
        <f t="shared" si="1"/>
        <v>43181</v>
      </c>
      <c r="G5" s="84">
        <f t="shared" si="1"/>
        <v>43182</v>
      </c>
      <c r="H5" s="84">
        <f t="shared" si="1"/>
        <v>43183</v>
      </c>
      <c r="I5" s="84">
        <f t="shared" si="1"/>
        <v>43184</v>
      </c>
      <c r="J5" s="85" t="s">
        <v>42</v>
      </c>
      <c r="K5" s="74" t="s">
        <v>159</v>
      </c>
      <c r="L5" s="76"/>
    </row>
    <row r="6" spans="1:12" s="24" customFormat="1" ht="13" customHeight="1" thickTop="1" x14ac:dyDescent="0.2">
      <c r="A6" s="74">
        <f>7-(COUNTIF(C6:I6,"")+COUNTIF(C6:I6,$B$140))</f>
        <v>5</v>
      </c>
      <c r="B6" s="150" t="s">
        <v>0</v>
      </c>
      <c r="C6" s="71" t="s">
        <v>87</v>
      </c>
      <c r="D6" s="86" t="s">
        <v>87</v>
      </c>
      <c r="E6" s="86" t="s">
        <v>87</v>
      </c>
      <c r="F6" s="86" t="s">
        <v>87</v>
      </c>
      <c r="G6" s="86" t="s">
        <v>87</v>
      </c>
      <c r="H6" s="71" t="s">
        <v>95</v>
      </c>
      <c r="I6" s="71" t="s">
        <v>95</v>
      </c>
      <c r="J6" s="152"/>
      <c r="K6" s="139">
        <v>5</v>
      </c>
      <c r="L6" s="76"/>
    </row>
    <row r="7" spans="1:12" s="24" customFormat="1" ht="13" customHeight="1" thickBot="1" x14ac:dyDescent="0.25">
      <c r="A7" s="74"/>
      <c r="B7" s="151"/>
      <c r="C7" s="87" t="str">
        <f t="shared" ref="C7:I7" si="2">IF(ISBLANK(C6),"",VLOOKUP(C6,$B$106:$L$142,11,0))</f>
        <v>08H00-16H30</v>
      </c>
      <c r="D7" s="87" t="str">
        <f t="shared" si="2"/>
        <v>08H00-16H30</v>
      </c>
      <c r="E7" s="87" t="str">
        <f t="shared" si="2"/>
        <v>08H00-16H30</v>
      </c>
      <c r="F7" s="87" t="str">
        <f t="shared" si="2"/>
        <v>08H00-16H30</v>
      </c>
      <c r="G7" s="87" t="str">
        <f t="shared" si="2"/>
        <v>08H00-16H30</v>
      </c>
      <c r="H7" s="88">
        <f t="shared" si="2"/>
        <v>0</v>
      </c>
      <c r="I7" s="88">
        <f t="shared" si="2"/>
        <v>0</v>
      </c>
      <c r="J7" s="153"/>
      <c r="K7" s="139"/>
      <c r="L7" s="89"/>
    </row>
    <row r="8" spans="1:12" ht="13" customHeight="1" thickTop="1" thickBot="1" x14ac:dyDescent="0.25">
      <c r="A8" s="74">
        <f>7-(COUNTIF(C8:I8,"")+COUNTIF(C8:I8,$B$140))</f>
        <v>5</v>
      </c>
      <c r="B8" s="154" t="s">
        <v>1</v>
      </c>
      <c r="C8" s="86" t="s">
        <v>87</v>
      </c>
      <c r="D8" s="86" t="s">
        <v>87</v>
      </c>
      <c r="E8" s="86" t="s">
        <v>87</v>
      </c>
      <c r="F8" s="86" t="s">
        <v>87</v>
      </c>
      <c r="G8" s="86" t="s">
        <v>87</v>
      </c>
      <c r="H8" s="71" t="s">
        <v>95</v>
      </c>
      <c r="I8" s="71" t="s">
        <v>95</v>
      </c>
      <c r="J8" s="156"/>
      <c r="K8" s="139">
        <v>5</v>
      </c>
      <c r="L8" s="91"/>
    </row>
    <row r="9" spans="1:12" ht="13" customHeight="1" thickTop="1" thickBot="1" x14ac:dyDescent="0.25">
      <c r="A9" s="90"/>
      <c r="B9" s="155"/>
      <c r="C9" s="92" t="str">
        <f t="shared" ref="C9:I9" si="3">IF(ISBLANK(C8),"",VLOOKUP(C8,$B$106:$L$142,11,0))</f>
        <v>08H00-16H30</v>
      </c>
      <c r="D9" s="92" t="str">
        <f t="shared" si="3"/>
        <v>08H00-16H30</v>
      </c>
      <c r="E9" s="92" t="str">
        <f t="shared" si="3"/>
        <v>08H00-16H30</v>
      </c>
      <c r="F9" s="92" t="str">
        <f t="shared" si="3"/>
        <v>08H00-16H30</v>
      </c>
      <c r="G9" s="92" t="str">
        <f t="shared" si="3"/>
        <v>08H00-16H30</v>
      </c>
      <c r="H9" s="92">
        <f t="shared" si="3"/>
        <v>0</v>
      </c>
      <c r="I9" s="92">
        <f t="shared" si="3"/>
        <v>0</v>
      </c>
      <c r="J9" s="157"/>
      <c r="K9" s="139"/>
      <c r="L9" s="91"/>
    </row>
    <row r="10" spans="1:12" ht="13" customHeight="1" thickTop="1" x14ac:dyDescent="0.2">
      <c r="A10" s="74">
        <f>7-(COUNTIF(C10:I10,"")+COUNTIF(C10:I10,$B$140))</f>
        <v>5</v>
      </c>
      <c r="B10" s="158" t="s">
        <v>2</v>
      </c>
      <c r="C10" s="86" t="s">
        <v>87</v>
      </c>
      <c r="D10" s="86" t="s">
        <v>87</v>
      </c>
      <c r="E10" s="86" t="s">
        <v>87</v>
      </c>
      <c r="F10" s="86" t="s">
        <v>87</v>
      </c>
      <c r="G10" s="86" t="s">
        <v>87</v>
      </c>
      <c r="H10" s="71" t="s">
        <v>95</v>
      </c>
      <c r="I10" s="71" t="s">
        <v>95</v>
      </c>
      <c r="J10" s="160"/>
      <c r="K10" s="139">
        <v>5</v>
      </c>
      <c r="L10" s="91"/>
    </row>
    <row r="11" spans="1:12" ht="13" customHeight="1" thickBot="1" x14ac:dyDescent="0.25">
      <c r="A11" s="90"/>
      <c r="B11" s="159"/>
      <c r="C11" s="87" t="str">
        <f t="shared" ref="C11:I11" si="4">IF(ISBLANK(C10),"",VLOOKUP(C10,$B$106:$L$142,11,0))</f>
        <v>08H00-16H30</v>
      </c>
      <c r="D11" s="87" t="str">
        <f t="shared" si="4"/>
        <v>08H00-16H30</v>
      </c>
      <c r="E11" s="87" t="str">
        <f t="shared" si="4"/>
        <v>08H00-16H30</v>
      </c>
      <c r="F11" s="87" t="str">
        <f t="shared" si="4"/>
        <v>08H00-16H30</v>
      </c>
      <c r="G11" s="87" t="str">
        <f t="shared" si="4"/>
        <v>08H00-16H30</v>
      </c>
      <c r="H11" s="87">
        <f t="shared" si="4"/>
        <v>0</v>
      </c>
      <c r="I11" s="87">
        <f t="shared" si="4"/>
        <v>0</v>
      </c>
      <c r="J11" s="161" t="s">
        <v>44</v>
      </c>
      <c r="K11" s="139"/>
      <c r="L11" s="91"/>
    </row>
    <row r="12" spans="1:12" ht="13" customHeight="1" thickTop="1" x14ac:dyDescent="0.2">
      <c r="A12" s="74">
        <f>7-(COUNTIF(C12:I12,"")+COUNTIF(C12:I12,$B$140))</f>
        <v>5</v>
      </c>
      <c r="B12" s="158" t="s">
        <v>4</v>
      </c>
      <c r="C12" s="86" t="s">
        <v>87</v>
      </c>
      <c r="D12" s="86" t="s">
        <v>87</v>
      </c>
      <c r="E12" s="86" t="s">
        <v>87</v>
      </c>
      <c r="F12" s="86" t="s">
        <v>87</v>
      </c>
      <c r="G12" s="86" t="s">
        <v>87</v>
      </c>
      <c r="H12" s="71" t="s">
        <v>95</v>
      </c>
      <c r="I12" s="71" t="s">
        <v>95</v>
      </c>
      <c r="J12" s="160"/>
      <c r="K12" s="139">
        <v>5</v>
      </c>
      <c r="L12" s="91"/>
    </row>
    <row r="13" spans="1:12" s="39" customFormat="1" ht="13" customHeight="1" thickBot="1" x14ac:dyDescent="0.25">
      <c r="A13" s="90"/>
      <c r="B13" s="159"/>
      <c r="C13" s="87" t="str">
        <f t="shared" ref="C13:I13" si="5">IF(ISBLANK(C12),"",VLOOKUP(C12,$B$106:$L$142,11,0))</f>
        <v>08H00-16H30</v>
      </c>
      <c r="D13" s="87" t="str">
        <f t="shared" si="5"/>
        <v>08H00-16H30</v>
      </c>
      <c r="E13" s="87" t="str">
        <f t="shared" si="5"/>
        <v>08H00-16H30</v>
      </c>
      <c r="F13" s="87" t="str">
        <f t="shared" si="5"/>
        <v>08H00-16H30</v>
      </c>
      <c r="G13" s="87" t="str">
        <f t="shared" si="5"/>
        <v>08H00-16H30</v>
      </c>
      <c r="H13" s="87">
        <f t="shared" si="5"/>
        <v>0</v>
      </c>
      <c r="I13" s="87">
        <f t="shared" si="5"/>
        <v>0</v>
      </c>
      <c r="J13" s="161" t="s">
        <v>45</v>
      </c>
      <c r="K13" s="139"/>
      <c r="L13" s="91"/>
    </row>
    <row r="14" spans="1:12" s="39" customFormat="1" ht="13" customHeight="1" thickTop="1" x14ac:dyDescent="0.2">
      <c r="A14" s="74">
        <f>7-(COUNTIF(C14:I14,"")+COUNTIF(C14:I14,$B$140))</f>
        <v>5</v>
      </c>
      <c r="B14" s="158" t="s">
        <v>5</v>
      </c>
      <c r="C14" s="86" t="s">
        <v>87</v>
      </c>
      <c r="D14" s="86" t="s">
        <v>87</v>
      </c>
      <c r="E14" s="86" t="s">
        <v>87</v>
      </c>
      <c r="F14" s="86" t="s">
        <v>87</v>
      </c>
      <c r="G14" s="86" t="s">
        <v>87</v>
      </c>
      <c r="H14" s="71" t="s">
        <v>95</v>
      </c>
      <c r="I14" s="71" t="s">
        <v>95</v>
      </c>
      <c r="J14" s="160" t="s">
        <v>78</v>
      </c>
      <c r="K14" s="139">
        <v>5</v>
      </c>
      <c r="L14" s="91"/>
    </row>
    <row r="15" spans="1:12" s="39" customFormat="1" ht="13" customHeight="1" thickBot="1" x14ac:dyDescent="0.25">
      <c r="A15" s="90"/>
      <c r="B15" s="159"/>
      <c r="C15" s="87" t="str">
        <f t="shared" ref="C15:I15" si="6">IF(ISBLANK(C14),"",VLOOKUP(C14,$B$106:$L$142,11,0))</f>
        <v>08H00-16H30</v>
      </c>
      <c r="D15" s="87" t="str">
        <f t="shared" si="6"/>
        <v>08H00-16H30</v>
      </c>
      <c r="E15" s="87" t="str">
        <f t="shared" si="6"/>
        <v>08H00-16H30</v>
      </c>
      <c r="F15" s="87" t="str">
        <f t="shared" si="6"/>
        <v>08H00-16H30</v>
      </c>
      <c r="G15" s="87" t="str">
        <f t="shared" si="6"/>
        <v>08H00-16H30</v>
      </c>
      <c r="H15" s="87">
        <f t="shared" si="6"/>
        <v>0</v>
      </c>
      <c r="I15" s="87">
        <f t="shared" si="6"/>
        <v>0</v>
      </c>
      <c r="J15" s="161" t="s">
        <v>45</v>
      </c>
      <c r="K15" s="139"/>
      <c r="L15" s="91"/>
    </row>
    <row r="16" spans="1:12" s="39" customFormat="1" ht="13" customHeight="1" thickTop="1" x14ac:dyDescent="0.2">
      <c r="A16" s="74">
        <f>7-(COUNTIF(C16:I16,"")+COUNTIF(C16:I16,$B$140))</f>
        <v>5</v>
      </c>
      <c r="B16" s="158" t="s">
        <v>6</v>
      </c>
      <c r="C16" s="86" t="s">
        <v>87</v>
      </c>
      <c r="D16" s="86" t="s">
        <v>87</v>
      </c>
      <c r="E16" s="86" t="s">
        <v>87</v>
      </c>
      <c r="F16" s="86" t="s">
        <v>87</v>
      </c>
      <c r="G16" s="86" t="s">
        <v>87</v>
      </c>
      <c r="H16" s="71" t="s">
        <v>95</v>
      </c>
      <c r="I16" s="71" t="s">
        <v>95</v>
      </c>
      <c r="J16" s="160"/>
      <c r="K16" s="139">
        <v>5</v>
      </c>
      <c r="L16" s="91"/>
    </row>
    <row r="17" spans="1:12" s="39" customFormat="1" ht="13" customHeight="1" thickBot="1" x14ac:dyDescent="0.25">
      <c r="A17" s="90"/>
      <c r="B17" s="159"/>
      <c r="C17" s="87" t="str">
        <f t="shared" ref="C17:I17" si="7">IF(ISBLANK(C16),"",VLOOKUP(C16,$B$106:$L$142,11,0))</f>
        <v>08H00-16H30</v>
      </c>
      <c r="D17" s="87" t="str">
        <f t="shared" si="7"/>
        <v>08H00-16H30</v>
      </c>
      <c r="E17" s="87" t="str">
        <f t="shared" si="7"/>
        <v>08H00-16H30</v>
      </c>
      <c r="F17" s="87" t="str">
        <f t="shared" si="7"/>
        <v>08H00-16H30</v>
      </c>
      <c r="G17" s="87" t="str">
        <f t="shared" si="7"/>
        <v>08H00-16H30</v>
      </c>
      <c r="H17" s="87">
        <f t="shared" si="7"/>
        <v>0</v>
      </c>
      <c r="I17" s="87">
        <f t="shared" si="7"/>
        <v>0</v>
      </c>
      <c r="J17" s="161"/>
      <c r="K17" s="139"/>
      <c r="L17" s="91"/>
    </row>
    <row r="18" spans="1:12" s="39" customFormat="1" ht="13" customHeight="1" thickTop="1" x14ac:dyDescent="0.2">
      <c r="A18" s="74">
        <f>7-(COUNTIF(C18:I18,"")+COUNTIF(C18:I18,$B$140))</f>
        <v>5</v>
      </c>
      <c r="B18" s="151" t="s">
        <v>7</v>
      </c>
      <c r="C18" s="71" t="s">
        <v>89</v>
      </c>
      <c r="D18" s="88" t="s">
        <v>89</v>
      </c>
      <c r="E18" s="88" t="s">
        <v>89</v>
      </c>
      <c r="F18" s="88" t="s">
        <v>89</v>
      </c>
      <c r="G18" s="88" t="s">
        <v>89</v>
      </c>
      <c r="H18" s="71" t="s">
        <v>95</v>
      </c>
      <c r="I18" s="71" t="s">
        <v>95</v>
      </c>
      <c r="J18" s="153"/>
      <c r="K18" s="139">
        <v>2.5</v>
      </c>
      <c r="L18" s="91"/>
    </row>
    <row r="19" spans="1:12" s="39" customFormat="1" ht="13" customHeight="1" thickBot="1" x14ac:dyDescent="0.25">
      <c r="A19" s="90"/>
      <c r="B19" s="151"/>
      <c r="C19" s="88" t="str">
        <f t="shared" ref="C19:I19" si="8">IF(ISBLANK(C18),"",VLOOKUP(C18,$B$106:$L$142,11,0))</f>
        <v>18H00-22H00</v>
      </c>
      <c r="D19" s="88" t="str">
        <f t="shared" si="8"/>
        <v>18H00-22H00</v>
      </c>
      <c r="E19" s="88" t="str">
        <f t="shared" si="8"/>
        <v>18H00-22H00</v>
      </c>
      <c r="F19" s="88" t="str">
        <f t="shared" si="8"/>
        <v>18H00-22H00</v>
      </c>
      <c r="G19" s="88" t="str">
        <f t="shared" si="8"/>
        <v>18H00-22H00</v>
      </c>
      <c r="H19" s="88">
        <f t="shared" si="8"/>
        <v>0</v>
      </c>
      <c r="I19" s="88">
        <f t="shared" si="8"/>
        <v>0</v>
      </c>
      <c r="J19" s="153"/>
      <c r="K19" s="139"/>
      <c r="L19" s="91"/>
    </row>
    <row r="20" spans="1:12" s="39" customFormat="1" ht="13" customHeight="1" thickTop="1" x14ac:dyDescent="0.2">
      <c r="A20" s="74">
        <f>7-(COUNTIF(C20:I20,"")+COUNTIF(C20:I20,$B$140))</f>
        <v>4</v>
      </c>
      <c r="B20" s="158" t="s">
        <v>111</v>
      </c>
      <c r="C20" s="71" t="s">
        <v>152</v>
      </c>
      <c r="D20" s="71"/>
      <c r="E20" s="71"/>
      <c r="F20" s="71"/>
      <c r="G20" s="71" t="s">
        <v>79</v>
      </c>
      <c r="H20" s="71" t="s">
        <v>83</v>
      </c>
      <c r="I20" s="71" t="s">
        <v>137</v>
      </c>
      <c r="J20" s="160" t="s">
        <v>64</v>
      </c>
      <c r="K20" s="139">
        <v>4</v>
      </c>
      <c r="L20" s="91"/>
    </row>
    <row r="21" spans="1:12" s="39" customFormat="1" ht="13" customHeight="1" thickBot="1" x14ac:dyDescent="0.25">
      <c r="A21" s="90"/>
      <c r="B21" s="159"/>
      <c r="C21" s="87" t="str">
        <f t="shared" ref="C21:I21" si="9">IF(ISBLANK(C20),"",VLOOKUP(C20,$B$106:$L$142,11,0))</f>
        <v>08H30-17H00</v>
      </c>
      <c r="D21" s="87" t="str">
        <f t="shared" si="9"/>
        <v/>
      </c>
      <c r="E21" s="87" t="str">
        <f t="shared" si="9"/>
        <v/>
      </c>
      <c r="F21" s="87" t="str">
        <f t="shared" si="9"/>
        <v/>
      </c>
      <c r="G21" s="87" t="str">
        <f t="shared" si="9"/>
        <v>09H00-17H30</v>
      </c>
      <c r="H21" s="87" t="str">
        <f t="shared" si="9"/>
        <v>09H00-17H30</v>
      </c>
      <c r="I21" s="87" t="str">
        <f t="shared" si="9"/>
        <v>06H00-14H30</v>
      </c>
      <c r="J21" s="161"/>
      <c r="K21" s="139"/>
      <c r="L21" s="91"/>
    </row>
    <row r="22" spans="1:12" ht="13" customHeight="1" thickTop="1" x14ac:dyDescent="0.2">
      <c r="A22" s="74">
        <f>7-(COUNTIF(C22:I22,"")+COUNTIF(C22:I22,$B$140))</f>
        <v>5</v>
      </c>
      <c r="B22" s="164" t="s">
        <v>3</v>
      </c>
      <c r="C22" s="71" t="s">
        <v>85</v>
      </c>
      <c r="D22" s="72" t="s">
        <v>92</v>
      </c>
      <c r="E22" s="71" t="s">
        <v>91</v>
      </c>
      <c r="F22" s="71" t="s">
        <v>80</v>
      </c>
      <c r="G22" s="71" t="s">
        <v>84</v>
      </c>
      <c r="H22" s="71" t="s">
        <v>95</v>
      </c>
      <c r="I22" s="71" t="s">
        <v>95</v>
      </c>
      <c r="J22" s="160" t="s">
        <v>44</v>
      </c>
      <c r="K22" s="139">
        <v>5</v>
      </c>
      <c r="L22" s="91"/>
    </row>
    <row r="23" spans="1:12" ht="13" customHeight="1" thickBot="1" x14ac:dyDescent="0.25">
      <c r="A23" s="90"/>
      <c r="B23" s="165"/>
      <c r="C23" s="87" t="str">
        <f t="shared" ref="C23:I23" si="10">IF(ISBLANK(C22),"",VLOOKUP(C22,$B$106:$L$142,11,0))</f>
        <v>14H30-23H00</v>
      </c>
      <c r="D23" s="87" t="str">
        <f t="shared" si="10"/>
        <v>10H00-18H30</v>
      </c>
      <c r="E23" s="87" t="str">
        <f t="shared" si="10"/>
        <v>06H00-14H30</v>
      </c>
      <c r="F23" s="87" t="str">
        <f t="shared" si="10"/>
        <v>06H00-14H30</v>
      </c>
      <c r="G23" s="87" t="str">
        <f t="shared" si="10"/>
        <v>13H30-22H00</v>
      </c>
      <c r="H23" s="87">
        <f t="shared" si="10"/>
        <v>0</v>
      </c>
      <c r="I23" s="87">
        <f t="shared" si="10"/>
        <v>0</v>
      </c>
      <c r="J23" s="161"/>
      <c r="K23" s="139"/>
      <c r="L23" s="91"/>
    </row>
    <row r="24" spans="1:12" s="39" customFormat="1" ht="13" customHeight="1" thickTop="1" x14ac:dyDescent="0.2">
      <c r="A24" s="74">
        <f>7-(COUNTIF(C24:I24,"")+COUNTIF(C24:I24,$B$140))</f>
        <v>5</v>
      </c>
      <c r="B24" s="212" t="s">
        <v>8</v>
      </c>
      <c r="C24" s="72" t="s">
        <v>84</v>
      </c>
      <c r="D24" s="71" t="s">
        <v>123</v>
      </c>
      <c r="E24" s="71"/>
      <c r="F24" s="71"/>
      <c r="G24" s="71" t="s">
        <v>82</v>
      </c>
      <c r="H24" s="71" t="s">
        <v>137</v>
      </c>
      <c r="I24" s="71" t="s">
        <v>90</v>
      </c>
      <c r="J24" s="152" t="s">
        <v>46</v>
      </c>
      <c r="K24" s="139">
        <v>4</v>
      </c>
      <c r="L24" s="91"/>
    </row>
    <row r="25" spans="1:12" s="39" customFormat="1" ht="13" customHeight="1" thickBot="1" x14ac:dyDescent="0.25">
      <c r="A25" s="90"/>
      <c r="B25" s="165"/>
      <c r="C25" s="87" t="str">
        <f t="shared" ref="C25:I25" si="11">IF(ISBLANK(C24),"",VLOOKUP(C24,$B$106:$L$142,11,0))</f>
        <v>13H30-22H00</v>
      </c>
      <c r="D25" s="87" t="str">
        <f t="shared" si="11"/>
        <v>14H30-23H00</v>
      </c>
      <c r="E25" s="87" t="str">
        <f t="shared" si="11"/>
        <v/>
      </c>
      <c r="F25" s="87" t="str">
        <f t="shared" si="11"/>
        <v/>
      </c>
      <c r="G25" s="87" t="str">
        <f t="shared" si="11"/>
        <v>06H00-14H30</v>
      </c>
      <c r="H25" s="87" t="str">
        <f t="shared" si="11"/>
        <v>06H00-14H30</v>
      </c>
      <c r="I25" s="87" t="str">
        <f t="shared" si="11"/>
        <v>06H00-14H30</v>
      </c>
      <c r="J25" s="161" t="s">
        <v>46</v>
      </c>
      <c r="K25" s="139"/>
      <c r="L25" s="91"/>
    </row>
    <row r="26" spans="1:12" s="39" customFormat="1" ht="13" customHeight="1" thickTop="1" x14ac:dyDescent="0.2">
      <c r="A26" s="74">
        <f>7-(COUNTIF(C26:I26,"")+COUNTIF(C26:I26,$B$140))</f>
        <v>5</v>
      </c>
      <c r="B26" s="158" t="s">
        <v>9</v>
      </c>
      <c r="C26" s="71" t="s">
        <v>153</v>
      </c>
      <c r="D26" s="71"/>
      <c r="E26" s="71" t="s">
        <v>31</v>
      </c>
      <c r="F26" s="71" t="s">
        <v>79</v>
      </c>
      <c r="G26" s="71" t="s">
        <v>110</v>
      </c>
      <c r="H26" s="71"/>
      <c r="I26" s="71" t="s">
        <v>153</v>
      </c>
      <c r="J26" s="160" t="s">
        <v>47</v>
      </c>
      <c r="K26" s="139">
        <v>5</v>
      </c>
      <c r="L26" s="91"/>
    </row>
    <row r="27" spans="1:12" s="39" customFormat="1" ht="13" customHeight="1" thickBot="1" x14ac:dyDescent="0.25">
      <c r="A27" s="90"/>
      <c r="B27" s="159"/>
      <c r="C27" s="87" t="str">
        <f t="shared" ref="C27:I27" si="12">IF(ISBLANK(C26),"",VLOOKUP(C26,$B$106:$L$142,11,0))</f>
        <v>22H00-06H30</v>
      </c>
      <c r="D27" s="87" t="str">
        <f t="shared" si="12"/>
        <v/>
      </c>
      <c r="E27" s="87" t="str">
        <f t="shared" si="12"/>
        <v>06H00-14H30</v>
      </c>
      <c r="F27" s="87" t="str">
        <f t="shared" si="12"/>
        <v>09H00-17H30</v>
      </c>
      <c r="G27" s="87" t="str">
        <f t="shared" si="12"/>
        <v>21H45-06H15</v>
      </c>
      <c r="H27" s="87" t="str">
        <f t="shared" si="12"/>
        <v/>
      </c>
      <c r="I27" s="87" t="str">
        <f t="shared" si="12"/>
        <v>22H00-06H30</v>
      </c>
      <c r="J27" s="161" t="s">
        <v>47</v>
      </c>
      <c r="K27" s="139"/>
      <c r="L27" s="91"/>
    </row>
    <row r="28" spans="1:12" s="39" customFormat="1" ht="13" customHeight="1" thickTop="1" x14ac:dyDescent="0.2">
      <c r="A28" s="74">
        <f>7-(COUNTIF(C28:I28,"")+COUNTIF(C28:I28,$B$140))</f>
        <v>5</v>
      </c>
      <c r="B28" s="158" t="s">
        <v>10</v>
      </c>
      <c r="C28" s="71"/>
      <c r="D28" s="71" t="s">
        <v>84</v>
      </c>
      <c r="E28" s="72" t="s">
        <v>83</v>
      </c>
      <c r="F28" s="71" t="s">
        <v>91</v>
      </c>
      <c r="G28" s="71" t="s">
        <v>93</v>
      </c>
      <c r="H28" s="71" t="s">
        <v>123</v>
      </c>
      <c r="I28" s="71" t="s">
        <v>95</v>
      </c>
      <c r="J28" s="160" t="s">
        <v>48</v>
      </c>
      <c r="K28" s="139">
        <v>3</v>
      </c>
      <c r="L28" s="91"/>
    </row>
    <row r="29" spans="1:12" s="39" customFormat="1" ht="13" customHeight="1" thickBot="1" x14ac:dyDescent="0.25">
      <c r="A29" s="90"/>
      <c r="B29" s="159"/>
      <c r="C29" s="87" t="str">
        <f t="shared" ref="C29:I29" si="13">IF(ISBLANK(C28),"",VLOOKUP(C28,$B$106:$L$142,11,0))</f>
        <v/>
      </c>
      <c r="D29" s="87" t="str">
        <f t="shared" si="13"/>
        <v>13H30-22H00</v>
      </c>
      <c r="E29" s="87" t="str">
        <f t="shared" si="13"/>
        <v>09H00-17H30</v>
      </c>
      <c r="F29" s="87" t="str">
        <f t="shared" si="13"/>
        <v>06H00-14H30</v>
      </c>
      <c r="G29" s="87" t="str">
        <f t="shared" si="13"/>
        <v>06H00-14H30</v>
      </c>
      <c r="H29" s="87" t="str">
        <f t="shared" si="13"/>
        <v>14H30-23H00</v>
      </c>
      <c r="I29" s="87">
        <f t="shared" si="13"/>
        <v>0</v>
      </c>
      <c r="J29" s="161" t="s">
        <v>48</v>
      </c>
      <c r="K29" s="139"/>
      <c r="L29" s="91"/>
    </row>
    <row r="30" spans="1:12" s="39" customFormat="1" ht="13" customHeight="1" thickTop="1" x14ac:dyDescent="0.2">
      <c r="A30" s="74">
        <f>7-(COUNTIF(C30:I30,"")+COUNTIF(C30:I30,$B$140))</f>
        <v>5</v>
      </c>
      <c r="B30" s="158" t="s">
        <v>11</v>
      </c>
      <c r="C30" s="71" t="s">
        <v>137</v>
      </c>
      <c r="D30" s="71" t="s">
        <v>91</v>
      </c>
      <c r="E30" s="71" t="s">
        <v>79</v>
      </c>
      <c r="F30" s="71" t="s">
        <v>84</v>
      </c>
      <c r="G30" s="71" t="s">
        <v>123</v>
      </c>
      <c r="H30" s="71" t="s">
        <v>95</v>
      </c>
      <c r="I30" s="71" t="s">
        <v>95</v>
      </c>
      <c r="J30" s="160" t="s">
        <v>49</v>
      </c>
      <c r="K30" s="139">
        <v>5</v>
      </c>
      <c r="L30" s="91"/>
    </row>
    <row r="31" spans="1:12" s="39" customFormat="1" ht="13" customHeight="1" thickBot="1" x14ac:dyDescent="0.25">
      <c r="A31" s="74"/>
      <c r="B31" s="159"/>
      <c r="C31" s="87" t="str">
        <f t="shared" ref="C31:I31" si="14">IF(ISBLANK(C30),"",VLOOKUP(C30,$B$106:$L$142,11,0))</f>
        <v>06H00-14H30</v>
      </c>
      <c r="D31" s="87" t="str">
        <f t="shared" si="14"/>
        <v>06H00-14H30</v>
      </c>
      <c r="E31" s="87" t="str">
        <f t="shared" si="14"/>
        <v>09H00-17H30</v>
      </c>
      <c r="F31" s="87" t="str">
        <f t="shared" si="14"/>
        <v>13H30-22H00</v>
      </c>
      <c r="G31" s="87" t="str">
        <f t="shared" si="14"/>
        <v>14H30-23H00</v>
      </c>
      <c r="H31" s="87">
        <f t="shared" si="14"/>
        <v>0</v>
      </c>
      <c r="I31" s="87">
        <f t="shared" si="14"/>
        <v>0</v>
      </c>
      <c r="J31" s="161" t="s">
        <v>49</v>
      </c>
      <c r="K31" s="139"/>
      <c r="L31" s="91"/>
    </row>
    <row r="32" spans="1:12" s="39" customFormat="1" ht="13" customHeight="1" thickTop="1" x14ac:dyDescent="0.2">
      <c r="A32" s="74">
        <f>7-(COUNTIF(C32:I32,"")+COUNTIF(C32:I32,$B$140))</f>
        <v>5</v>
      </c>
      <c r="B32" s="162" t="s">
        <v>12</v>
      </c>
      <c r="C32" s="71"/>
      <c r="D32" s="71" t="s">
        <v>137</v>
      </c>
      <c r="E32" s="71" t="s">
        <v>122</v>
      </c>
      <c r="F32" s="71" t="s">
        <v>152</v>
      </c>
      <c r="G32" s="71" t="s">
        <v>167</v>
      </c>
      <c r="H32" s="71"/>
      <c r="I32" s="71" t="s">
        <v>81</v>
      </c>
      <c r="J32" s="160" t="s">
        <v>50</v>
      </c>
      <c r="K32" s="139">
        <v>5</v>
      </c>
      <c r="L32" s="91"/>
    </row>
    <row r="33" spans="1:12" s="39" customFormat="1" ht="13" customHeight="1" thickBot="1" x14ac:dyDescent="0.25">
      <c r="A33" s="90"/>
      <c r="B33" s="163"/>
      <c r="C33" s="87" t="str">
        <f t="shared" ref="C33:I33" si="15">IF(ISBLANK(C32),"",VLOOKUP(C32,$B$106:$L$142,11,0))</f>
        <v/>
      </c>
      <c r="D33" s="87" t="str">
        <f t="shared" si="15"/>
        <v>06H00-14H30</v>
      </c>
      <c r="E33" s="87" t="str">
        <f t="shared" si="15"/>
        <v>06H00-14H30</v>
      </c>
      <c r="F33" s="87" t="str">
        <f t="shared" si="15"/>
        <v>08H30-17H00</v>
      </c>
      <c r="G33" s="87" t="str">
        <f t="shared" si="15"/>
        <v>08H00-16H30</v>
      </c>
      <c r="H33" s="87" t="str">
        <f t="shared" si="15"/>
        <v/>
      </c>
      <c r="I33" s="87" t="str">
        <f t="shared" si="15"/>
        <v>14H30-23H00</v>
      </c>
      <c r="J33" s="161" t="s">
        <v>50</v>
      </c>
      <c r="K33" s="139"/>
      <c r="L33" s="91"/>
    </row>
    <row r="34" spans="1:12" s="39" customFormat="1" ht="13" customHeight="1" thickTop="1" x14ac:dyDescent="0.2">
      <c r="A34" s="74">
        <f>7-(COUNTIF(C34:I34,"")+COUNTIF(C34:I34,$B$140))</f>
        <v>3</v>
      </c>
      <c r="B34" s="162" t="s">
        <v>13</v>
      </c>
      <c r="C34" s="71" t="s">
        <v>167</v>
      </c>
      <c r="D34" s="71"/>
      <c r="E34" s="71"/>
      <c r="F34" s="71" t="s">
        <v>167</v>
      </c>
      <c r="G34" s="71"/>
      <c r="H34" s="71" t="s">
        <v>168</v>
      </c>
      <c r="I34" s="71"/>
      <c r="J34" s="160" t="s">
        <v>51</v>
      </c>
      <c r="K34" s="139">
        <v>3</v>
      </c>
      <c r="L34" s="91"/>
    </row>
    <row r="35" spans="1:12" s="39" customFormat="1" ht="13" customHeight="1" thickBot="1" x14ac:dyDescent="0.25">
      <c r="A35" s="90"/>
      <c r="B35" s="163"/>
      <c r="C35" s="87" t="str">
        <f t="shared" ref="C35:I35" si="16">IF(ISBLANK(C34),"",VLOOKUP(C34,$B$106:$L$142,11,0))</f>
        <v>08H00-16H30</v>
      </c>
      <c r="D35" s="87" t="str">
        <f t="shared" si="16"/>
        <v/>
      </c>
      <c r="E35" s="87" t="str">
        <f t="shared" si="16"/>
        <v/>
      </c>
      <c r="F35" s="87" t="str">
        <f t="shared" si="16"/>
        <v>08H00-16H30</v>
      </c>
      <c r="G35" s="87" t="str">
        <f t="shared" si="16"/>
        <v/>
      </c>
      <c r="H35" s="87" t="str">
        <f t="shared" si="16"/>
        <v>14H30-23H00</v>
      </c>
      <c r="I35" s="87" t="str">
        <f t="shared" si="16"/>
        <v/>
      </c>
      <c r="J35" s="161" t="s">
        <v>51</v>
      </c>
      <c r="K35" s="139"/>
      <c r="L35" s="91"/>
    </row>
    <row r="36" spans="1:12" s="39" customFormat="1" ht="13" customHeight="1" thickTop="1" x14ac:dyDescent="0.2">
      <c r="A36" s="74">
        <f>7-(COUNTIF(C36:I36,"")+COUNTIF(C36:I36,$B$140))</f>
        <v>5</v>
      </c>
      <c r="B36" s="164" t="s">
        <v>43</v>
      </c>
      <c r="C36" s="86" t="s">
        <v>40</v>
      </c>
      <c r="D36" s="86" t="s">
        <v>40</v>
      </c>
      <c r="E36" s="86" t="s">
        <v>40</v>
      </c>
      <c r="F36" s="86" t="s">
        <v>40</v>
      </c>
      <c r="G36" s="86" t="s">
        <v>40</v>
      </c>
      <c r="H36" s="71" t="s">
        <v>95</v>
      </c>
      <c r="I36" s="71" t="s">
        <v>95</v>
      </c>
      <c r="J36" s="160" t="s">
        <v>114</v>
      </c>
      <c r="K36" s="139">
        <v>5</v>
      </c>
      <c r="L36" s="91"/>
    </row>
    <row r="37" spans="1:12" s="39" customFormat="1" ht="13" customHeight="1" thickBot="1" x14ac:dyDescent="0.25">
      <c r="A37" s="90"/>
      <c r="B37" s="165"/>
      <c r="C37" s="87">
        <f t="shared" ref="C37:I37" si="17">IF(ISBLANK(C36),"",VLOOKUP(C36,$B$106:$L$142,11,0))</f>
        <v>0</v>
      </c>
      <c r="D37" s="87">
        <f t="shared" si="17"/>
        <v>0</v>
      </c>
      <c r="E37" s="87">
        <f t="shared" si="17"/>
        <v>0</v>
      </c>
      <c r="F37" s="87">
        <f t="shared" si="17"/>
        <v>0</v>
      </c>
      <c r="G37" s="87">
        <f t="shared" si="17"/>
        <v>0</v>
      </c>
      <c r="H37" s="87">
        <f t="shared" si="17"/>
        <v>0</v>
      </c>
      <c r="I37" s="87">
        <f t="shared" si="17"/>
        <v>0</v>
      </c>
      <c r="J37" s="161"/>
      <c r="K37" s="139"/>
      <c r="L37" s="91"/>
    </row>
    <row r="38" spans="1:12" s="39" customFormat="1" ht="13" customHeight="1" thickTop="1" x14ac:dyDescent="0.2">
      <c r="A38" s="74">
        <f>7-(COUNTIF(C38:I38,"")+COUNTIF(C38:I38,$B$140))</f>
        <v>4</v>
      </c>
      <c r="B38" s="158" t="s">
        <v>14</v>
      </c>
      <c r="C38" s="71"/>
      <c r="D38" s="86"/>
      <c r="E38" s="71" t="s">
        <v>110</v>
      </c>
      <c r="F38" s="71" t="s">
        <v>153</v>
      </c>
      <c r="G38" s="71"/>
      <c r="H38" s="71" t="s">
        <v>31</v>
      </c>
      <c r="I38" s="72" t="s">
        <v>110</v>
      </c>
      <c r="J38" s="160" t="s">
        <v>52</v>
      </c>
      <c r="K38" s="139">
        <v>4</v>
      </c>
      <c r="L38" s="91"/>
    </row>
    <row r="39" spans="1:12" s="39" customFormat="1" ht="13" customHeight="1" thickBot="1" x14ac:dyDescent="0.25">
      <c r="A39" s="90"/>
      <c r="B39" s="159"/>
      <c r="C39" s="87" t="str">
        <f t="shared" ref="C39:I39" si="18">IF(ISBLANK(C38),"",VLOOKUP(C38,$B$106:$L$142,11,0))</f>
        <v/>
      </c>
      <c r="D39" s="87" t="str">
        <f t="shared" si="18"/>
        <v/>
      </c>
      <c r="E39" s="87" t="str">
        <f t="shared" si="18"/>
        <v>21H45-06H15</v>
      </c>
      <c r="F39" s="87" t="str">
        <f t="shared" si="18"/>
        <v>22H00-06H30</v>
      </c>
      <c r="G39" s="87" t="str">
        <f t="shared" si="18"/>
        <v/>
      </c>
      <c r="H39" s="87" t="str">
        <f t="shared" si="18"/>
        <v>06H00-14H30</v>
      </c>
      <c r="I39" s="87" t="str">
        <f t="shared" si="18"/>
        <v>21H45-06H15</v>
      </c>
      <c r="J39" s="161" t="s">
        <v>52</v>
      </c>
      <c r="K39" s="139"/>
      <c r="L39" s="91"/>
    </row>
    <row r="40" spans="1:12" s="39" customFormat="1" ht="13" customHeight="1" thickTop="1" x14ac:dyDescent="0.2">
      <c r="A40" s="74">
        <f>7-(COUNTIF(C40:I40,"")+COUNTIF(C40:I40,$B$140))</f>
        <v>5</v>
      </c>
      <c r="B40" s="162" t="s">
        <v>15</v>
      </c>
      <c r="C40" s="71" t="s">
        <v>167</v>
      </c>
      <c r="D40" s="71" t="s">
        <v>167</v>
      </c>
      <c r="E40" s="71"/>
      <c r="F40" s="71" t="s">
        <v>139</v>
      </c>
      <c r="G40" s="71" t="s">
        <v>152</v>
      </c>
      <c r="H40" s="71"/>
      <c r="I40" s="71" t="s">
        <v>31</v>
      </c>
      <c r="J40" s="160" t="s">
        <v>53</v>
      </c>
      <c r="K40" s="139">
        <v>5</v>
      </c>
      <c r="L40" s="91"/>
    </row>
    <row r="41" spans="1:12" s="39" customFormat="1" ht="13" customHeight="1" thickBot="1" x14ac:dyDescent="0.25">
      <c r="A41" s="90"/>
      <c r="B41" s="163"/>
      <c r="C41" s="87" t="str">
        <f t="shared" ref="C41:I41" si="19">IF(ISBLANK(C40),"",VLOOKUP(C40,$B$106:$L$142,11,0))</f>
        <v>08H00-16H30</v>
      </c>
      <c r="D41" s="87" t="str">
        <f t="shared" si="19"/>
        <v>08H00-16H30</v>
      </c>
      <c r="E41" s="87" t="str">
        <f t="shared" si="19"/>
        <v/>
      </c>
      <c r="F41" s="87" t="str">
        <f t="shared" si="19"/>
        <v>14H00-22H30</v>
      </c>
      <c r="G41" s="87" t="str">
        <f t="shared" si="19"/>
        <v>08H30-17H00</v>
      </c>
      <c r="H41" s="87" t="str">
        <f t="shared" si="19"/>
        <v/>
      </c>
      <c r="I41" s="87" t="str">
        <f t="shared" si="19"/>
        <v>06H00-14H30</v>
      </c>
      <c r="J41" s="161" t="s">
        <v>54</v>
      </c>
      <c r="K41" s="139"/>
      <c r="L41" s="91"/>
    </row>
    <row r="42" spans="1:12" s="39" customFormat="1" ht="13" customHeight="1" thickTop="1" x14ac:dyDescent="0.2">
      <c r="A42" s="74">
        <f>7-(COUNTIF(C42:I42,"")+COUNTIF(C42:I42,$B$140))</f>
        <v>5</v>
      </c>
      <c r="B42" s="151" t="s">
        <v>119</v>
      </c>
      <c r="C42" s="88" t="s">
        <v>110</v>
      </c>
      <c r="D42" s="88"/>
      <c r="E42" s="71" t="s">
        <v>92</v>
      </c>
      <c r="F42" s="88" t="s">
        <v>90</v>
      </c>
      <c r="G42" s="71" t="s">
        <v>153</v>
      </c>
      <c r="H42" s="72" t="s">
        <v>153</v>
      </c>
      <c r="I42" s="71"/>
      <c r="J42" s="153" t="s">
        <v>73</v>
      </c>
      <c r="K42" s="139">
        <v>5</v>
      </c>
      <c r="L42" s="91"/>
    </row>
    <row r="43" spans="1:12" s="39" customFormat="1" ht="13" customHeight="1" thickBot="1" x14ac:dyDescent="0.25">
      <c r="A43" s="90"/>
      <c r="B43" s="167"/>
      <c r="C43" s="93" t="str">
        <f t="shared" ref="C43:I43" si="20">IF(ISBLANK(C42),"",VLOOKUP(C42,$B$106:$L$142,11,0))</f>
        <v>21H45-06H15</v>
      </c>
      <c r="D43" s="93" t="str">
        <f t="shared" si="20"/>
        <v/>
      </c>
      <c r="E43" s="93" t="str">
        <f t="shared" si="20"/>
        <v>10H00-18H30</v>
      </c>
      <c r="F43" s="93" t="str">
        <f t="shared" si="20"/>
        <v>06H00-14H30</v>
      </c>
      <c r="G43" s="93" t="str">
        <f t="shared" si="20"/>
        <v>22H00-06H30</v>
      </c>
      <c r="H43" s="93" t="str">
        <f t="shared" si="20"/>
        <v>22H00-06H30</v>
      </c>
      <c r="I43" s="93" t="str">
        <f t="shared" si="20"/>
        <v/>
      </c>
      <c r="J43" s="168"/>
      <c r="K43" s="139"/>
      <c r="L43" s="91"/>
    </row>
    <row r="44" spans="1:12" s="39" customFormat="1" ht="13" customHeight="1" thickTop="1" x14ac:dyDescent="0.2">
      <c r="A44" s="74">
        <f>7-(COUNTIF(C44:I44,"")+COUNTIF(C44:I44,$B$140))</f>
        <v>5</v>
      </c>
      <c r="B44" s="158" t="s">
        <v>16</v>
      </c>
      <c r="C44" s="71" t="s">
        <v>92</v>
      </c>
      <c r="D44" s="71" t="s">
        <v>110</v>
      </c>
      <c r="E44" s="71" t="s">
        <v>153</v>
      </c>
      <c r="F44" s="72"/>
      <c r="G44" s="71" t="s">
        <v>149</v>
      </c>
      <c r="H44" s="71" t="s">
        <v>110</v>
      </c>
      <c r="I44" s="71"/>
      <c r="J44" s="160" t="s">
        <v>54</v>
      </c>
      <c r="K44" s="139">
        <v>5</v>
      </c>
      <c r="L44" s="91"/>
    </row>
    <row r="45" spans="1:12" s="39" customFormat="1" ht="13" customHeight="1" thickBot="1" x14ac:dyDescent="0.25">
      <c r="A45" s="90"/>
      <c r="B45" s="159"/>
      <c r="C45" s="87" t="str">
        <f t="shared" ref="C45:I45" si="21">IF(ISBLANK(C44),"",VLOOKUP(C44,$B$106:$L$142,11,0))</f>
        <v>10H00-18H30</v>
      </c>
      <c r="D45" s="87" t="str">
        <f t="shared" si="21"/>
        <v>21H45-06H15</v>
      </c>
      <c r="E45" s="87" t="str">
        <f t="shared" si="21"/>
        <v>22H00-06H30</v>
      </c>
      <c r="F45" s="87" t="str">
        <f t="shared" si="21"/>
        <v/>
      </c>
      <c r="G45" s="87" t="str">
        <f t="shared" si="21"/>
        <v>09H00-17H30</v>
      </c>
      <c r="H45" s="87" t="str">
        <f t="shared" si="21"/>
        <v>21H45-06H15</v>
      </c>
      <c r="I45" s="87" t="str">
        <f t="shared" si="21"/>
        <v/>
      </c>
      <c r="J45" s="161" t="s">
        <v>55</v>
      </c>
      <c r="K45" s="139"/>
      <c r="L45" s="91"/>
    </row>
    <row r="46" spans="1:12" s="39" customFormat="1" ht="13" customHeight="1" thickTop="1" x14ac:dyDescent="0.2">
      <c r="A46" s="74">
        <f>7-(COUNTIF(C46:I46,"")+COUNTIF(C46:I46,$B$140))</f>
        <v>5</v>
      </c>
      <c r="B46" s="158" t="s">
        <v>102</v>
      </c>
      <c r="C46" s="71" t="s">
        <v>81</v>
      </c>
      <c r="D46" s="71" t="s">
        <v>152</v>
      </c>
      <c r="E46" s="71" t="s">
        <v>82</v>
      </c>
      <c r="F46" s="71" t="s">
        <v>149</v>
      </c>
      <c r="G46" s="71" t="s">
        <v>84</v>
      </c>
      <c r="H46" s="71" t="s">
        <v>95</v>
      </c>
      <c r="I46" s="71" t="s">
        <v>95</v>
      </c>
      <c r="J46" s="160" t="s">
        <v>55</v>
      </c>
      <c r="K46" s="139">
        <v>5</v>
      </c>
      <c r="L46" s="91"/>
    </row>
    <row r="47" spans="1:12" s="39" customFormat="1" ht="13" customHeight="1" thickBot="1" x14ac:dyDescent="0.25">
      <c r="A47" s="74"/>
      <c r="B47" s="159"/>
      <c r="C47" s="87" t="str">
        <f t="shared" ref="C47:I47" si="22">IF(ISBLANK(C46),"",VLOOKUP(C46,$B$106:$L$142,11,0))</f>
        <v>14H30-23H00</v>
      </c>
      <c r="D47" s="87" t="str">
        <f t="shared" si="22"/>
        <v>08H30-17H00</v>
      </c>
      <c r="E47" s="87" t="str">
        <f t="shared" si="22"/>
        <v>06H00-14H30</v>
      </c>
      <c r="F47" s="87" t="str">
        <f t="shared" si="22"/>
        <v>09H00-17H30</v>
      </c>
      <c r="G47" s="87" t="str">
        <f t="shared" si="22"/>
        <v>13H30-22H00</v>
      </c>
      <c r="H47" s="87">
        <f t="shared" si="22"/>
        <v>0</v>
      </c>
      <c r="I47" s="87">
        <f t="shared" si="22"/>
        <v>0</v>
      </c>
      <c r="J47" s="161" t="s">
        <v>56</v>
      </c>
      <c r="K47" s="139"/>
      <c r="L47" s="91"/>
    </row>
    <row r="48" spans="1:12" s="39" customFormat="1" ht="13" customHeight="1" thickTop="1" x14ac:dyDescent="0.2">
      <c r="A48" s="74">
        <f>7-(COUNTIF(C48:I48,"")+COUNTIF(C48:I48,$B$140))</f>
        <v>5</v>
      </c>
      <c r="B48" s="158" t="s">
        <v>132</v>
      </c>
      <c r="C48" s="71" t="s">
        <v>93</v>
      </c>
      <c r="D48" s="71" t="s">
        <v>83</v>
      </c>
      <c r="E48" s="71" t="s">
        <v>123</v>
      </c>
      <c r="F48" s="71"/>
      <c r="G48" s="71" t="s">
        <v>82</v>
      </c>
      <c r="H48" s="71"/>
      <c r="I48" s="71" t="s">
        <v>83</v>
      </c>
      <c r="J48" s="160" t="s">
        <v>57</v>
      </c>
      <c r="K48" s="139">
        <v>4</v>
      </c>
      <c r="L48" s="91"/>
    </row>
    <row r="49" spans="1:12" ht="13" customHeight="1" thickBot="1" x14ac:dyDescent="0.25">
      <c r="A49" s="90"/>
      <c r="B49" s="159"/>
      <c r="C49" s="87" t="str">
        <f t="shared" ref="C49:I49" si="23">IF(ISBLANK(C48),"",VLOOKUP(C48,$B$106:$L$142,11,0))</f>
        <v>06H00-14H30</v>
      </c>
      <c r="D49" s="87" t="str">
        <f t="shared" si="23"/>
        <v>09H00-17H30</v>
      </c>
      <c r="E49" s="87" t="str">
        <f t="shared" si="23"/>
        <v>14H30-23H00</v>
      </c>
      <c r="F49" s="87" t="str">
        <f t="shared" si="23"/>
        <v/>
      </c>
      <c r="G49" s="87" t="str">
        <f t="shared" si="23"/>
        <v>06H00-14H30</v>
      </c>
      <c r="H49" s="87" t="str">
        <f t="shared" si="23"/>
        <v/>
      </c>
      <c r="I49" s="87" t="str">
        <f t="shared" si="23"/>
        <v>09H00-17H30</v>
      </c>
      <c r="J49" s="161" t="s">
        <v>57</v>
      </c>
      <c r="K49" s="139"/>
      <c r="L49" s="91"/>
    </row>
    <row r="50" spans="1:12" s="39" customFormat="1" ht="13" customHeight="1" thickTop="1" x14ac:dyDescent="0.2">
      <c r="A50" s="74">
        <f>7-(COUNTIF(C50:I50,"")+COUNTIF(C50:I50,$B$140))</f>
        <v>5</v>
      </c>
      <c r="B50" s="164" t="s">
        <v>17</v>
      </c>
      <c r="C50" s="71" t="s">
        <v>123</v>
      </c>
      <c r="D50" s="71"/>
      <c r="E50" s="71" t="s">
        <v>80</v>
      </c>
      <c r="F50" s="71" t="s">
        <v>137</v>
      </c>
      <c r="G50" s="71"/>
      <c r="H50" s="71" t="s">
        <v>82</v>
      </c>
      <c r="I50" s="71" t="s">
        <v>84</v>
      </c>
      <c r="J50" s="160" t="s">
        <v>56</v>
      </c>
      <c r="K50" s="139">
        <v>5</v>
      </c>
      <c r="L50" s="91"/>
    </row>
    <row r="51" spans="1:12" ht="13" customHeight="1" thickBot="1" x14ac:dyDescent="0.25">
      <c r="A51" s="90"/>
      <c r="B51" s="165"/>
      <c r="C51" s="87" t="str">
        <f t="shared" ref="C51:I51" si="24">IF(ISBLANK(C50),"",VLOOKUP(C50,$B$106:$L$142,11,0))</f>
        <v>14H30-23H00</v>
      </c>
      <c r="D51" s="87" t="str">
        <f t="shared" si="24"/>
        <v/>
      </c>
      <c r="E51" s="87" t="str">
        <f t="shared" si="24"/>
        <v>06H00-14H30</v>
      </c>
      <c r="F51" s="87" t="str">
        <f t="shared" si="24"/>
        <v>06H00-14H30</v>
      </c>
      <c r="G51" s="87" t="str">
        <f t="shared" si="24"/>
        <v/>
      </c>
      <c r="H51" s="87" t="str">
        <f t="shared" si="24"/>
        <v>06H00-14H30</v>
      </c>
      <c r="I51" s="87" t="str">
        <f t="shared" si="24"/>
        <v>13H30-22H00</v>
      </c>
      <c r="J51" s="161" t="s">
        <v>57</v>
      </c>
      <c r="K51" s="139"/>
      <c r="L51" s="91"/>
    </row>
    <row r="52" spans="1:12" s="39" customFormat="1" ht="13" customHeight="1" thickTop="1" x14ac:dyDescent="0.2">
      <c r="A52" s="74">
        <f>7-(COUNTIF(C52:I52,"")+COUNTIF(C52:I52,$B$140))</f>
        <v>5</v>
      </c>
      <c r="B52" s="158" t="s">
        <v>127</v>
      </c>
      <c r="C52" s="71" t="s">
        <v>82</v>
      </c>
      <c r="D52" s="71" t="s">
        <v>95</v>
      </c>
      <c r="E52" s="71" t="s">
        <v>95</v>
      </c>
      <c r="F52" s="71" t="s">
        <v>83</v>
      </c>
      <c r="G52" s="71" t="s">
        <v>80</v>
      </c>
      <c r="H52" s="71" t="s">
        <v>93</v>
      </c>
      <c r="I52" s="71" t="s">
        <v>123</v>
      </c>
      <c r="J52" s="160" t="s">
        <v>130</v>
      </c>
      <c r="K52" s="139">
        <v>4</v>
      </c>
      <c r="L52" s="91"/>
    </row>
    <row r="53" spans="1:12" s="39" customFormat="1" ht="13" customHeight="1" thickBot="1" x14ac:dyDescent="0.25">
      <c r="A53" s="90"/>
      <c r="B53" s="159"/>
      <c r="C53" s="87" t="str">
        <f t="shared" ref="C53:I53" si="25">IF(ISBLANK(C52),"",VLOOKUP(C52,$B$106:$L$142,11,0))</f>
        <v>06H00-14H30</v>
      </c>
      <c r="D53" s="87">
        <f t="shared" si="25"/>
        <v>0</v>
      </c>
      <c r="E53" s="87">
        <f t="shared" si="25"/>
        <v>0</v>
      </c>
      <c r="F53" s="87" t="str">
        <f t="shared" si="25"/>
        <v>09H00-17H30</v>
      </c>
      <c r="G53" s="87" t="str">
        <f t="shared" si="25"/>
        <v>06H00-14H30</v>
      </c>
      <c r="H53" s="87" t="str">
        <f t="shared" si="25"/>
        <v>06H00-14H30</v>
      </c>
      <c r="I53" s="87" t="str">
        <f t="shared" si="25"/>
        <v>14H30-23H00</v>
      </c>
      <c r="J53" s="161" t="s">
        <v>45</v>
      </c>
      <c r="K53" s="139"/>
      <c r="L53" s="91"/>
    </row>
    <row r="54" spans="1:12" s="39" customFormat="1" ht="13" customHeight="1" thickTop="1" x14ac:dyDescent="0.2">
      <c r="A54" s="74">
        <f>7-(COUNTIF(C54:I54,"")+COUNTIF(C54:I54,$B$140))</f>
        <v>4</v>
      </c>
      <c r="B54" s="164" t="s">
        <v>18</v>
      </c>
      <c r="C54" s="71"/>
      <c r="D54" s="71" t="s">
        <v>153</v>
      </c>
      <c r="E54" s="71"/>
      <c r="F54" s="71" t="s">
        <v>110</v>
      </c>
      <c r="G54" s="71"/>
      <c r="H54" s="71" t="s">
        <v>139</v>
      </c>
      <c r="I54" s="71" t="s">
        <v>149</v>
      </c>
      <c r="J54" s="160" t="s">
        <v>58</v>
      </c>
      <c r="K54" s="139">
        <v>4</v>
      </c>
      <c r="L54" s="91"/>
    </row>
    <row r="55" spans="1:12" s="39" customFormat="1" ht="13" customHeight="1" thickBot="1" x14ac:dyDescent="0.25">
      <c r="A55" s="90"/>
      <c r="B55" s="165"/>
      <c r="C55" s="87" t="str">
        <f t="shared" ref="C55:I55" si="26">IF(ISBLANK(C54),"",VLOOKUP(C54,$B$106:$L$142,11,0))</f>
        <v/>
      </c>
      <c r="D55" s="87" t="str">
        <f t="shared" si="26"/>
        <v>22H00-06H30</v>
      </c>
      <c r="E55" s="87" t="str">
        <f t="shared" si="26"/>
        <v/>
      </c>
      <c r="F55" s="87" t="str">
        <f t="shared" si="26"/>
        <v>21H45-06H15</v>
      </c>
      <c r="G55" s="87" t="str">
        <f t="shared" si="26"/>
        <v/>
      </c>
      <c r="H55" s="87" t="str">
        <f t="shared" si="26"/>
        <v>14H00-22H30</v>
      </c>
      <c r="I55" s="87" t="str">
        <f t="shared" si="26"/>
        <v>09H00-17H30</v>
      </c>
      <c r="J55" s="161" t="s">
        <v>59</v>
      </c>
      <c r="K55" s="139"/>
      <c r="L55" s="91"/>
    </row>
    <row r="56" spans="1:12" s="39" customFormat="1" ht="13" customHeight="1" thickTop="1" x14ac:dyDescent="0.2">
      <c r="A56" s="74">
        <f>7-(COUNTIF(C56:I56,"")+COUNTIF(C56:I56,$B$140))</f>
        <v>5</v>
      </c>
      <c r="B56" s="158" t="s">
        <v>19</v>
      </c>
      <c r="C56" s="71"/>
      <c r="D56" s="71" t="s">
        <v>139</v>
      </c>
      <c r="E56" s="71" t="s">
        <v>84</v>
      </c>
      <c r="F56" s="71"/>
      <c r="G56" s="71" t="s">
        <v>83</v>
      </c>
      <c r="H56" s="71" t="s">
        <v>91</v>
      </c>
      <c r="I56" s="71" t="s">
        <v>122</v>
      </c>
      <c r="J56" s="160" t="s">
        <v>59</v>
      </c>
      <c r="K56" s="139">
        <v>5</v>
      </c>
      <c r="L56" s="91"/>
    </row>
    <row r="57" spans="1:12" s="39" customFormat="1" ht="13" customHeight="1" thickBot="1" x14ac:dyDescent="0.25">
      <c r="A57" s="90"/>
      <c r="B57" s="159"/>
      <c r="C57" s="87" t="str">
        <f t="shared" ref="C57:I57" si="27">IF(ISBLANK(C56),"",VLOOKUP(C56,$B$106:$L$142,11,0))</f>
        <v/>
      </c>
      <c r="D57" s="87" t="str">
        <f t="shared" si="27"/>
        <v>14H00-22H30</v>
      </c>
      <c r="E57" s="87" t="str">
        <f t="shared" si="27"/>
        <v>13H30-22H00</v>
      </c>
      <c r="F57" s="87" t="str">
        <f t="shared" si="27"/>
        <v/>
      </c>
      <c r="G57" s="87" t="str">
        <f t="shared" si="27"/>
        <v>09H00-17H30</v>
      </c>
      <c r="H57" s="87" t="str">
        <f t="shared" si="27"/>
        <v>06H00-14H30</v>
      </c>
      <c r="I57" s="87" t="str">
        <f t="shared" si="27"/>
        <v>06H00-14H30</v>
      </c>
      <c r="J57" s="161" t="s">
        <v>60</v>
      </c>
      <c r="K57" s="139"/>
      <c r="L57" s="91"/>
    </row>
    <row r="58" spans="1:12" s="39" customFormat="1" ht="13" customHeight="1" thickTop="1" x14ac:dyDescent="0.2">
      <c r="A58" s="74">
        <f>7-(COUNTIF(C58:I58,"")+COUNTIF(C58:I58,$B$140))</f>
        <v>5</v>
      </c>
      <c r="B58" s="158" t="s">
        <v>20</v>
      </c>
      <c r="C58" s="71" t="s">
        <v>84</v>
      </c>
      <c r="D58" s="71" t="s">
        <v>150</v>
      </c>
      <c r="E58" s="86" t="s">
        <v>40</v>
      </c>
      <c r="F58" s="86" t="s">
        <v>40</v>
      </c>
      <c r="G58" s="86" t="s">
        <v>40</v>
      </c>
      <c r="H58" s="71" t="s">
        <v>95</v>
      </c>
      <c r="I58" s="71" t="s">
        <v>95</v>
      </c>
      <c r="J58" s="160" t="s">
        <v>60</v>
      </c>
      <c r="K58" s="139">
        <v>4</v>
      </c>
      <c r="L58" s="91"/>
    </row>
    <row r="59" spans="1:12" s="39" customFormat="1" ht="13" customHeight="1" thickBot="1" x14ac:dyDescent="0.25">
      <c r="A59" s="90"/>
      <c r="B59" s="151"/>
      <c r="C59" s="88" t="str">
        <f t="shared" ref="C59:I59" si="28">IF(ISBLANK(C58),"",VLOOKUP(C58,$B$106:$L$142,11,0))</f>
        <v>13H30-22H00</v>
      </c>
      <c r="D59" s="88" t="str">
        <f t="shared" si="28"/>
        <v>09H00-17H30</v>
      </c>
      <c r="E59" s="88">
        <f t="shared" si="28"/>
        <v>0</v>
      </c>
      <c r="F59" s="88">
        <f t="shared" si="28"/>
        <v>0</v>
      </c>
      <c r="G59" s="88">
        <f t="shared" si="28"/>
        <v>0</v>
      </c>
      <c r="H59" s="88">
        <f t="shared" si="28"/>
        <v>0</v>
      </c>
      <c r="I59" s="88">
        <f t="shared" si="28"/>
        <v>0</v>
      </c>
      <c r="J59" s="153" t="s">
        <v>61</v>
      </c>
      <c r="K59" s="139"/>
      <c r="L59" s="91"/>
    </row>
    <row r="60" spans="1:12" ht="13" customHeight="1" thickTop="1" x14ac:dyDescent="0.2">
      <c r="A60" s="74">
        <f>7-(COUNTIF(C60:I60,"")+COUNTIF(C60:I60,$B$140))</f>
        <v>5</v>
      </c>
      <c r="B60" s="164" t="s">
        <v>133</v>
      </c>
      <c r="C60" s="71" t="s">
        <v>139</v>
      </c>
      <c r="D60" s="71"/>
      <c r="E60" s="71" t="s">
        <v>150</v>
      </c>
      <c r="F60" s="71"/>
      <c r="G60" s="71" t="s">
        <v>90</v>
      </c>
      <c r="H60" s="71" t="s">
        <v>80</v>
      </c>
      <c r="I60" s="71" t="s">
        <v>84</v>
      </c>
      <c r="J60" s="160" t="s">
        <v>134</v>
      </c>
      <c r="K60" s="139">
        <v>4</v>
      </c>
      <c r="L60" s="91"/>
    </row>
    <row r="61" spans="1:12" ht="13" customHeight="1" thickBot="1" x14ac:dyDescent="0.25">
      <c r="A61" s="90"/>
      <c r="B61" s="165"/>
      <c r="C61" s="87" t="str">
        <f t="shared" ref="C61:I61" si="29">IF(ISBLANK(C60),"",VLOOKUP(C60,$B$106:$L$142,11,0))</f>
        <v>14H00-22H30</v>
      </c>
      <c r="D61" s="87" t="str">
        <f t="shared" si="29"/>
        <v/>
      </c>
      <c r="E61" s="87" t="str">
        <f t="shared" si="29"/>
        <v>09H00-17H30</v>
      </c>
      <c r="F61" s="87" t="str">
        <f t="shared" si="29"/>
        <v/>
      </c>
      <c r="G61" s="87" t="str">
        <f t="shared" si="29"/>
        <v>06H00-14H30</v>
      </c>
      <c r="H61" s="87" t="str">
        <f t="shared" si="29"/>
        <v>06H00-14H30</v>
      </c>
      <c r="I61" s="87" t="str">
        <f t="shared" si="29"/>
        <v>13H30-22H00</v>
      </c>
      <c r="J61" s="161"/>
      <c r="K61" s="139"/>
      <c r="L61" s="91"/>
    </row>
    <row r="62" spans="1:12" s="39" customFormat="1" ht="13" customHeight="1" thickTop="1" x14ac:dyDescent="0.2">
      <c r="A62" s="74">
        <f>7-(COUNTIF(C62:I62,"")+COUNTIF(C62:I62,$B$140))</f>
        <v>5</v>
      </c>
      <c r="B62" s="158" t="s">
        <v>21</v>
      </c>
      <c r="C62" s="71" t="s">
        <v>82</v>
      </c>
      <c r="D62" s="71" t="s">
        <v>149</v>
      </c>
      <c r="E62" s="71" t="s">
        <v>81</v>
      </c>
      <c r="F62" s="71"/>
      <c r="G62" s="71" t="s">
        <v>137</v>
      </c>
      <c r="H62" s="71" t="s">
        <v>84</v>
      </c>
      <c r="I62" s="71" t="s">
        <v>95</v>
      </c>
      <c r="J62" s="160" t="s">
        <v>61</v>
      </c>
      <c r="K62" s="139">
        <v>5</v>
      </c>
      <c r="L62" s="91"/>
    </row>
    <row r="63" spans="1:12" s="39" customFormat="1" ht="13" customHeight="1" thickBot="1" x14ac:dyDescent="0.25">
      <c r="A63" s="90"/>
      <c r="B63" s="159"/>
      <c r="C63" s="87" t="str">
        <f t="shared" ref="C63:I63" si="30">IF(ISBLANK(C62),"",VLOOKUP(C62,$B$106:$L$142,11,0))</f>
        <v>06H00-14H30</v>
      </c>
      <c r="D63" s="87" t="str">
        <f t="shared" si="30"/>
        <v>09H00-17H30</v>
      </c>
      <c r="E63" s="87" t="str">
        <f t="shared" si="30"/>
        <v>14H30-23H00</v>
      </c>
      <c r="F63" s="87" t="str">
        <f t="shared" si="30"/>
        <v/>
      </c>
      <c r="G63" s="87" t="str">
        <f t="shared" si="30"/>
        <v>06H00-14H30</v>
      </c>
      <c r="H63" s="87" t="str">
        <f t="shared" si="30"/>
        <v>13H30-22H00</v>
      </c>
      <c r="I63" s="87">
        <f t="shared" si="30"/>
        <v>0</v>
      </c>
      <c r="J63" s="161" t="s">
        <v>62</v>
      </c>
      <c r="K63" s="139"/>
      <c r="L63" s="91"/>
    </row>
    <row r="64" spans="1:12" s="39" customFormat="1" ht="13" customHeight="1" thickTop="1" x14ac:dyDescent="0.2">
      <c r="A64" s="74">
        <f>7-(COUNTIF(C64:I64,"")+COUNTIF(C64:I64,$B$140))</f>
        <v>5</v>
      </c>
      <c r="B64" s="164" t="s">
        <v>131</v>
      </c>
      <c r="C64" s="88" t="s">
        <v>150</v>
      </c>
      <c r="D64" s="71" t="s">
        <v>80</v>
      </c>
      <c r="E64" s="71"/>
      <c r="F64" s="71" t="s">
        <v>123</v>
      </c>
      <c r="G64" s="71" t="s">
        <v>84</v>
      </c>
      <c r="H64" s="71"/>
      <c r="I64" s="71" t="s">
        <v>93</v>
      </c>
      <c r="J64" s="160" t="s">
        <v>129</v>
      </c>
      <c r="K64" s="139">
        <v>4</v>
      </c>
      <c r="L64" s="91"/>
    </row>
    <row r="65" spans="1:12" s="39" customFormat="1" ht="13" customHeight="1" thickBot="1" x14ac:dyDescent="0.25">
      <c r="A65" s="90"/>
      <c r="B65" s="165"/>
      <c r="C65" s="87" t="str">
        <f t="shared" ref="C65:I65" si="31">IF(ISBLANK(C64),"",VLOOKUP(C64,$B$106:$L$142,11,0))</f>
        <v>09H00-17H30</v>
      </c>
      <c r="D65" s="87" t="str">
        <f t="shared" si="31"/>
        <v>06H00-14H30</v>
      </c>
      <c r="E65" s="87" t="str">
        <f t="shared" si="31"/>
        <v/>
      </c>
      <c r="F65" s="87" t="str">
        <f t="shared" si="31"/>
        <v>14H30-23H00</v>
      </c>
      <c r="G65" s="87" t="str">
        <f t="shared" si="31"/>
        <v>13H30-22H00</v>
      </c>
      <c r="H65" s="87" t="str">
        <f t="shared" si="31"/>
        <v/>
      </c>
      <c r="I65" s="87" t="str">
        <f t="shared" si="31"/>
        <v>06H00-14H30</v>
      </c>
      <c r="J65" s="161" t="s">
        <v>66</v>
      </c>
      <c r="K65" s="139"/>
      <c r="L65" s="91"/>
    </row>
    <row r="66" spans="1:12" s="39" customFormat="1" ht="13" customHeight="1" thickTop="1" x14ac:dyDescent="0.2">
      <c r="A66" s="74">
        <f>7-(COUNTIF(C66:I66,"")+COUNTIF(C66:I66,$B$140))</f>
        <v>5</v>
      </c>
      <c r="B66" s="158" t="s">
        <v>124</v>
      </c>
      <c r="C66" s="71"/>
      <c r="D66" s="71" t="s">
        <v>93</v>
      </c>
      <c r="E66" s="71" t="s">
        <v>85</v>
      </c>
      <c r="F66" s="71" t="s">
        <v>84</v>
      </c>
      <c r="G66" s="71"/>
      <c r="H66" s="71" t="s">
        <v>90</v>
      </c>
      <c r="I66" s="71" t="s">
        <v>150</v>
      </c>
      <c r="J66" s="160" t="s">
        <v>77</v>
      </c>
      <c r="K66" s="139">
        <v>4</v>
      </c>
      <c r="L66" s="91"/>
    </row>
    <row r="67" spans="1:12" s="39" customFormat="1" ht="13" customHeight="1" thickBot="1" x14ac:dyDescent="0.25">
      <c r="A67" s="90"/>
      <c r="B67" s="159"/>
      <c r="C67" s="87" t="str">
        <f t="shared" ref="C67:I67" si="32">IF(ISBLANK(C66),"",VLOOKUP(C66,$B$106:$L$142,11,0))</f>
        <v/>
      </c>
      <c r="D67" s="87" t="str">
        <f t="shared" si="32"/>
        <v>06H00-14H30</v>
      </c>
      <c r="E67" s="87" t="str">
        <f t="shared" si="32"/>
        <v>14H30-23H00</v>
      </c>
      <c r="F67" s="87" t="str">
        <f t="shared" si="32"/>
        <v>13H30-22H00</v>
      </c>
      <c r="G67" s="87" t="str">
        <f t="shared" si="32"/>
        <v/>
      </c>
      <c r="H67" s="87" t="str">
        <f t="shared" si="32"/>
        <v>06H00-14H30</v>
      </c>
      <c r="I67" s="87" t="str">
        <f t="shared" si="32"/>
        <v>09H00-17H30</v>
      </c>
      <c r="J67" s="161" t="s">
        <v>78</v>
      </c>
      <c r="K67" s="139"/>
      <c r="L67" s="91"/>
    </row>
    <row r="68" spans="1:12" s="39" customFormat="1" ht="13" customHeight="1" thickTop="1" x14ac:dyDescent="0.2">
      <c r="A68" s="74">
        <f>7-(COUNTIF(C68:I68,"")+COUNTIF(C68:I68,$B$140))</f>
        <v>5</v>
      </c>
      <c r="B68" s="151" t="s">
        <v>146</v>
      </c>
      <c r="C68" s="71"/>
      <c r="D68" s="71" t="s">
        <v>85</v>
      </c>
      <c r="E68" s="71" t="s">
        <v>84</v>
      </c>
      <c r="F68" s="71" t="s">
        <v>150</v>
      </c>
      <c r="G68" s="71"/>
      <c r="H68" s="71" t="s">
        <v>122</v>
      </c>
      <c r="I68" s="71" t="s">
        <v>91</v>
      </c>
      <c r="J68" s="160" t="s">
        <v>65</v>
      </c>
      <c r="K68" s="139">
        <v>4</v>
      </c>
      <c r="L68" s="91"/>
    </row>
    <row r="69" spans="1:12" s="39" customFormat="1" ht="13" customHeight="1" thickBot="1" x14ac:dyDescent="0.25">
      <c r="A69" s="74"/>
      <c r="B69" s="167"/>
      <c r="C69" s="87" t="str">
        <f t="shared" ref="C69:I69" si="33">IF(ISBLANK(C68),"",VLOOKUP(C68,$B$106:$L$142,11,0))</f>
        <v/>
      </c>
      <c r="D69" s="87" t="str">
        <f t="shared" si="33"/>
        <v>14H30-23H00</v>
      </c>
      <c r="E69" s="87" t="str">
        <f t="shared" si="33"/>
        <v>13H30-22H00</v>
      </c>
      <c r="F69" s="87" t="str">
        <f t="shared" si="33"/>
        <v>09H00-17H30</v>
      </c>
      <c r="G69" s="87" t="str">
        <f t="shared" si="33"/>
        <v/>
      </c>
      <c r="H69" s="87" t="str">
        <f t="shared" si="33"/>
        <v>06H00-14H30</v>
      </c>
      <c r="I69" s="87" t="str">
        <f t="shared" si="33"/>
        <v>06H00-14H30</v>
      </c>
      <c r="J69" s="161" t="s">
        <v>66</v>
      </c>
      <c r="K69" s="139"/>
      <c r="L69" s="91"/>
    </row>
    <row r="70" spans="1:12" s="39" customFormat="1" ht="13" customHeight="1" thickTop="1" x14ac:dyDescent="0.2">
      <c r="A70" s="74">
        <f>7-(COUNTIF(C70:I70,"")+COUNTIF(C70:I70,$B$140))</f>
        <v>5</v>
      </c>
      <c r="B70" s="158" t="s">
        <v>104</v>
      </c>
      <c r="C70" s="71" t="s">
        <v>149</v>
      </c>
      <c r="D70" s="71" t="s">
        <v>82</v>
      </c>
      <c r="E70" s="71"/>
      <c r="F70" s="71" t="s">
        <v>92</v>
      </c>
      <c r="G70" s="71" t="s">
        <v>150</v>
      </c>
      <c r="H70" s="71"/>
      <c r="I70" s="71" t="s">
        <v>85</v>
      </c>
      <c r="J70" s="160" t="s">
        <v>66</v>
      </c>
      <c r="K70" s="139">
        <v>5</v>
      </c>
      <c r="L70" s="91"/>
    </row>
    <row r="71" spans="1:12" s="39" customFormat="1" ht="13" customHeight="1" thickBot="1" x14ac:dyDescent="0.25">
      <c r="A71" s="90"/>
      <c r="B71" s="159"/>
      <c r="C71" s="87" t="str">
        <f t="shared" ref="C71:I71" si="34">IF(ISBLANK(C70),"",VLOOKUP(C70,$B$106:$L$142,11,0))</f>
        <v>09H00-17H30</v>
      </c>
      <c r="D71" s="87" t="str">
        <f t="shared" si="34"/>
        <v>06H00-14H30</v>
      </c>
      <c r="E71" s="87" t="str">
        <f t="shared" si="34"/>
        <v/>
      </c>
      <c r="F71" s="87" t="str">
        <f t="shared" si="34"/>
        <v>10H00-18H30</v>
      </c>
      <c r="G71" s="87" t="str">
        <f t="shared" si="34"/>
        <v>09H00-17H30</v>
      </c>
      <c r="H71" s="87" t="str">
        <f t="shared" si="34"/>
        <v/>
      </c>
      <c r="I71" s="87" t="str">
        <f t="shared" si="34"/>
        <v>14H30-23H00</v>
      </c>
      <c r="J71" s="161" t="s">
        <v>67</v>
      </c>
      <c r="K71" s="139"/>
      <c r="L71" s="91"/>
    </row>
    <row r="72" spans="1:12" s="39" customFormat="1" ht="13" customHeight="1" thickTop="1" x14ac:dyDescent="0.2">
      <c r="A72" s="74">
        <f>7-(COUNTIF(C72:I72,"")+COUNTIF(C72:I72,$B$140))</f>
        <v>5</v>
      </c>
      <c r="B72" s="162" t="s">
        <v>23</v>
      </c>
      <c r="C72" s="86"/>
      <c r="D72" s="71" t="s">
        <v>167</v>
      </c>
      <c r="E72" s="71" t="s">
        <v>137</v>
      </c>
      <c r="F72" s="71" t="s">
        <v>81</v>
      </c>
      <c r="G72" s="71"/>
      <c r="H72" s="71" t="s">
        <v>150</v>
      </c>
      <c r="I72" s="71" t="s">
        <v>82</v>
      </c>
      <c r="J72" s="160" t="s">
        <v>68</v>
      </c>
      <c r="K72" s="139">
        <v>5</v>
      </c>
      <c r="L72" s="91"/>
    </row>
    <row r="73" spans="1:12" s="39" customFormat="1" ht="13" customHeight="1" thickBot="1" x14ac:dyDescent="0.25">
      <c r="A73" s="90"/>
      <c r="B73" s="163"/>
      <c r="C73" s="87" t="str">
        <f t="shared" ref="C73:I73" si="35">IF(ISBLANK(C72),"",VLOOKUP(C72,$B$106:$L$142,11,0))</f>
        <v/>
      </c>
      <c r="D73" s="87" t="str">
        <f t="shared" si="35"/>
        <v>08H00-16H30</v>
      </c>
      <c r="E73" s="87" t="str">
        <f t="shared" si="35"/>
        <v>06H00-14H30</v>
      </c>
      <c r="F73" s="87" t="str">
        <f t="shared" si="35"/>
        <v>14H30-23H00</v>
      </c>
      <c r="G73" s="87" t="str">
        <f t="shared" si="35"/>
        <v/>
      </c>
      <c r="H73" s="87" t="str">
        <f t="shared" si="35"/>
        <v>09H00-17H30</v>
      </c>
      <c r="I73" s="87" t="str">
        <f t="shared" si="35"/>
        <v>06H00-14H30</v>
      </c>
      <c r="J73" s="161" t="s">
        <v>69</v>
      </c>
      <c r="K73" s="139"/>
      <c r="L73" s="91"/>
    </row>
    <row r="74" spans="1:12" s="39" customFormat="1" ht="13" customHeight="1" thickTop="1" x14ac:dyDescent="0.2">
      <c r="A74" s="74">
        <f>7-(COUNTIF(C74:I74,"")+COUNTIF(C74:I74,$B$140))</f>
        <v>4</v>
      </c>
      <c r="B74" s="164" t="s">
        <v>120</v>
      </c>
      <c r="C74" s="86" t="s">
        <v>91</v>
      </c>
      <c r="D74" s="71" t="s">
        <v>122</v>
      </c>
      <c r="E74" s="71"/>
      <c r="F74" s="71"/>
      <c r="G74" s="71" t="s">
        <v>85</v>
      </c>
      <c r="H74" s="71" t="s">
        <v>92</v>
      </c>
      <c r="I74" s="71"/>
      <c r="J74" s="160" t="s">
        <v>121</v>
      </c>
      <c r="K74" s="139">
        <v>4</v>
      </c>
      <c r="L74" s="91"/>
    </row>
    <row r="75" spans="1:12" s="39" customFormat="1" ht="13" customHeight="1" thickBot="1" x14ac:dyDescent="0.25">
      <c r="A75" s="90"/>
      <c r="B75" s="165"/>
      <c r="C75" s="87" t="str">
        <f t="shared" ref="C75:I75" si="36">IF(ISBLANK(C74),"",VLOOKUP(C74,$B$106:$L$142,11,0))</f>
        <v>06H00-14H30</v>
      </c>
      <c r="D75" s="87" t="str">
        <f t="shared" si="36"/>
        <v>06H00-14H30</v>
      </c>
      <c r="E75" s="87" t="str">
        <f t="shared" si="36"/>
        <v/>
      </c>
      <c r="F75" s="87" t="str">
        <f t="shared" si="36"/>
        <v/>
      </c>
      <c r="G75" s="87" t="str">
        <f t="shared" si="36"/>
        <v>14H30-23H00</v>
      </c>
      <c r="H75" s="87" t="str">
        <f t="shared" si="36"/>
        <v>10H00-18H30</v>
      </c>
      <c r="I75" s="87" t="str">
        <f t="shared" si="36"/>
        <v/>
      </c>
      <c r="J75" s="161" t="s">
        <v>63</v>
      </c>
      <c r="K75" s="139"/>
      <c r="L75" s="91"/>
    </row>
    <row r="76" spans="1:12" s="39" customFormat="1" ht="13" customHeight="1" thickTop="1" x14ac:dyDescent="0.2">
      <c r="A76" s="74">
        <f>7-(COUNTIF(C76:I76,"")+COUNTIF(C76:I76,$B$140))</f>
        <v>5</v>
      </c>
      <c r="B76" s="158" t="s">
        <v>113</v>
      </c>
      <c r="C76" s="71" t="s">
        <v>31</v>
      </c>
      <c r="D76" s="71"/>
      <c r="E76" s="71" t="s">
        <v>84</v>
      </c>
      <c r="F76" s="71" t="s">
        <v>85</v>
      </c>
      <c r="G76" s="71"/>
      <c r="H76" s="71" t="s">
        <v>122</v>
      </c>
      <c r="I76" s="71" t="s">
        <v>80</v>
      </c>
      <c r="J76" s="160" t="s">
        <v>45</v>
      </c>
      <c r="K76" s="139">
        <v>5</v>
      </c>
      <c r="L76" s="91"/>
    </row>
    <row r="77" spans="1:12" s="39" customFormat="1" ht="13" customHeight="1" thickBot="1" x14ac:dyDescent="0.25">
      <c r="A77" s="90"/>
      <c r="B77" s="167"/>
      <c r="C77" s="87" t="str">
        <f t="shared" ref="C77:I77" si="37">IF(ISBLANK(C76),"",VLOOKUP(C76,$B$106:$L$142,11,0))</f>
        <v>06H00-14H30</v>
      </c>
      <c r="D77" s="87" t="str">
        <f t="shared" si="37"/>
        <v/>
      </c>
      <c r="E77" s="87" t="str">
        <f t="shared" si="37"/>
        <v>13H30-22H00</v>
      </c>
      <c r="F77" s="87" t="str">
        <f t="shared" si="37"/>
        <v>14H30-23H00</v>
      </c>
      <c r="G77" s="87" t="str">
        <f t="shared" si="37"/>
        <v/>
      </c>
      <c r="H77" s="87" t="str">
        <f t="shared" si="37"/>
        <v>06H00-14H30</v>
      </c>
      <c r="I77" s="87" t="str">
        <f t="shared" si="37"/>
        <v>06H00-14H30</v>
      </c>
      <c r="J77" s="161" t="s">
        <v>44</v>
      </c>
      <c r="K77" s="139"/>
      <c r="L77" s="91"/>
    </row>
    <row r="78" spans="1:12" s="39" customFormat="1" ht="13" customHeight="1" thickTop="1" x14ac:dyDescent="0.2">
      <c r="A78" s="74">
        <f>7-(COUNTIF(C78:I78,"")+COUNTIF(C78:I78,$B$140))</f>
        <v>5</v>
      </c>
      <c r="B78" s="213" t="s">
        <v>25</v>
      </c>
      <c r="C78" s="71" t="s">
        <v>122</v>
      </c>
      <c r="D78" s="71"/>
      <c r="E78" s="71" t="s">
        <v>152</v>
      </c>
      <c r="F78" s="71" t="s">
        <v>31</v>
      </c>
      <c r="G78" s="71"/>
      <c r="H78" s="71" t="s">
        <v>79</v>
      </c>
      <c r="I78" s="71" t="s">
        <v>139</v>
      </c>
      <c r="J78" s="160" t="s">
        <v>70</v>
      </c>
      <c r="K78" s="139">
        <v>5</v>
      </c>
      <c r="L78" s="91"/>
    </row>
    <row r="79" spans="1:12" s="39" customFormat="1" ht="13" customHeight="1" thickBot="1" x14ac:dyDescent="0.25">
      <c r="A79" s="90"/>
      <c r="B79" s="214"/>
      <c r="C79" s="88" t="str">
        <f t="shared" ref="C79:I79" si="38">IF(ISBLANK(C78),"",VLOOKUP(C78,$B$106:$L$142,11,0))</f>
        <v>06H00-14H30</v>
      </c>
      <c r="D79" s="88" t="str">
        <f t="shared" si="38"/>
        <v/>
      </c>
      <c r="E79" s="88" t="str">
        <f t="shared" si="38"/>
        <v>08H30-17H00</v>
      </c>
      <c r="F79" s="88" t="str">
        <f t="shared" si="38"/>
        <v>06H00-14H30</v>
      </c>
      <c r="G79" s="88" t="str">
        <f t="shared" si="38"/>
        <v/>
      </c>
      <c r="H79" s="88" t="str">
        <f t="shared" si="38"/>
        <v>09H00-17H30</v>
      </c>
      <c r="I79" s="88" t="str">
        <f t="shared" si="38"/>
        <v>14H00-22H30</v>
      </c>
      <c r="J79" s="153" t="s">
        <v>71</v>
      </c>
      <c r="K79" s="139"/>
      <c r="L79" s="91"/>
    </row>
    <row r="80" spans="1:12" s="39" customFormat="1" ht="13" customHeight="1" thickTop="1" x14ac:dyDescent="0.2">
      <c r="A80" s="74">
        <f>7-(COUNTIF(C80:I80,"")+COUNTIF(C80:I80,$B$140))</f>
        <v>5</v>
      </c>
      <c r="B80" s="158" t="s">
        <v>105</v>
      </c>
      <c r="C80" s="86"/>
      <c r="D80" s="71" t="s">
        <v>90</v>
      </c>
      <c r="E80" s="71" t="s">
        <v>82</v>
      </c>
      <c r="F80" s="71"/>
      <c r="G80" s="71" t="s">
        <v>92</v>
      </c>
      <c r="H80" s="71" t="s">
        <v>149</v>
      </c>
      <c r="I80" s="71" t="s">
        <v>79</v>
      </c>
      <c r="J80" s="160" t="s">
        <v>71</v>
      </c>
      <c r="K80" s="139">
        <v>5</v>
      </c>
      <c r="L80" s="91"/>
    </row>
    <row r="81" spans="1:12" s="39" customFormat="1" ht="13" customHeight="1" thickBot="1" x14ac:dyDescent="0.25">
      <c r="A81" s="90"/>
      <c r="B81" s="159"/>
      <c r="C81" s="87" t="str">
        <f t="shared" ref="C81:I81" si="39">IF(ISBLANK(C80),"",VLOOKUP(C80,$B$106:$L$142,11,0))</f>
        <v/>
      </c>
      <c r="D81" s="87" t="str">
        <f t="shared" si="39"/>
        <v>06H00-14H30</v>
      </c>
      <c r="E81" s="87" t="str">
        <f t="shared" si="39"/>
        <v>06H00-14H30</v>
      </c>
      <c r="F81" s="87" t="str">
        <f t="shared" si="39"/>
        <v/>
      </c>
      <c r="G81" s="87" t="str">
        <f t="shared" si="39"/>
        <v>10H00-18H30</v>
      </c>
      <c r="H81" s="87" t="str">
        <f t="shared" si="39"/>
        <v>09H00-17H30</v>
      </c>
      <c r="I81" s="87" t="str">
        <f t="shared" si="39"/>
        <v>09H00-17H30</v>
      </c>
      <c r="J81" s="161" t="s">
        <v>72</v>
      </c>
      <c r="K81" s="139"/>
      <c r="L81" s="91"/>
    </row>
    <row r="82" spans="1:12" s="39" customFormat="1" ht="13" customHeight="1" thickTop="1" x14ac:dyDescent="0.2">
      <c r="A82" s="74">
        <f>7-(COUNTIF(C82:I82,"")+COUNTIF(C82:I82,$B$140))</f>
        <v>5</v>
      </c>
      <c r="B82" s="158" t="s">
        <v>143</v>
      </c>
      <c r="C82" s="71" t="s">
        <v>83</v>
      </c>
      <c r="D82" s="71"/>
      <c r="E82" s="71" t="s">
        <v>90</v>
      </c>
      <c r="F82" s="71" t="s">
        <v>82</v>
      </c>
      <c r="G82" s="71" t="s">
        <v>122</v>
      </c>
      <c r="H82" s="71" t="s">
        <v>85</v>
      </c>
      <c r="I82" s="71" t="s">
        <v>95</v>
      </c>
      <c r="J82" s="160" t="s">
        <v>142</v>
      </c>
      <c r="K82" s="139">
        <v>4</v>
      </c>
      <c r="L82" s="91"/>
    </row>
    <row r="83" spans="1:12" ht="13" customHeight="1" thickBot="1" x14ac:dyDescent="0.25">
      <c r="A83" s="94"/>
      <c r="B83" s="159"/>
      <c r="C83" s="87" t="str">
        <f t="shared" ref="C83:I83" si="40">IF(ISBLANK(C82),"",VLOOKUP(C82,$B$106:$L$142,11,0))</f>
        <v>09H00-17H30</v>
      </c>
      <c r="D83" s="87" t="str">
        <f t="shared" si="40"/>
        <v/>
      </c>
      <c r="E83" s="87" t="str">
        <f t="shared" si="40"/>
        <v>06H00-14H30</v>
      </c>
      <c r="F83" s="87" t="str">
        <f t="shared" si="40"/>
        <v>06H00-14H30</v>
      </c>
      <c r="G83" s="87" t="str">
        <f t="shared" si="40"/>
        <v>06H00-14H30</v>
      </c>
      <c r="H83" s="87" t="str">
        <f t="shared" si="40"/>
        <v>14H30-23H00</v>
      </c>
      <c r="I83" s="87">
        <f t="shared" si="40"/>
        <v>0</v>
      </c>
      <c r="J83" s="161" t="s">
        <v>57</v>
      </c>
      <c r="K83" s="139"/>
      <c r="L83" s="91"/>
    </row>
    <row r="84" spans="1:12" s="39" customFormat="1" ht="13" customHeight="1" thickTop="1" x14ac:dyDescent="0.2">
      <c r="A84" s="74">
        <f>7-(COUNTIF(C84:I84,"")+COUNTIF(C84:I84,$B$140))</f>
        <v>5</v>
      </c>
      <c r="B84" s="162" t="s">
        <v>26</v>
      </c>
      <c r="C84" s="86"/>
      <c r="D84" s="71" t="s">
        <v>79</v>
      </c>
      <c r="E84" s="71" t="s">
        <v>167</v>
      </c>
      <c r="F84" s="71" t="s">
        <v>167</v>
      </c>
      <c r="G84" s="71" t="s">
        <v>139</v>
      </c>
      <c r="H84" s="71"/>
      <c r="I84" s="71" t="s">
        <v>151</v>
      </c>
      <c r="J84" s="160" t="s">
        <v>72</v>
      </c>
      <c r="K84" s="139">
        <v>5</v>
      </c>
      <c r="L84" s="91"/>
    </row>
    <row r="85" spans="1:12" s="39" customFormat="1" ht="13" customHeight="1" thickBot="1" x14ac:dyDescent="0.25">
      <c r="A85" s="90"/>
      <c r="B85" s="163"/>
      <c r="C85" s="87" t="str">
        <f t="shared" ref="C85:I85" si="41">IF(ISBLANK(C84),"",VLOOKUP(C84,$B$106:$L$142,11,0))</f>
        <v/>
      </c>
      <c r="D85" s="87" t="str">
        <f t="shared" si="41"/>
        <v>09H00-17H30</v>
      </c>
      <c r="E85" s="87" t="str">
        <f t="shared" si="41"/>
        <v>08H00-16H30</v>
      </c>
      <c r="F85" s="87" t="str">
        <f t="shared" si="41"/>
        <v>08H00-16H30</v>
      </c>
      <c r="G85" s="87" t="str">
        <f t="shared" si="41"/>
        <v>14H00-22H30</v>
      </c>
      <c r="H85" s="87" t="str">
        <f t="shared" si="41"/>
        <v/>
      </c>
      <c r="I85" s="87" t="str">
        <f t="shared" si="41"/>
        <v>08H30-17H00</v>
      </c>
      <c r="J85" s="161" t="s">
        <v>73</v>
      </c>
      <c r="K85" s="139"/>
      <c r="L85" s="91"/>
    </row>
    <row r="86" spans="1:12" s="39" customFormat="1" ht="13" customHeight="1" thickTop="1" x14ac:dyDescent="0.2">
      <c r="A86" s="74">
        <f>7-(COUNTIF(C86:I86,"")+COUNTIF(C86:I86,$B$140))</f>
        <v>5</v>
      </c>
      <c r="B86" s="164" t="s">
        <v>27</v>
      </c>
      <c r="C86" s="71" t="s">
        <v>80</v>
      </c>
      <c r="D86" s="71" t="s">
        <v>82</v>
      </c>
      <c r="E86" s="71" t="s">
        <v>139</v>
      </c>
      <c r="F86" s="71"/>
      <c r="G86" s="71" t="s">
        <v>31</v>
      </c>
      <c r="H86" s="71"/>
      <c r="I86" s="71" t="s">
        <v>82</v>
      </c>
      <c r="J86" s="160" t="s">
        <v>74</v>
      </c>
      <c r="K86" s="139">
        <v>5</v>
      </c>
      <c r="L86" s="91"/>
    </row>
    <row r="87" spans="1:12" s="39" customFormat="1" ht="13" customHeight="1" thickBot="1" x14ac:dyDescent="0.25">
      <c r="A87" s="90"/>
      <c r="B87" s="165"/>
      <c r="C87" s="87" t="str">
        <f t="shared" ref="C87:I87" si="42">IF(ISBLANK(C86),"",VLOOKUP(C86,$B$106:$L$142,11,0))</f>
        <v>06H00-14H30</v>
      </c>
      <c r="D87" s="87" t="str">
        <f t="shared" si="42"/>
        <v>06H00-14H30</v>
      </c>
      <c r="E87" s="87" t="str">
        <f t="shared" si="42"/>
        <v>14H00-22H30</v>
      </c>
      <c r="F87" s="87" t="str">
        <f t="shared" si="42"/>
        <v/>
      </c>
      <c r="G87" s="87" t="str">
        <f t="shared" si="42"/>
        <v>06H00-14H30</v>
      </c>
      <c r="H87" s="87" t="str">
        <f t="shared" si="42"/>
        <v/>
      </c>
      <c r="I87" s="87" t="str">
        <f t="shared" si="42"/>
        <v>06H00-14H30</v>
      </c>
      <c r="J87" s="161" t="s">
        <v>75</v>
      </c>
      <c r="K87" s="139"/>
      <c r="L87" s="91"/>
    </row>
    <row r="88" spans="1:12" s="39" customFormat="1" ht="13" customHeight="1" thickTop="1" x14ac:dyDescent="0.2">
      <c r="A88" s="74">
        <f>7-(COUNTIF(C88:I88,"")+COUNTIF(C88:I88,$B$140))</f>
        <v>5</v>
      </c>
      <c r="B88" s="164" t="s">
        <v>115</v>
      </c>
      <c r="C88" s="71"/>
      <c r="D88" s="71" t="s">
        <v>81</v>
      </c>
      <c r="E88" s="71" t="s">
        <v>149</v>
      </c>
      <c r="F88" s="71" t="s">
        <v>93</v>
      </c>
      <c r="G88" s="71"/>
      <c r="H88" s="71" t="s">
        <v>82</v>
      </c>
      <c r="I88" s="71" t="s">
        <v>84</v>
      </c>
      <c r="J88" s="153" t="s">
        <v>63</v>
      </c>
      <c r="K88" s="139">
        <v>5</v>
      </c>
      <c r="L88" s="91"/>
    </row>
    <row r="89" spans="1:12" s="39" customFormat="1" ht="13" customHeight="1" thickBot="1" x14ac:dyDescent="0.25">
      <c r="A89" s="90"/>
      <c r="B89" s="177"/>
      <c r="C89" s="93" t="str">
        <f t="shared" ref="C89:I89" si="43">IF(ISBLANK(C88),"",VLOOKUP(C88,$B$106:$L$142,11,0))</f>
        <v/>
      </c>
      <c r="D89" s="93" t="str">
        <f t="shared" si="43"/>
        <v>14H30-23H00</v>
      </c>
      <c r="E89" s="93" t="str">
        <f t="shared" si="43"/>
        <v>09H00-17H30</v>
      </c>
      <c r="F89" s="93" t="str">
        <f t="shared" si="43"/>
        <v>06H00-14H30</v>
      </c>
      <c r="G89" s="93" t="str">
        <f t="shared" si="43"/>
        <v/>
      </c>
      <c r="H89" s="93" t="str">
        <f t="shared" si="43"/>
        <v>06H00-14H30</v>
      </c>
      <c r="I89" s="93" t="str">
        <f t="shared" si="43"/>
        <v>13H30-22H00</v>
      </c>
      <c r="J89" s="168"/>
      <c r="K89" s="139"/>
      <c r="L89" s="91"/>
    </row>
    <row r="90" spans="1:12" s="39" customFormat="1" ht="13" customHeight="1" thickTop="1" x14ac:dyDescent="0.2">
      <c r="A90" s="74">
        <f>7-(COUNTIF(C90:I90,"")+COUNTIF(C90:I90,$B$140))</f>
        <v>4</v>
      </c>
      <c r="B90" s="158" t="s">
        <v>148</v>
      </c>
      <c r="C90" s="71" t="s">
        <v>84</v>
      </c>
      <c r="D90" s="71"/>
      <c r="E90" s="71"/>
      <c r="F90" s="71" t="s">
        <v>84</v>
      </c>
      <c r="G90" s="71"/>
      <c r="H90" s="71" t="s">
        <v>84</v>
      </c>
      <c r="I90" s="71" t="s">
        <v>92</v>
      </c>
      <c r="J90" s="160" t="s">
        <v>144</v>
      </c>
      <c r="K90" s="139">
        <v>4</v>
      </c>
      <c r="L90" s="91"/>
    </row>
    <row r="91" spans="1:12" ht="13" customHeight="1" thickBot="1" x14ac:dyDescent="0.25">
      <c r="A91" s="94"/>
      <c r="B91" s="159"/>
      <c r="C91" s="87" t="str">
        <f t="shared" ref="C91:I91" si="44">IF(ISBLANK(C90),"",VLOOKUP(C90,$B$106:$L$142,11,0))</f>
        <v>13H30-22H00</v>
      </c>
      <c r="D91" s="87" t="str">
        <f t="shared" si="44"/>
        <v/>
      </c>
      <c r="E91" s="87" t="str">
        <f t="shared" si="44"/>
        <v/>
      </c>
      <c r="F91" s="87" t="str">
        <f t="shared" si="44"/>
        <v>13H30-22H00</v>
      </c>
      <c r="G91" s="87" t="str">
        <f t="shared" si="44"/>
        <v/>
      </c>
      <c r="H91" s="87" t="str">
        <f t="shared" si="44"/>
        <v>13H30-22H00</v>
      </c>
      <c r="I91" s="87" t="str">
        <f t="shared" si="44"/>
        <v>10H00-18H30</v>
      </c>
      <c r="J91" s="161" t="s">
        <v>57</v>
      </c>
      <c r="K91" s="139"/>
      <c r="L91" s="91"/>
    </row>
    <row r="92" spans="1:12" s="39" customFormat="1" ht="13" customHeight="1" thickTop="1" x14ac:dyDescent="0.2">
      <c r="A92" s="74">
        <f>7-(COUNTIF(C92:I92,"")+COUNTIF(C92:I92,$B$140))</f>
        <v>5</v>
      </c>
      <c r="B92" s="158" t="s">
        <v>147</v>
      </c>
      <c r="C92" s="71" t="s">
        <v>90</v>
      </c>
      <c r="D92" s="71" t="s">
        <v>84</v>
      </c>
      <c r="E92" s="71"/>
      <c r="F92" s="71" t="s">
        <v>82</v>
      </c>
      <c r="G92" s="71" t="s">
        <v>91</v>
      </c>
      <c r="H92" s="71" t="s">
        <v>81</v>
      </c>
      <c r="I92" s="71"/>
      <c r="J92" s="160" t="s">
        <v>145</v>
      </c>
      <c r="K92" s="139">
        <v>4</v>
      </c>
      <c r="L92" s="91"/>
    </row>
    <row r="93" spans="1:12" ht="13" customHeight="1" thickBot="1" x14ac:dyDescent="0.25">
      <c r="A93" s="94"/>
      <c r="B93" s="159"/>
      <c r="C93" s="87" t="str">
        <f t="shared" ref="C93:I93" si="45">IF(ISBLANK(C92),"",VLOOKUP(C92,$B$106:$L$142,11,0))</f>
        <v>06H00-14H30</v>
      </c>
      <c r="D93" s="87" t="str">
        <f t="shared" si="45"/>
        <v>13H30-22H00</v>
      </c>
      <c r="E93" s="87" t="str">
        <f t="shared" si="45"/>
        <v/>
      </c>
      <c r="F93" s="87" t="str">
        <f t="shared" si="45"/>
        <v>06H00-14H30</v>
      </c>
      <c r="G93" s="87" t="str">
        <f t="shared" si="45"/>
        <v>06H00-14H30</v>
      </c>
      <c r="H93" s="87" t="str">
        <f t="shared" si="45"/>
        <v>14H30-23H00</v>
      </c>
      <c r="I93" s="87" t="str">
        <f t="shared" si="45"/>
        <v/>
      </c>
      <c r="J93" s="161" t="s">
        <v>57</v>
      </c>
      <c r="K93" s="139"/>
      <c r="L93" s="91"/>
    </row>
    <row r="94" spans="1:12" s="39" customFormat="1" ht="13" customHeight="1" thickTop="1" x14ac:dyDescent="0.2">
      <c r="A94" s="74">
        <f>7-(COUNTIF(C94:I94,"")+COUNTIF(C94:I94,$B$140))</f>
        <v>5</v>
      </c>
      <c r="B94" s="162" t="s">
        <v>106</v>
      </c>
      <c r="C94" s="86" t="s">
        <v>79</v>
      </c>
      <c r="D94" s="71" t="s">
        <v>84</v>
      </c>
      <c r="E94" s="71" t="s">
        <v>167</v>
      </c>
      <c r="F94" s="71"/>
      <c r="G94" s="71" t="s">
        <v>167</v>
      </c>
      <c r="H94" s="71" t="s">
        <v>151</v>
      </c>
      <c r="I94" s="71"/>
      <c r="J94" s="160" t="s">
        <v>75</v>
      </c>
      <c r="K94" s="139">
        <v>5</v>
      </c>
      <c r="L94" s="91"/>
    </row>
    <row r="95" spans="1:12" s="39" customFormat="1" ht="13" customHeight="1" thickBot="1" x14ac:dyDescent="0.25">
      <c r="A95" s="90"/>
      <c r="B95" s="163"/>
      <c r="C95" s="87" t="str">
        <f t="shared" ref="C95:I95" si="46">IF(ISBLANK(C94),"",VLOOKUP(C94,$B$106:$L$142,11,0))</f>
        <v>09H00-17H30</v>
      </c>
      <c r="D95" s="87" t="str">
        <f t="shared" si="46"/>
        <v>13H30-22H00</v>
      </c>
      <c r="E95" s="87" t="str">
        <f t="shared" si="46"/>
        <v>08H00-16H30</v>
      </c>
      <c r="F95" s="87" t="str">
        <f t="shared" si="46"/>
        <v/>
      </c>
      <c r="G95" s="87" t="str">
        <f t="shared" si="46"/>
        <v>08H00-16H30</v>
      </c>
      <c r="H95" s="87" t="str">
        <f t="shared" si="46"/>
        <v>08H30-17H00</v>
      </c>
      <c r="I95" s="87" t="str">
        <f t="shared" si="46"/>
        <v/>
      </c>
      <c r="J95" s="161" t="s">
        <v>76</v>
      </c>
      <c r="K95" s="139"/>
      <c r="L95" s="91"/>
    </row>
    <row r="96" spans="1:12" s="39" customFormat="1" ht="13" customHeight="1" thickTop="1" x14ac:dyDescent="0.2">
      <c r="A96" s="74">
        <f>7-(COUNTIF(C96:I96,"")+COUNTIF(C96:I96,$B$140))</f>
        <v>5</v>
      </c>
      <c r="B96" s="158" t="s">
        <v>28</v>
      </c>
      <c r="C96" s="86"/>
      <c r="D96" s="88" t="s">
        <v>31</v>
      </c>
      <c r="E96" s="88" t="s">
        <v>93</v>
      </c>
      <c r="F96" s="88" t="s">
        <v>122</v>
      </c>
      <c r="G96" s="71" t="s">
        <v>81</v>
      </c>
      <c r="H96" s="88" t="s">
        <v>84</v>
      </c>
      <c r="I96" s="88"/>
      <c r="J96" s="160" t="s">
        <v>76</v>
      </c>
      <c r="K96" s="139">
        <v>5</v>
      </c>
      <c r="L96" s="91"/>
    </row>
    <row r="97" spans="1:12" s="39" customFormat="1" ht="13" customHeight="1" thickBot="1" x14ac:dyDescent="0.25">
      <c r="A97" s="90"/>
      <c r="B97" s="159"/>
      <c r="C97" s="87" t="str">
        <f t="shared" ref="C97:I97" si="47">IF(ISBLANK(C96),"",VLOOKUP(C96,$B$106:$L$142,11,0))</f>
        <v/>
      </c>
      <c r="D97" s="87" t="str">
        <f t="shared" si="47"/>
        <v>06H00-14H30</v>
      </c>
      <c r="E97" s="87" t="str">
        <f t="shared" si="47"/>
        <v>06H00-14H30</v>
      </c>
      <c r="F97" s="87" t="str">
        <f t="shared" si="47"/>
        <v>06H00-14H30</v>
      </c>
      <c r="G97" s="87" t="str">
        <f t="shared" si="47"/>
        <v>14H30-23H00</v>
      </c>
      <c r="H97" s="87" t="str">
        <f t="shared" si="47"/>
        <v>13H30-22H00</v>
      </c>
      <c r="I97" s="87" t="str">
        <f t="shared" si="47"/>
        <v/>
      </c>
      <c r="J97" s="161" t="s">
        <v>77</v>
      </c>
      <c r="K97" s="139"/>
      <c r="L97" s="91"/>
    </row>
    <row r="98" spans="1:12" s="39" customFormat="1" ht="13" customHeight="1" thickTop="1" x14ac:dyDescent="0.2">
      <c r="A98" s="74"/>
      <c r="B98" s="158" t="s">
        <v>136</v>
      </c>
      <c r="C98" s="86"/>
      <c r="D98" s="86" t="s">
        <v>95</v>
      </c>
      <c r="E98" s="71"/>
      <c r="F98" s="86" t="s">
        <v>95</v>
      </c>
      <c r="G98" s="86" t="s">
        <v>95</v>
      </c>
      <c r="H98" s="86" t="s">
        <v>95</v>
      </c>
      <c r="I98" s="86" t="s">
        <v>95</v>
      </c>
      <c r="J98" s="160"/>
      <c r="K98" s="139">
        <v>2</v>
      </c>
      <c r="L98" s="91"/>
    </row>
    <row r="99" spans="1:12" ht="13" customHeight="1" thickBot="1" x14ac:dyDescent="0.25">
      <c r="A99" s="94"/>
      <c r="B99" s="159"/>
      <c r="C99" s="87" t="str">
        <f t="shared" ref="C99:I99" si="48">IF(ISBLANK(C98),"",VLOOKUP(C98,$B$106:$L$142,11,0))</f>
        <v/>
      </c>
      <c r="D99" s="87">
        <f t="shared" si="48"/>
        <v>0</v>
      </c>
      <c r="E99" s="87" t="str">
        <f t="shared" si="48"/>
        <v/>
      </c>
      <c r="F99" s="87">
        <f t="shared" si="48"/>
        <v>0</v>
      </c>
      <c r="G99" s="87">
        <f t="shared" si="48"/>
        <v>0</v>
      </c>
      <c r="H99" s="87">
        <f t="shared" si="48"/>
        <v>0</v>
      </c>
      <c r="I99" s="87">
        <f t="shared" si="48"/>
        <v>0</v>
      </c>
      <c r="J99" s="161" t="s">
        <v>57</v>
      </c>
      <c r="K99" s="139"/>
      <c r="L99" s="91"/>
    </row>
    <row r="100" spans="1:12" s="39" customFormat="1" ht="13" customHeight="1" thickTop="1" x14ac:dyDescent="0.2">
      <c r="A100" s="74"/>
      <c r="B100" s="158" t="s">
        <v>135</v>
      </c>
      <c r="C100" s="86"/>
      <c r="D100" s="86"/>
      <c r="E100" s="71" t="s">
        <v>95</v>
      </c>
      <c r="F100" s="86"/>
      <c r="G100" s="71"/>
      <c r="H100" s="86" t="s">
        <v>95</v>
      </c>
      <c r="I100" s="86" t="s">
        <v>95</v>
      </c>
      <c r="J100" s="160"/>
      <c r="K100" s="139">
        <v>4</v>
      </c>
      <c r="L100" s="91"/>
    </row>
    <row r="101" spans="1:12" ht="13" customHeight="1" thickBot="1" x14ac:dyDescent="0.25">
      <c r="A101" s="94"/>
      <c r="B101" s="159"/>
      <c r="C101" s="87" t="str">
        <f t="shared" ref="C101:I101" si="49">IF(ISBLANK(C100),"",VLOOKUP(C100,$B$106:$L$142,11,0))</f>
        <v/>
      </c>
      <c r="D101" s="87" t="str">
        <f t="shared" si="49"/>
        <v/>
      </c>
      <c r="E101" s="87">
        <f t="shared" si="49"/>
        <v>0</v>
      </c>
      <c r="F101" s="87" t="str">
        <f t="shared" si="49"/>
        <v/>
      </c>
      <c r="G101" s="87" t="str">
        <f t="shared" si="49"/>
        <v/>
      </c>
      <c r="H101" s="87">
        <f t="shared" si="49"/>
        <v>0</v>
      </c>
      <c r="I101" s="87">
        <f t="shared" si="49"/>
        <v>0</v>
      </c>
      <c r="J101" s="161" t="s">
        <v>57</v>
      </c>
      <c r="K101" s="139"/>
      <c r="L101" s="91"/>
    </row>
    <row r="102" spans="1:12" s="39" customFormat="1" ht="13" customHeight="1" thickTop="1" x14ac:dyDescent="0.2">
      <c r="A102" s="74">
        <f>7-(COUNTIF(C102:I102,"")+COUNTIF(C102:I102,$B$140))</f>
        <v>5</v>
      </c>
      <c r="B102" s="158" t="s">
        <v>29</v>
      </c>
      <c r="C102" s="86" t="s">
        <v>87</v>
      </c>
      <c r="D102" s="86" t="s">
        <v>87</v>
      </c>
      <c r="E102" s="86" t="s">
        <v>87</v>
      </c>
      <c r="F102" s="86" t="s">
        <v>87</v>
      </c>
      <c r="G102" s="86" t="s">
        <v>87</v>
      </c>
      <c r="H102" s="71" t="s">
        <v>95</v>
      </c>
      <c r="I102" s="71" t="s">
        <v>95</v>
      </c>
      <c r="J102" s="160"/>
      <c r="K102" s="139">
        <v>5</v>
      </c>
      <c r="L102" s="91"/>
    </row>
    <row r="103" spans="1:12" s="39" customFormat="1" ht="13" customHeight="1" thickBot="1" x14ac:dyDescent="0.25">
      <c r="A103" s="90"/>
      <c r="B103" s="167"/>
      <c r="C103" s="93" t="str">
        <f t="shared" ref="C103:I103" si="50">IF(ISBLANK(C102),"",VLOOKUP(C102,$B$106:$L$142,11,0))</f>
        <v>08H00-16H30</v>
      </c>
      <c r="D103" s="93" t="str">
        <f t="shared" si="50"/>
        <v>08H00-16H30</v>
      </c>
      <c r="E103" s="93" t="str">
        <f t="shared" si="50"/>
        <v>08H00-16H30</v>
      </c>
      <c r="F103" s="93" t="str">
        <f t="shared" si="50"/>
        <v>08H00-16H30</v>
      </c>
      <c r="G103" s="93" t="str">
        <f t="shared" si="50"/>
        <v>08H00-16H30</v>
      </c>
      <c r="H103" s="93">
        <f t="shared" si="50"/>
        <v>0</v>
      </c>
      <c r="I103" s="93">
        <f t="shared" si="50"/>
        <v>0</v>
      </c>
      <c r="J103" s="168"/>
      <c r="K103" s="139"/>
      <c r="L103" s="91"/>
    </row>
    <row r="104" spans="1:12" s="39" customFormat="1" ht="13" customHeight="1" thickTop="1" x14ac:dyDescent="0.2">
      <c r="A104" s="90"/>
      <c r="B104" s="90"/>
      <c r="C104" s="95">
        <f>C5</f>
        <v>43178</v>
      </c>
      <c r="D104" s="95">
        <f t="shared" ref="D104:I104" si="51">C104+1</f>
        <v>43179</v>
      </c>
      <c r="E104" s="95">
        <f t="shared" si="51"/>
        <v>43180</v>
      </c>
      <c r="F104" s="95">
        <f t="shared" si="51"/>
        <v>43181</v>
      </c>
      <c r="G104" s="95">
        <f t="shared" si="51"/>
        <v>43182</v>
      </c>
      <c r="H104" s="95">
        <f t="shared" si="51"/>
        <v>43183</v>
      </c>
      <c r="I104" s="95">
        <f t="shared" si="51"/>
        <v>43184</v>
      </c>
      <c r="J104" s="90"/>
      <c r="K104" s="90"/>
      <c r="L104" s="91"/>
    </row>
    <row r="105" spans="1:12" ht="13" customHeight="1" x14ac:dyDescent="0.2">
      <c r="A105" s="94"/>
      <c r="B105" s="96" t="s">
        <v>39</v>
      </c>
      <c r="C105" s="97"/>
      <c r="D105" s="97"/>
      <c r="E105" s="97"/>
      <c r="F105" s="97"/>
      <c r="G105" s="90"/>
      <c r="H105" s="90"/>
      <c r="I105" s="90"/>
      <c r="J105" s="98" t="s">
        <v>98</v>
      </c>
      <c r="K105" s="99" t="s">
        <v>107</v>
      </c>
      <c r="L105" s="100" t="s">
        <v>97</v>
      </c>
    </row>
    <row r="106" spans="1:12" ht="13" customHeight="1" x14ac:dyDescent="0.2">
      <c r="A106" s="94"/>
      <c r="B106" s="101" t="s">
        <v>117</v>
      </c>
      <c r="C106" s="102">
        <f t="shared" ref="C106:I115" si="52">COUNTIF(C$6:C$103,$B106)</f>
        <v>0</v>
      </c>
      <c r="D106" s="102">
        <f t="shared" si="52"/>
        <v>0</v>
      </c>
      <c r="E106" s="102">
        <f t="shared" si="52"/>
        <v>0</v>
      </c>
      <c r="F106" s="102">
        <f t="shared" si="52"/>
        <v>0</v>
      </c>
      <c r="G106" s="102">
        <f t="shared" si="52"/>
        <v>0</v>
      </c>
      <c r="H106" s="102">
        <f t="shared" si="52"/>
        <v>0</v>
      </c>
      <c r="I106" s="102">
        <f t="shared" si="52"/>
        <v>0</v>
      </c>
      <c r="J106" s="103">
        <f t="shared" ref="J106:J142" si="53">SUM(C106:I106)</f>
        <v>0</v>
      </c>
      <c r="K106" s="99">
        <v>3</v>
      </c>
      <c r="L106" s="104" t="s">
        <v>118</v>
      </c>
    </row>
    <row r="107" spans="1:12" ht="13" customHeight="1" x14ac:dyDescent="0.2">
      <c r="A107" s="94"/>
      <c r="B107" s="54" t="s">
        <v>167</v>
      </c>
      <c r="C107" s="102">
        <f t="shared" si="52"/>
        <v>2</v>
      </c>
      <c r="D107" s="102">
        <f t="shared" si="52"/>
        <v>2</v>
      </c>
      <c r="E107" s="102">
        <f t="shared" si="52"/>
        <v>2</v>
      </c>
      <c r="F107" s="102">
        <f t="shared" si="52"/>
        <v>2</v>
      </c>
      <c r="G107" s="102">
        <f t="shared" si="52"/>
        <v>2</v>
      </c>
      <c r="H107" s="102">
        <f t="shared" si="52"/>
        <v>0</v>
      </c>
      <c r="I107" s="102">
        <f t="shared" si="52"/>
        <v>0</v>
      </c>
      <c r="J107" s="103">
        <f t="shared" si="53"/>
        <v>10</v>
      </c>
      <c r="K107" s="99">
        <v>3</v>
      </c>
      <c r="L107" s="104" t="s">
        <v>116</v>
      </c>
    </row>
    <row r="108" spans="1:12" ht="13" customHeight="1" x14ac:dyDescent="0.2">
      <c r="A108" s="94"/>
      <c r="B108" s="105" t="s">
        <v>79</v>
      </c>
      <c r="C108" s="102">
        <f t="shared" si="52"/>
        <v>1</v>
      </c>
      <c r="D108" s="102">
        <f t="shared" si="52"/>
        <v>1</v>
      </c>
      <c r="E108" s="102">
        <f t="shared" si="52"/>
        <v>1</v>
      </c>
      <c r="F108" s="102">
        <f t="shared" si="52"/>
        <v>1</v>
      </c>
      <c r="G108" s="102">
        <f t="shared" si="52"/>
        <v>1</v>
      </c>
      <c r="H108" s="102">
        <f t="shared" si="52"/>
        <v>1</v>
      </c>
      <c r="I108" s="102">
        <f t="shared" si="52"/>
        <v>1</v>
      </c>
      <c r="J108" s="103">
        <f t="shared" si="53"/>
        <v>7</v>
      </c>
      <c r="K108" s="99">
        <v>7</v>
      </c>
      <c r="L108" s="104" t="s">
        <v>34</v>
      </c>
    </row>
    <row r="109" spans="1:12" ht="13" customHeight="1" x14ac:dyDescent="0.2">
      <c r="A109" s="94"/>
      <c r="B109" s="70" t="s">
        <v>150</v>
      </c>
      <c r="C109" s="102">
        <f t="shared" si="52"/>
        <v>1</v>
      </c>
      <c r="D109" s="102">
        <f t="shared" si="52"/>
        <v>1</v>
      </c>
      <c r="E109" s="102">
        <f t="shared" si="52"/>
        <v>1</v>
      </c>
      <c r="F109" s="102">
        <f t="shared" si="52"/>
        <v>1</v>
      </c>
      <c r="G109" s="102">
        <f t="shared" si="52"/>
        <v>1</v>
      </c>
      <c r="H109" s="102">
        <f t="shared" si="52"/>
        <v>1</v>
      </c>
      <c r="I109" s="102">
        <f t="shared" si="52"/>
        <v>1</v>
      </c>
      <c r="J109" s="103">
        <f t="shared" si="53"/>
        <v>7</v>
      </c>
      <c r="K109" s="99">
        <v>7</v>
      </c>
      <c r="L109" s="104" t="s">
        <v>34</v>
      </c>
    </row>
    <row r="110" spans="1:12" ht="13" customHeight="1" x14ac:dyDescent="0.2">
      <c r="A110" s="94"/>
      <c r="B110" s="106" t="s">
        <v>80</v>
      </c>
      <c r="C110" s="102">
        <f t="shared" si="52"/>
        <v>1</v>
      </c>
      <c r="D110" s="102">
        <f t="shared" si="52"/>
        <v>1</v>
      </c>
      <c r="E110" s="102">
        <f t="shared" si="52"/>
        <v>1</v>
      </c>
      <c r="F110" s="102">
        <f t="shared" si="52"/>
        <v>1</v>
      </c>
      <c r="G110" s="102">
        <f t="shared" si="52"/>
        <v>1</v>
      </c>
      <c r="H110" s="102">
        <f t="shared" si="52"/>
        <v>1</v>
      </c>
      <c r="I110" s="102">
        <f t="shared" si="52"/>
        <v>1</v>
      </c>
      <c r="J110" s="103">
        <f t="shared" si="53"/>
        <v>7</v>
      </c>
      <c r="K110" s="99">
        <v>7</v>
      </c>
      <c r="L110" s="104" t="s">
        <v>32</v>
      </c>
    </row>
    <row r="111" spans="1:12" ht="13" customHeight="1" x14ac:dyDescent="0.2">
      <c r="A111" s="94"/>
      <c r="B111" s="107" t="s">
        <v>81</v>
      </c>
      <c r="C111" s="102">
        <f t="shared" si="52"/>
        <v>1</v>
      </c>
      <c r="D111" s="102">
        <f t="shared" si="52"/>
        <v>1</v>
      </c>
      <c r="E111" s="102">
        <f t="shared" si="52"/>
        <v>1</v>
      </c>
      <c r="F111" s="102">
        <f t="shared" si="52"/>
        <v>1</v>
      </c>
      <c r="G111" s="102">
        <f t="shared" si="52"/>
        <v>1</v>
      </c>
      <c r="H111" s="102">
        <f t="shared" si="52"/>
        <v>1</v>
      </c>
      <c r="I111" s="102">
        <f t="shared" si="52"/>
        <v>1</v>
      </c>
      <c r="J111" s="103">
        <f t="shared" si="53"/>
        <v>7</v>
      </c>
      <c r="K111" s="99">
        <v>7</v>
      </c>
      <c r="L111" s="104" t="s">
        <v>36</v>
      </c>
    </row>
    <row r="112" spans="1:12" ht="13" customHeight="1" x14ac:dyDescent="0.2">
      <c r="A112" s="90"/>
      <c r="B112" s="73" t="s">
        <v>154</v>
      </c>
      <c r="C112" s="102">
        <f t="shared" si="52"/>
        <v>0</v>
      </c>
      <c r="D112" s="102">
        <f t="shared" si="52"/>
        <v>0</v>
      </c>
      <c r="E112" s="102">
        <f t="shared" si="52"/>
        <v>0</v>
      </c>
      <c r="F112" s="102">
        <f t="shared" si="52"/>
        <v>0</v>
      </c>
      <c r="G112" s="102">
        <f t="shared" si="52"/>
        <v>0</v>
      </c>
      <c r="H112" s="102">
        <f t="shared" si="52"/>
        <v>0</v>
      </c>
      <c r="I112" s="102">
        <f t="shared" si="52"/>
        <v>0</v>
      </c>
      <c r="J112" s="103">
        <f t="shared" si="53"/>
        <v>0</v>
      </c>
      <c r="K112" s="99">
        <v>7</v>
      </c>
      <c r="L112" s="104" t="s">
        <v>125</v>
      </c>
    </row>
    <row r="113" spans="1:12" ht="13" customHeight="1" x14ac:dyDescent="0.2">
      <c r="A113" s="94"/>
      <c r="B113" s="108" t="s">
        <v>103</v>
      </c>
      <c r="C113" s="102">
        <f t="shared" si="52"/>
        <v>0</v>
      </c>
      <c r="D113" s="102">
        <f t="shared" si="52"/>
        <v>0</v>
      </c>
      <c r="E113" s="102">
        <f t="shared" si="52"/>
        <v>0</v>
      </c>
      <c r="F113" s="102">
        <f t="shared" si="52"/>
        <v>0</v>
      </c>
      <c r="G113" s="102">
        <f t="shared" si="52"/>
        <v>0</v>
      </c>
      <c r="H113" s="102">
        <f t="shared" si="52"/>
        <v>0</v>
      </c>
      <c r="I113" s="102">
        <f t="shared" si="52"/>
        <v>0</v>
      </c>
      <c r="J113" s="103">
        <f t="shared" si="53"/>
        <v>0</v>
      </c>
      <c r="K113" s="99">
        <v>0</v>
      </c>
      <c r="L113" s="104" t="s">
        <v>38</v>
      </c>
    </row>
    <row r="114" spans="1:12" ht="13" customHeight="1" x14ac:dyDescent="0.2">
      <c r="A114" s="94"/>
      <c r="B114" s="109" t="s">
        <v>149</v>
      </c>
      <c r="C114" s="102">
        <f t="shared" si="52"/>
        <v>1</v>
      </c>
      <c r="D114" s="102">
        <f t="shared" si="52"/>
        <v>1</v>
      </c>
      <c r="E114" s="102">
        <f t="shared" si="52"/>
        <v>1</v>
      </c>
      <c r="F114" s="102">
        <f t="shared" si="52"/>
        <v>1</v>
      </c>
      <c r="G114" s="102">
        <f t="shared" si="52"/>
        <v>1</v>
      </c>
      <c r="H114" s="102">
        <f t="shared" si="52"/>
        <v>1</v>
      </c>
      <c r="I114" s="102">
        <f t="shared" si="52"/>
        <v>1</v>
      </c>
      <c r="J114" s="103">
        <f t="shared" si="53"/>
        <v>7</v>
      </c>
      <c r="K114" s="99">
        <v>7</v>
      </c>
      <c r="L114" s="104" t="s">
        <v>34</v>
      </c>
    </row>
    <row r="115" spans="1:12" ht="13" customHeight="1" x14ac:dyDescent="0.2">
      <c r="A115" s="94"/>
      <c r="B115" s="110" t="s">
        <v>122</v>
      </c>
      <c r="C115" s="102">
        <f t="shared" si="52"/>
        <v>1</v>
      </c>
      <c r="D115" s="102">
        <f t="shared" si="52"/>
        <v>1</v>
      </c>
      <c r="E115" s="102">
        <f t="shared" si="52"/>
        <v>1</v>
      </c>
      <c r="F115" s="102">
        <f t="shared" si="52"/>
        <v>1</v>
      </c>
      <c r="G115" s="102">
        <f t="shared" si="52"/>
        <v>1</v>
      </c>
      <c r="H115" s="102">
        <f t="shared" si="52"/>
        <v>2</v>
      </c>
      <c r="I115" s="102">
        <f t="shared" si="52"/>
        <v>1</v>
      </c>
      <c r="J115" s="103">
        <f>SUM(C115:I115)</f>
        <v>8</v>
      </c>
      <c r="K115" s="99">
        <v>7</v>
      </c>
      <c r="L115" s="104" t="s">
        <v>32</v>
      </c>
    </row>
    <row r="116" spans="1:12" ht="13" customHeight="1" x14ac:dyDescent="0.2">
      <c r="A116" s="94"/>
      <c r="B116" s="111" t="s">
        <v>82</v>
      </c>
      <c r="C116" s="102">
        <f t="shared" ref="C116:I125" si="54">COUNTIF(C$6:C$103,$B116)</f>
        <v>2</v>
      </c>
      <c r="D116" s="102">
        <f t="shared" si="54"/>
        <v>2</v>
      </c>
      <c r="E116" s="102">
        <f t="shared" si="54"/>
        <v>2</v>
      </c>
      <c r="F116" s="102">
        <f t="shared" si="54"/>
        <v>2</v>
      </c>
      <c r="G116" s="102">
        <f t="shared" si="54"/>
        <v>2</v>
      </c>
      <c r="H116" s="102">
        <f t="shared" si="54"/>
        <v>2</v>
      </c>
      <c r="I116" s="102">
        <f t="shared" si="54"/>
        <v>2</v>
      </c>
      <c r="J116" s="103">
        <f t="shared" si="53"/>
        <v>14</v>
      </c>
      <c r="K116" s="99">
        <v>14</v>
      </c>
      <c r="L116" s="104" t="s">
        <v>32</v>
      </c>
    </row>
    <row r="117" spans="1:12" ht="13" customHeight="1" x14ac:dyDescent="0.2">
      <c r="A117" s="94"/>
      <c r="B117" s="111" t="s">
        <v>83</v>
      </c>
      <c r="C117" s="102">
        <f t="shared" si="54"/>
        <v>1</v>
      </c>
      <c r="D117" s="102">
        <f t="shared" si="54"/>
        <v>1</v>
      </c>
      <c r="E117" s="102">
        <f t="shared" si="54"/>
        <v>1</v>
      </c>
      <c r="F117" s="102">
        <f t="shared" si="54"/>
        <v>1</v>
      </c>
      <c r="G117" s="102">
        <f t="shared" si="54"/>
        <v>1</v>
      </c>
      <c r="H117" s="102">
        <f t="shared" si="54"/>
        <v>1</v>
      </c>
      <c r="I117" s="102">
        <f t="shared" si="54"/>
        <v>1</v>
      </c>
      <c r="J117" s="103">
        <f t="shared" si="53"/>
        <v>7</v>
      </c>
      <c r="K117" s="99">
        <v>7</v>
      </c>
      <c r="L117" s="104" t="s">
        <v>34</v>
      </c>
    </row>
    <row r="118" spans="1:12" ht="13" customHeight="1" x14ac:dyDescent="0.2">
      <c r="A118" s="94"/>
      <c r="B118" s="111" t="s">
        <v>109</v>
      </c>
      <c r="C118" s="102">
        <f t="shared" si="54"/>
        <v>0</v>
      </c>
      <c r="D118" s="102">
        <f t="shared" si="54"/>
        <v>0</v>
      </c>
      <c r="E118" s="102">
        <f t="shared" si="54"/>
        <v>0</v>
      </c>
      <c r="F118" s="102">
        <f t="shared" si="54"/>
        <v>0</v>
      </c>
      <c r="G118" s="102">
        <f t="shared" si="54"/>
        <v>0</v>
      </c>
      <c r="H118" s="102">
        <f t="shared" si="54"/>
        <v>0</v>
      </c>
      <c r="I118" s="102">
        <f t="shared" si="54"/>
        <v>0</v>
      </c>
      <c r="J118" s="103">
        <f t="shared" si="53"/>
        <v>0</v>
      </c>
      <c r="K118" s="99">
        <v>0</v>
      </c>
      <c r="L118" s="104" t="s">
        <v>126</v>
      </c>
    </row>
    <row r="119" spans="1:12" ht="13" customHeight="1" x14ac:dyDescent="0.2">
      <c r="A119" s="94"/>
      <c r="B119" s="112" t="s">
        <v>84</v>
      </c>
      <c r="C119" s="102">
        <f t="shared" si="54"/>
        <v>3</v>
      </c>
      <c r="D119" s="102">
        <f t="shared" si="54"/>
        <v>3</v>
      </c>
      <c r="E119" s="102">
        <f t="shared" si="54"/>
        <v>3</v>
      </c>
      <c r="F119" s="102">
        <f t="shared" si="54"/>
        <v>3</v>
      </c>
      <c r="G119" s="102">
        <f t="shared" si="54"/>
        <v>3</v>
      </c>
      <c r="H119" s="102">
        <f t="shared" si="54"/>
        <v>3</v>
      </c>
      <c r="I119" s="102">
        <f t="shared" si="54"/>
        <v>3</v>
      </c>
      <c r="J119" s="103">
        <f t="shared" si="53"/>
        <v>21</v>
      </c>
      <c r="K119" s="99">
        <v>21</v>
      </c>
      <c r="L119" s="104" t="s">
        <v>35</v>
      </c>
    </row>
    <row r="120" spans="1:12" ht="13" customHeight="1" x14ac:dyDescent="0.2">
      <c r="A120" s="94"/>
      <c r="B120" s="113" t="s">
        <v>123</v>
      </c>
      <c r="C120" s="102">
        <f t="shared" si="54"/>
        <v>1</v>
      </c>
      <c r="D120" s="102">
        <f t="shared" si="54"/>
        <v>1</v>
      </c>
      <c r="E120" s="102">
        <f t="shared" si="54"/>
        <v>1</v>
      </c>
      <c r="F120" s="102">
        <f t="shared" si="54"/>
        <v>1</v>
      </c>
      <c r="G120" s="102">
        <f t="shared" si="54"/>
        <v>1</v>
      </c>
      <c r="H120" s="102">
        <f t="shared" si="54"/>
        <v>1</v>
      </c>
      <c r="I120" s="102">
        <f t="shared" si="54"/>
        <v>1</v>
      </c>
      <c r="J120" s="103">
        <f>SUM(C120:I120)</f>
        <v>7</v>
      </c>
      <c r="K120" s="99">
        <v>7</v>
      </c>
      <c r="L120" s="104" t="s">
        <v>36</v>
      </c>
    </row>
    <row r="121" spans="1:12" ht="13" customHeight="1" x14ac:dyDescent="0.2">
      <c r="A121" s="94"/>
      <c r="B121" s="112" t="s">
        <v>85</v>
      </c>
      <c r="C121" s="102">
        <f t="shared" si="54"/>
        <v>1</v>
      </c>
      <c r="D121" s="102">
        <f t="shared" si="54"/>
        <v>1</v>
      </c>
      <c r="E121" s="102">
        <f t="shared" si="54"/>
        <v>1</v>
      </c>
      <c r="F121" s="102">
        <f t="shared" si="54"/>
        <v>1</v>
      </c>
      <c r="G121" s="102">
        <f t="shared" si="54"/>
        <v>1</v>
      </c>
      <c r="H121" s="102">
        <f t="shared" si="54"/>
        <v>1</v>
      </c>
      <c r="I121" s="102">
        <f t="shared" si="54"/>
        <v>1</v>
      </c>
      <c r="J121" s="103">
        <f t="shared" si="53"/>
        <v>7</v>
      </c>
      <c r="K121" s="99">
        <v>7</v>
      </c>
      <c r="L121" s="104" t="s">
        <v>36</v>
      </c>
    </row>
    <row r="122" spans="1:12" ht="13" customHeight="1" x14ac:dyDescent="0.2">
      <c r="A122" s="94"/>
      <c r="B122" s="114" t="s">
        <v>110</v>
      </c>
      <c r="C122" s="102">
        <f t="shared" si="54"/>
        <v>1</v>
      </c>
      <c r="D122" s="102">
        <f t="shared" si="54"/>
        <v>1</v>
      </c>
      <c r="E122" s="102">
        <f t="shared" si="54"/>
        <v>1</v>
      </c>
      <c r="F122" s="102">
        <f t="shared" si="54"/>
        <v>1</v>
      </c>
      <c r="G122" s="102">
        <f t="shared" si="54"/>
        <v>1</v>
      </c>
      <c r="H122" s="102">
        <f t="shared" si="54"/>
        <v>1</v>
      </c>
      <c r="I122" s="102">
        <f t="shared" si="54"/>
        <v>1</v>
      </c>
      <c r="J122" s="103">
        <f t="shared" si="53"/>
        <v>7</v>
      </c>
      <c r="K122" s="99">
        <v>7</v>
      </c>
      <c r="L122" s="104" t="s">
        <v>38</v>
      </c>
    </row>
    <row r="123" spans="1:12" ht="13" customHeight="1" x14ac:dyDescent="0.2">
      <c r="A123" s="94"/>
      <c r="B123" s="115" t="s">
        <v>86</v>
      </c>
      <c r="C123" s="102">
        <f t="shared" si="54"/>
        <v>0</v>
      </c>
      <c r="D123" s="102">
        <f t="shared" si="54"/>
        <v>0</v>
      </c>
      <c r="E123" s="102">
        <f t="shared" si="54"/>
        <v>0</v>
      </c>
      <c r="F123" s="102">
        <f t="shared" si="54"/>
        <v>0</v>
      </c>
      <c r="G123" s="102">
        <f t="shared" si="54"/>
        <v>0</v>
      </c>
      <c r="H123" s="102">
        <f t="shared" si="54"/>
        <v>0</v>
      </c>
      <c r="I123" s="102">
        <f t="shared" si="54"/>
        <v>0</v>
      </c>
      <c r="J123" s="103">
        <f t="shared" si="53"/>
        <v>0</v>
      </c>
      <c r="K123" s="99">
        <v>19</v>
      </c>
      <c r="L123" s="104" t="s">
        <v>32</v>
      </c>
    </row>
    <row r="124" spans="1:12" ht="13" customHeight="1" x14ac:dyDescent="0.2">
      <c r="A124" s="94"/>
      <c r="B124" s="115" t="s">
        <v>87</v>
      </c>
      <c r="C124" s="102">
        <f t="shared" si="54"/>
        <v>7</v>
      </c>
      <c r="D124" s="102">
        <f t="shared" si="54"/>
        <v>7</v>
      </c>
      <c r="E124" s="102">
        <f t="shared" si="54"/>
        <v>7</v>
      </c>
      <c r="F124" s="102">
        <f t="shared" si="54"/>
        <v>7</v>
      </c>
      <c r="G124" s="102">
        <f t="shared" si="54"/>
        <v>7</v>
      </c>
      <c r="H124" s="102">
        <f t="shared" si="54"/>
        <v>0</v>
      </c>
      <c r="I124" s="102">
        <f t="shared" si="54"/>
        <v>0</v>
      </c>
      <c r="J124" s="103">
        <f t="shared" si="53"/>
        <v>35</v>
      </c>
      <c r="K124" s="99">
        <v>20</v>
      </c>
      <c r="L124" s="104" t="s">
        <v>116</v>
      </c>
    </row>
    <row r="125" spans="1:12" ht="13" customHeight="1" x14ac:dyDescent="0.2">
      <c r="A125" s="94"/>
      <c r="B125" s="57" t="s">
        <v>168</v>
      </c>
      <c r="C125" s="102">
        <f t="shared" si="54"/>
        <v>0</v>
      </c>
      <c r="D125" s="102">
        <f t="shared" si="54"/>
        <v>0</v>
      </c>
      <c r="E125" s="102">
        <f t="shared" si="54"/>
        <v>0</v>
      </c>
      <c r="F125" s="102">
        <f t="shared" si="54"/>
        <v>0</v>
      </c>
      <c r="G125" s="102">
        <f t="shared" si="54"/>
        <v>0</v>
      </c>
      <c r="H125" s="102">
        <f t="shared" si="54"/>
        <v>1</v>
      </c>
      <c r="I125" s="102">
        <f t="shared" si="54"/>
        <v>0</v>
      </c>
      <c r="J125" s="103">
        <f t="shared" si="53"/>
        <v>1</v>
      </c>
      <c r="K125" s="99">
        <v>6</v>
      </c>
      <c r="L125" s="104" t="s">
        <v>36</v>
      </c>
    </row>
    <row r="126" spans="1:12" ht="13" customHeight="1" x14ac:dyDescent="0.2">
      <c r="A126" s="94"/>
      <c r="B126" s="117" t="s">
        <v>89</v>
      </c>
      <c r="C126" s="102">
        <f t="shared" ref="C126:I131" si="55">COUNTIF(C$6:C$103,$B126)</f>
        <v>1</v>
      </c>
      <c r="D126" s="102">
        <f t="shared" si="55"/>
        <v>1</v>
      </c>
      <c r="E126" s="102">
        <f t="shared" si="55"/>
        <v>1</v>
      </c>
      <c r="F126" s="102">
        <f t="shared" si="55"/>
        <v>1</v>
      </c>
      <c r="G126" s="102">
        <f t="shared" si="55"/>
        <v>1</v>
      </c>
      <c r="H126" s="102">
        <f t="shared" si="55"/>
        <v>0</v>
      </c>
      <c r="I126" s="102">
        <f t="shared" si="55"/>
        <v>0</v>
      </c>
      <c r="J126" s="103">
        <f t="shared" si="53"/>
        <v>5</v>
      </c>
      <c r="K126" s="99">
        <v>5</v>
      </c>
      <c r="L126" s="104" t="s">
        <v>37</v>
      </c>
    </row>
    <row r="127" spans="1:12" ht="13" customHeight="1" x14ac:dyDescent="0.2">
      <c r="A127" s="94"/>
      <c r="B127" s="118" t="s">
        <v>90</v>
      </c>
      <c r="C127" s="102">
        <f t="shared" si="55"/>
        <v>1</v>
      </c>
      <c r="D127" s="102">
        <f t="shared" si="55"/>
        <v>1</v>
      </c>
      <c r="E127" s="102">
        <f t="shared" si="55"/>
        <v>1</v>
      </c>
      <c r="F127" s="102">
        <f t="shared" si="55"/>
        <v>1</v>
      </c>
      <c r="G127" s="102">
        <f t="shared" si="55"/>
        <v>1</v>
      </c>
      <c r="H127" s="102">
        <f t="shared" si="55"/>
        <v>1</v>
      </c>
      <c r="I127" s="102">
        <f t="shared" si="55"/>
        <v>1</v>
      </c>
      <c r="J127" s="103">
        <f t="shared" si="53"/>
        <v>7</v>
      </c>
      <c r="K127" s="99">
        <v>7</v>
      </c>
      <c r="L127" s="104" t="s">
        <v>32</v>
      </c>
    </row>
    <row r="128" spans="1:12" ht="13" customHeight="1" x14ac:dyDescent="0.2">
      <c r="A128" s="94"/>
      <c r="B128" s="118" t="s">
        <v>91</v>
      </c>
      <c r="C128" s="102">
        <f t="shared" si="55"/>
        <v>1</v>
      </c>
      <c r="D128" s="102">
        <f t="shared" si="55"/>
        <v>1</v>
      </c>
      <c r="E128" s="102">
        <f t="shared" si="55"/>
        <v>1</v>
      </c>
      <c r="F128" s="102">
        <f t="shared" si="55"/>
        <v>1</v>
      </c>
      <c r="G128" s="102">
        <f t="shared" si="55"/>
        <v>1</v>
      </c>
      <c r="H128" s="102">
        <f t="shared" si="55"/>
        <v>1</v>
      </c>
      <c r="I128" s="102">
        <f t="shared" si="55"/>
        <v>1</v>
      </c>
      <c r="J128" s="103">
        <f t="shared" si="53"/>
        <v>7</v>
      </c>
      <c r="K128" s="99">
        <v>7</v>
      </c>
      <c r="L128" s="104" t="s">
        <v>32</v>
      </c>
    </row>
    <row r="129" spans="1:12" ht="13" customHeight="1" x14ac:dyDescent="0.2">
      <c r="A129" s="94"/>
      <c r="B129" s="118" t="s">
        <v>92</v>
      </c>
      <c r="C129" s="102">
        <f t="shared" si="55"/>
        <v>1</v>
      </c>
      <c r="D129" s="102">
        <f t="shared" si="55"/>
        <v>1</v>
      </c>
      <c r="E129" s="102">
        <f t="shared" si="55"/>
        <v>1</v>
      </c>
      <c r="F129" s="102">
        <f t="shared" si="55"/>
        <v>1</v>
      </c>
      <c r="G129" s="102">
        <f t="shared" si="55"/>
        <v>1</v>
      </c>
      <c r="H129" s="102">
        <f t="shared" si="55"/>
        <v>1</v>
      </c>
      <c r="I129" s="102">
        <f t="shared" si="55"/>
        <v>1</v>
      </c>
      <c r="J129" s="103">
        <f t="shared" si="53"/>
        <v>7</v>
      </c>
      <c r="K129" s="99">
        <v>7</v>
      </c>
      <c r="L129" s="104" t="s">
        <v>96</v>
      </c>
    </row>
    <row r="130" spans="1:12" ht="13" customHeight="1" x14ac:dyDescent="0.2">
      <c r="A130" s="94"/>
      <c r="B130" s="119" t="s">
        <v>31</v>
      </c>
      <c r="C130" s="102">
        <f t="shared" si="55"/>
        <v>1</v>
      </c>
      <c r="D130" s="102">
        <f t="shared" si="55"/>
        <v>1</v>
      </c>
      <c r="E130" s="102">
        <f t="shared" si="55"/>
        <v>1</v>
      </c>
      <c r="F130" s="102">
        <f t="shared" si="55"/>
        <v>1</v>
      </c>
      <c r="G130" s="102">
        <f t="shared" si="55"/>
        <v>1</v>
      </c>
      <c r="H130" s="102">
        <f t="shared" si="55"/>
        <v>1</v>
      </c>
      <c r="I130" s="102">
        <f t="shared" si="55"/>
        <v>1</v>
      </c>
      <c r="J130" s="103">
        <f t="shared" si="53"/>
        <v>7</v>
      </c>
      <c r="K130" s="99">
        <v>7</v>
      </c>
      <c r="L130" s="104" t="s">
        <v>32</v>
      </c>
    </row>
    <row r="131" spans="1:12" ht="13" customHeight="1" x14ac:dyDescent="0.2">
      <c r="A131" s="94"/>
      <c r="B131" s="120" t="s">
        <v>93</v>
      </c>
      <c r="C131" s="102">
        <f t="shared" si="55"/>
        <v>1</v>
      </c>
      <c r="D131" s="102">
        <f t="shared" si="55"/>
        <v>1</v>
      </c>
      <c r="E131" s="102">
        <f t="shared" si="55"/>
        <v>1</v>
      </c>
      <c r="F131" s="102">
        <f t="shared" si="55"/>
        <v>1</v>
      </c>
      <c r="G131" s="102">
        <f t="shared" si="55"/>
        <v>1</v>
      </c>
      <c r="H131" s="102">
        <f t="shared" si="55"/>
        <v>1</v>
      </c>
      <c r="I131" s="102">
        <f t="shared" si="55"/>
        <v>1</v>
      </c>
      <c r="J131" s="103">
        <f t="shared" si="53"/>
        <v>7</v>
      </c>
      <c r="K131" s="99">
        <v>7</v>
      </c>
      <c r="L131" s="104" t="s">
        <v>32</v>
      </c>
    </row>
    <row r="132" spans="1:12" ht="13" customHeight="1" x14ac:dyDescent="0.2">
      <c r="A132" s="90"/>
      <c r="B132" s="121" t="s">
        <v>137</v>
      </c>
      <c r="C132" s="102">
        <f t="shared" ref="C132:I134" si="56">COUNTIF(C$6:C$111,Actions)</f>
        <v>1</v>
      </c>
      <c r="D132" s="102">
        <f t="shared" si="56"/>
        <v>1</v>
      </c>
      <c r="E132" s="102">
        <f t="shared" si="56"/>
        <v>1</v>
      </c>
      <c r="F132" s="102">
        <f t="shared" si="56"/>
        <v>1</v>
      </c>
      <c r="G132" s="102">
        <f t="shared" si="56"/>
        <v>1</v>
      </c>
      <c r="H132" s="102">
        <f t="shared" si="56"/>
        <v>1</v>
      </c>
      <c r="I132" s="102">
        <f t="shared" si="56"/>
        <v>1</v>
      </c>
      <c r="J132" s="103">
        <f t="shared" si="53"/>
        <v>7</v>
      </c>
      <c r="K132" s="122">
        <v>7</v>
      </c>
      <c r="L132" s="123" t="s">
        <v>32</v>
      </c>
    </row>
    <row r="133" spans="1:12" ht="13" customHeight="1" x14ac:dyDescent="0.2">
      <c r="A133" s="90"/>
      <c r="B133" s="124" t="s">
        <v>139</v>
      </c>
      <c r="C133" s="102">
        <f t="shared" si="56"/>
        <v>1</v>
      </c>
      <c r="D133" s="102">
        <f t="shared" si="56"/>
        <v>1</v>
      </c>
      <c r="E133" s="102">
        <f t="shared" si="56"/>
        <v>1</v>
      </c>
      <c r="F133" s="102">
        <f t="shared" si="56"/>
        <v>1</v>
      </c>
      <c r="G133" s="102">
        <f t="shared" si="56"/>
        <v>1</v>
      </c>
      <c r="H133" s="102">
        <f t="shared" si="56"/>
        <v>1</v>
      </c>
      <c r="I133" s="102">
        <f t="shared" si="56"/>
        <v>1</v>
      </c>
      <c r="J133" s="103">
        <f t="shared" si="53"/>
        <v>7</v>
      </c>
      <c r="K133" s="125">
        <v>7</v>
      </c>
      <c r="L133" s="123" t="s">
        <v>140</v>
      </c>
    </row>
    <row r="134" spans="1:12" ht="13" customHeight="1" x14ac:dyDescent="0.2">
      <c r="A134" s="90"/>
      <c r="B134" s="126" t="s">
        <v>153</v>
      </c>
      <c r="C134" s="102">
        <f t="shared" si="56"/>
        <v>1</v>
      </c>
      <c r="D134" s="102">
        <f t="shared" si="56"/>
        <v>1</v>
      </c>
      <c r="E134" s="102">
        <f t="shared" si="56"/>
        <v>1</v>
      </c>
      <c r="F134" s="102">
        <f t="shared" si="56"/>
        <v>1</v>
      </c>
      <c r="G134" s="102">
        <f t="shared" si="56"/>
        <v>1</v>
      </c>
      <c r="H134" s="102">
        <f t="shared" si="56"/>
        <v>1</v>
      </c>
      <c r="I134" s="102">
        <f t="shared" si="56"/>
        <v>1</v>
      </c>
      <c r="J134" s="103">
        <f t="shared" si="53"/>
        <v>7</v>
      </c>
      <c r="K134" s="127">
        <v>7</v>
      </c>
      <c r="L134" s="123" t="s">
        <v>141</v>
      </c>
    </row>
    <row r="135" spans="1:12" ht="13" customHeight="1" x14ac:dyDescent="0.2">
      <c r="A135" s="94"/>
      <c r="B135" s="128" t="s">
        <v>151</v>
      </c>
      <c r="C135" s="102">
        <f t="shared" ref="C135:I142" si="57">COUNTIF(C$6:C$103,$B135)</f>
        <v>0</v>
      </c>
      <c r="D135" s="102">
        <f t="shared" si="57"/>
        <v>0</v>
      </c>
      <c r="E135" s="102">
        <f t="shared" si="57"/>
        <v>0</v>
      </c>
      <c r="F135" s="102">
        <f t="shared" si="57"/>
        <v>0</v>
      </c>
      <c r="G135" s="102">
        <f t="shared" si="57"/>
        <v>0</v>
      </c>
      <c r="H135" s="102">
        <f t="shared" si="57"/>
        <v>1</v>
      </c>
      <c r="I135" s="102">
        <f t="shared" si="57"/>
        <v>1</v>
      </c>
      <c r="J135" s="103">
        <f t="shared" si="53"/>
        <v>2</v>
      </c>
      <c r="K135" s="122">
        <v>2</v>
      </c>
      <c r="L135" s="123" t="s">
        <v>33</v>
      </c>
    </row>
    <row r="136" spans="1:12" ht="13" customHeight="1" x14ac:dyDescent="0.2">
      <c r="A136" s="94"/>
      <c r="B136" s="128" t="s">
        <v>94</v>
      </c>
      <c r="C136" s="102">
        <f t="shared" si="57"/>
        <v>0</v>
      </c>
      <c r="D136" s="102">
        <f t="shared" si="57"/>
        <v>0</v>
      </c>
      <c r="E136" s="102">
        <f t="shared" si="57"/>
        <v>0</v>
      </c>
      <c r="F136" s="102">
        <f t="shared" si="57"/>
        <v>0</v>
      </c>
      <c r="G136" s="102">
        <f t="shared" si="57"/>
        <v>0</v>
      </c>
      <c r="H136" s="102">
        <f t="shared" si="57"/>
        <v>0</v>
      </c>
      <c r="I136" s="102">
        <f t="shared" si="57"/>
        <v>0</v>
      </c>
      <c r="J136" s="103">
        <f t="shared" si="53"/>
        <v>0</v>
      </c>
      <c r="K136" s="125">
        <v>1</v>
      </c>
      <c r="L136" s="123" t="s">
        <v>33</v>
      </c>
    </row>
    <row r="137" spans="1:12" ht="13" customHeight="1" x14ac:dyDescent="0.2">
      <c r="A137" s="94"/>
      <c r="B137" s="129" t="s">
        <v>152</v>
      </c>
      <c r="C137" s="102">
        <f t="shared" si="57"/>
        <v>1</v>
      </c>
      <c r="D137" s="102">
        <f t="shared" si="57"/>
        <v>1</v>
      </c>
      <c r="E137" s="102">
        <f t="shared" si="57"/>
        <v>1</v>
      </c>
      <c r="F137" s="102">
        <f t="shared" si="57"/>
        <v>1</v>
      </c>
      <c r="G137" s="102">
        <f t="shared" si="57"/>
        <v>1</v>
      </c>
      <c r="H137" s="102">
        <f t="shared" si="57"/>
        <v>0</v>
      </c>
      <c r="I137" s="102">
        <f t="shared" si="57"/>
        <v>0</v>
      </c>
      <c r="J137" s="103">
        <f t="shared" si="53"/>
        <v>5</v>
      </c>
      <c r="K137" s="127">
        <v>5</v>
      </c>
      <c r="L137" s="123" t="s">
        <v>33</v>
      </c>
    </row>
    <row r="138" spans="1:12" ht="13" customHeight="1" x14ac:dyDescent="0.2">
      <c r="A138" s="94"/>
      <c r="B138" s="130" t="s">
        <v>40</v>
      </c>
      <c r="C138" s="102">
        <f t="shared" si="57"/>
        <v>1</v>
      </c>
      <c r="D138" s="102">
        <f t="shared" si="57"/>
        <v>1</v>
      </c>
      <c r="E138" s="102">
        <f t="shared" si="57"/>
        <v>2</v>
      </c>
      <c r="F138" s="102">
        <f t="shared" si="57"/>
        <v>2</v>
      </c>
      <c r="G138" s="102">
        <f t="shared" si="57"/>
        <v>2</v>
      </c>
      <c r="H138" s="102">
        <f t="shared" si="57"/>
        <v>0</v>
      </c>
      <c r="I138" s="102">
        <f t="shared" si="57"/>
        <v>0</v>
      </c>
      <c r="J138" s="103">
        <f t="shared" si="53"/>
        <v>8</v>
      </c>
      <c r="K138" s="131">
        <v>7</v>
      </c>
      <c r="L138" s="132"/>
    </row>
    <row r="139" spans="1:12" ht="13" customHeight="1" x14ac:dyDescent="0.2">
      <c r="A139" s="94"/>
      <c r="B139" s="130" t="s">
        <v>41</v>
      </c>
      <c r="C139" s="102">
        <f t="shared" si="57"/>
        <v>0</v>
      </c>
      <c r="D139" s="102">
        <f t="shared" si="57"/>
        <v>0</v>
      </c>
      <c r="E139" s="102">
        <f t="shared" si="57"/>
        <v>0</v>
      </c>
      <c r="F139" s="102">
        <f t="shared" si="57"/>
        <v>0</v>
      </c>
      <c r="G139" s="102">
        <f t="shared" si="57"/>
        <v>0</v>
      </c>
      <c r="H139" s="102">
        <f t="shared" si="57"/>
        <v>0</v>
      </c>
      <c r="I139" s="102">
        <f t="shared" si="57"/>
        <v>0</v>
      </c>
      <c r="J139" s="103">
        <f t="shared" si="53"/>
        <v>0</v>
      </c>
      <c r="K139" s="131">
        <v>0</v>
      </c>
      <c r="L139" s="132"/>
    </row>
    <row r="140" spans="1:12" ht="13" customHeight="1" x14ac:dyDescent="0.2">
      <c r="A140" s="94"/>
      <c r="B140" s="133" t="s">
        <v>95</v>
      </c>
      <c r="C140" s="102">
        <f t="shared" si="57"/>
        <v>0</v>
      </c>
      <c r="D140" s="102">
        <f t="shared" si="57"/>
        <v>2</v>
      </c>
      <c r="E140" s="102">
        <f t="shared" si="57"/>
        <v>2</v>
      </c>
      <c r="F140" s="102">
        <f t="shared" si="57"/>
        <v>1</v>
      </c>
      <c r="G140" s="102">
        <f t="shared" si="57"/>
        <v>1</v>
      </c>
      <c r="H140" s="102">
        <f t="shared" si="57"/>
        <v>15</v>
      </c>
      <c r="I140" s="102">
        <f t="shared" si="57"/>
        <v>18</v>
      </c>
      <c r="J140" s="103">
        <f t="shared" si="53"/>
        <v>39</v>
      </c>
      <c r="K140" s="131">
        <v>25</v>
      </c>
      <c r="L140" s="132"/>
    </row>
    <row r="141" spans="1:12" ht="13" customHeight="1" x14ac:dyDescent="0.2">
      <c r="A141" s="94"/>
      <c r="B141" s="134" t="s">
        <v>99</v>
      </c>
      <c r="C141" s="102">
        <f t="shared" si="57"/>
        <v>0</v>
      </c>
      <c r="D141" s="102">
        <f t="shared" si="57"/>
        <v>0</v>
      </c>
      <c r="E141" s="102">
        <f t="shared" si="57"/>
        <v>0</v>
      </c>
      <c r="F141" s="102">
        <f t="shared" si="57"/>
        <v>0</v>
      </c>
      <c r="G141" s="102">
        <f t="shared" si="57"/>
        <v>0</v>
      </c>
      <c r="H141" s="102">
        <f t="shared" si="57"/>
        <v>0</v>
      </c>
      <c r="I141" s="102">
        <f t="shared" si="57"/>
        <v>0</v>
      </c>
      <c r="J141" s="103">
        <f t="shared" si="53"/>
        <v>0</v>
      </c>
      <c r="K141" s="131">
        <v>0</v>
      </c>
      <c r="L141" s="132"/>
    </row>
    <row r="142" spans="1:12" ht="13" customHeight="1" x14ac:dyDescent="0.2">
      <c r="A142" s="94"/>
      <c r="B142" s="134" t="s">
        <v>100</v>
      </c>
      <c r="C142" s="102">
        <f t="shared" si="57"/>
        <v>0</v>
      </c>
      <c r="D142" s="102">
        <f t="shared" si="57"/>
        <v>0</v>
      </c>
      <c r="E142" s="102">
        <f t="shared" si="57"/>
        <v>0</v>
      </c>
      <c r="F142" s="102">
        <f t="shared" si="57"/>
        <v>0</v>
      </c>
      <c r="G142" s="102">
        <f t="shared" si="57"/>
        <v>0</v>
      </c>
      <c r="H142" s="102">
        <f t="shared" si="57"/>
        <v>0</v>
      </c>
      <c r="I142" s="102">
        <f t="shared" si="57"/>
        <v>0</v>
      </c>
      <c r="J142" s="103">
        <f t="shared" si="53"/>
        <v>0</v>
      </c>
      <c r="K142" s="131">
        <v>0</v>
      </c>
      <c r="L142" s="132" t="s">
        <v>101</v>
      </c>
    </row>
    <row r="143" spans="1:12" ht="13" customHeight="1" x14ac:dyDescent="0.2">
      <c r="A143" s="94"/>
      <c r="B143" s="135"/>
      <c r="C143" s="136">
        <f t="shared" ref="C143:I143" si="58">SUM(C106:C137)-SUM(C123:C126)-C106</f>
        <v>26</v>
      </c>
      <c r="D143" s="136">
        <f t="shared" si="58"/>
        <v>26</v>
      </c>
      <c r="E143" s="136">
        <f t="shared" si="58"/>
        <v>26</v>
      </c>
      <c r="F143" s="136">
        <f t="shared" si="58"/>
        <v>26</v>
      </c>
      <c r="G143" s="136">
        <f t="shared" si="58"/>
        <v>26</v>
      </c>
      <c r="H143" s="136">
        <f t="shared" si="58"/>
        <v>25</v>
      </c>
      <c r="I143" s="136">
        <f t="shared" si="58"/>
        <v>24</v>
      </c>
      <c r="J143" s="136">
        <f>SUM(J106:J137)</f>
        <v>220</v>
      </c>
      <c r="K143" s="90"/>
      <c r="L143" s="91"/>
    </row>
  </sheetData>
  <mergeCells count="100">
    <mergeCell ref="B92:B93"/>
    <mergeCell ref="J92:J93"/>
    <mergeCell ref="B94:B95"/>
    <mergeCell ref="J94:J95"/>
    <mergeCell ref="B96:B97"/>
    <mergeCell ref="J96:J97"/>
    <mergeCell ref="B102:B103"/>
    <mergeCell ref="J102:J103"/>
    <mergeCell ref="B98:B99"/>
    <mergeCell ref="J98:J99"/>
    <mergeCell ref="B100:B101"/>
    <mergeCell ref="J100:J101"/>
    <mergeCell ref="B80:B81"/>
    <mergeCell ref="J80:J81"/>
    <mergeCell ref="B82:B83"/>
    <mergeCell ref="J82:J83"/>
    <mergeCell ref="B84:B85"/>
    <mergeCell ref="J84:J85"/>
    <mergeCell ref="B86:B87"/>
    <mergeCell ref="J86:J87"/>
    <mergeCell ref="B88:B89"/>
    <mergeCell ref="J88:J89"/>
    <mergeCell ref="B90:B91"/>
    <mergeCell ref="J90:J91"/>
    <mergeCell ref="B76:B77"/>
    <mergeCell ref="J76:J77"/>
    <mergeCell ref="B78:B79"/>
    <mergeCell ref="J78:J79"/>
    <mergeCell ref="B72:B73"/>
    <mergeCell ref="J72:J73"/>
    <mergeCell ref="B74:B75"/>
    <mergeCell ref="J74:J75"/>
    <mergeCell ref="B58:B59"/>
    <mergeCell ref="J58:J59"/>
    <mergeCell ref="B60:B61"/>
    <mergeCell ref="J60:J61"/>
    <mergeCell ref="B62:B63"/>
    <mergeCell ref="J62:J63"/>
    <mergeCell ref="B68:B69"/>
    <mergeCell ref="J68:J69"/>
    <mergeCell ref="B70:B71"/>
    <mergeCell ref="J70:J71"/>
    <mergeCell ref="B64:B65"/>
    <mergeCell ref="J64:J65"/>
    <mergeCell ref="B66:B67"/>
    <mergeCell ref="J66:J67"/>
    <mergeCell ref="B46:B47"/>
    <mergeCell ref="J46:J47"/>
    <mergeCell ref="B48:B49"/>
    <mergeCell ref="J48:J49"/>
    <mergeCell ref="B50:B51"/>
    <mergeCell ref="J50:J51"/>
    <mergeCell ref="B52:B53"/>
    <mergeCell ref="J52:J53"/>
    <mergeCell ref="B54:B55"/>
    <mergeCell ref="J54:J55"/>
    <mergeCell ref="B56:B57"/>
    <mergeCell ref="J56:J57"/>
    <mergeCell ref="B34:B35"/>
    <mergeCell ref="J34:J35"/>
    <mergeCell ref="B36:B37"/>
    <mergeCell ref="J36:J37"/>
    <mergeCell ref="B38:B39"/>
    <mergeCell ref="J38:J39"/>
    <mergeCell ref="B40:B41"/>
    <mergeCell ref="J40:J41"/>
    <mergeCell ref="B42:B43"/>
    <mergeCell ref="J42:J43"/>
    <mergeCell ref="B44:B45"/>
    <mergeCell ref="J44:J45"/>
    <mergeCell ref="B22:B23"/>
    <mergeCell ref="J22:J23"/>
    <mergeCell ref="B24:B25"/>
    <mergeCell ref="J24:J25"/>
    <mergeCell ref="B26:B27"/>
    <mergeCell ref="J26:J27"/>
    <mergeCell ref="B28:B29"/>
    <mergeCell ref="J28:J29"/>
    <mergeCell ref="B30:B31"/>
    <mergeCell ref="J30:J31"/>
    <mergeCell ref="B32:B33"/>
    <mergeCell ref="J32:J33"/>
    <mergeCell ref="B10:B11"/>
    <mergeCell ref="J10:J11"/>
    <mergeCell ref="B12:B13"/>
    <mergeCell ref="J12:J13"/>
    <mergeCell ref="B14:B15"/>
    <mergeCell ref="J14:J15"/>
    <mergeCell ref="B16:B17"/>
    <mergeCell ref="J16:J17"/>
    <mergeCell ref="B18:B19"/>
    <mergeCell ref="J18:J19"/>
    <mergeCell ref="B20:B21"/>
    <mergeCell ref="J20:J21"/>
    <mergeCell ref="B1:B2"/>
    <mergeCell ref="C4:I4"/>
    <mergeCell ref="B6:B7"/>
    <mergeCell ref="J6:J7"/>
    <mergeCell ref="B8:B9"/>
    <mergeCell ref="J8:J9"/>
  </mergeCells>
  <conditionalFormatting sqref="C143:I143">
    <cfRule type="cellIs" dxfId="921" priority="1510" operator="lessThan">
      <formula>22</formula>
    </cfRule>
  </conditionalFormatting>
  <conditionalFormatting sqref="J113:J114 J116:J119 J121:J131 J106:J111">
    <cfRule type="cellIs" dxfId="920" priority="1509" operator="notEqual">
      <formula>$K106</formula>
    </cfRule>
  </conditionalFormatting>
  <conditionalFormatting sqref="J135">
    <cfRule type="expression" dxfId="919" priority="1508">
      <formula>$J$135+$J$136&lt;$K$135</formula>
    </cfRule>
  </conditionalFormatting>
  <conditionalFormatting sqref="J136">
    <cfRule type="expression" dxfId="918" priority="1507">
      <formula>$J$135+$J$136&lt;$K$135</formula>
    </cfRule>
  </conditionalFormatting>
  <conditionalFormatting sqref="J138:J142">
    <cfRule type="cellIs" dxfId="917" priority="1506" operator="notEqual">
      <formula>$K138</formula>
    </cfRule>
  </conditionalFormatting>
  <conditionalFormatting sqref="C89:I89">
    <cfRule type="expression" dxfId="916" priority="1505">
      <formula>C89=$B$112</formula>
    </cfRule>
  </conditionalFormatting>
  <conditionalFormatting sqref="J112">
    <cfRule type="cellIs" dxfId="915" priority="1504" operator="notEqual">
      <formula>$K112</formula>
    </cfRule>
  </conditionalFormatting>
  <conditionalFormatting sqref="C75:I75">
    <cfRule type="expression" dxfId="914" priority="1502">
      <formula>C75=$B$112</formula>
    </cfRule>
  </conditionalFormatting>
  <conditionalFormatting sqref="C75:I75">
    <cfRule type="expression" dxfId="913" priority="1503">
      <formula>C75=$B$107</formula>
    </cfRule>
  </conditionalFormatting>
  <conditionalFormatting sqref="J115">
    <cfRule type="cellIs" dxfId="912" priority="1501" operator="notEqual">
      <formula>$K115</formula>
    </cfRule>
  </conditionalFormatting>
  <conditionalFormatting sqref="J120">
    <cfRule type="cellIs" dxfId="911" priority="1500" operator="notEqual">
      <formula>$K120</formula>
    </cfRule>
  </conditionalFormatting>
  <conditionalFormatting sqref="H50">
    <cfRule type="expression" dxfId="910" priority="1498">
      <formula>H50=$B$112</formula>
    </cfRule>
  </conditionalFormatting>
  <conditionalFormatting sqref="H50">
    <cfRule type="expression" dxfId="909" priority="1499">
      <formula>H50=$B$107</formula>
    </cfRule>
  </conditionalFormatting>
  <conditionalFormatting sqref="C36">
    <cfRule type="expression" dxfId="908" priority="1496">
      <formula>C36=$B$112</formula>
    </cfRule>
  </conditionalFormatting>
  <conditionalFormatting sqref="C36">
    <cfRule type="expression" dxfId="907" priority="1497">
      <formula>C36=$B$107</formula>
    </cfRule>
  </conditionalFormatting>
  <conditionalFormatting sqref="C90 C58:D58 C59:I63 C38 E38:I38 F90 C39:I47 C102:I103 F92 H92 I90 E64 H64:I64 C94:I97 C50:I57 C84:I89 C66:I82 C6:I35 C37:I37 C36:D36">
    <cfRule type="expression" dxfId="906" priority="1512">
      <formula>C6=$B$126</formula>
    </cfRule>
    <cfRule type="expression" dxfId="905" priority="1513">
      <formula>C6=$B$124</formula>
    </cfRule>
    <cfRule type="expression" dxfId="904" priority="1514">
      <formula>C6=$B$120</formula>
    </cfRule>
    <cfRule type="expression" dxfId="903" priority="1515">
      <formula>C6=$B$115</formula>
    </cfRule>
    <cfRule type="expression" dxfId="902" priority="1516">
      <formula>C6=$B$112</formula>
    </cfRule>
    <cfRule type="expression" dxfId="901" priority="1517">
      <formula>C6=$B$109</formula>
    </cfRule>
    <cfRule type="expression" dxfId="900" priority="1518">
      <formula>C6=$B$112</formula>
    </cfRule>
    <cfRule type="expression" dxfId="899" priority="1519">
      <formula>C6=$B$142</formula>
    </cfRule>
    <cfRule type="expression" dxfId="898" priority="1520">
      <formula>C6=$B$114</formula>
    </cfRule>
    <cfRule type="expression" dxfId="897" priority="1521">
      <formula>C6=$B$142</formula>
    </cfRule>
    <cfRule type="expression" dxfId="896" priority="1522">
      <formula>C6=$B$141</formula>
    </cfRule>
    <cfRule type="expression" dxfId="895" priority="1523">
      <formula>C6=$B$140</formula>
    </cfRule>
    <cfRule type="expression" dxfId="894" priority="1524">
      <formula>C6=$B$139</formula>
    </cfRule>
    <cfRule type="expression" dxfId="893" priority="1525">
      <formula>C6=$B$138</formula>
    </cfRule>
    <cfRule type="expression" dxfId="892" priority="1526">
      <formula>C6=$B$137</formula>
    </cfRule>
    <cfRule type="expression" dxfId="891" priority="1527">
      <formula>C6=$B$136</formula>
    </cfRule>
    <cfRule type="expression" dxfId="890" priority="1528">
      <formula>C6=$B$135</formula>
    </cfRule>
    <cfRule type="expression" dxfId="889" priority="1529">
      <formula>C6=$B$131</formula>
    </cfRule>
    <cfRule type="expression" dxfId="888" priority="1530">
      <formula>C6=$B$130</formula>
    </cfRule>
    <cfRule type="expression" dxfId="887" priority="1531">
      <formula>C6=$B$129</formula>
    </cfRule>
    <cfRule type="expression" dxfId="886" priority="1532">
      <formula>C6=$B$128</formula>
    </cfRule>
    <cfRule type="expression" dxfId="885" priority="1533">
      <formula>C6=$B$127</formula>
    </cfRule>
    <cfRule type="expression" dxfId="884" priority="1534" stopIfTrue="1">
      <formula>C6=$B$126</formula>
    </cfRule>
    <cfRule type="expression" dxfId="883" priority="1535">
      <formula>C6=$B$125</formula>
    </cfRule>
    <cfRule type="expression" dxfId="882" priority="1536" stopIfTrue="1">
      <formula>C6=$B$124</formula>
    </cfRule>
    <cfRule type="expression" dxfId="881" priority="1537">
      <formula>C6=$B$123</formula>
    </cfRule>
    <cfRule type="expression" dxfId="880" priority="1538">
      <formula>C6=$B$122</formula>
    </cfRule>
    <cfRule type="expression" dxfId="879" priority="1539">
      <formula>C6=$B$121</formula>
    </cfRule>
    <cfRule type="expression" dxfId="878" priority="1540" stopIfTrue="1">
      <formula>C6=$B$119</formula>
    </cfRule>
    <cfRule type="expression" dxfId="877" priority="1541" stopIfTrue="1">
      <formula>C6=$B$118</formula>
    </cfRule>
    <cfRule type="expression" dxfId="876" priority="1542" stopIfTrue="1">
      <formula>C6=$B$117</formula>
    </cfRule>
    <cfRule type="expression" dxfId="875" priority="1543">
      <formula>C6=$B$116</formula>
    </cfRule>
    <cfRule type="expression" dxfId="874" priority="1544">
      <formula>C6=$B$113</formula>
    </cfRule>
    <cfRule type="expression" dxfId="873" priority="1545" stopIfTrue="1">
      <formula>C6=$B$111</formula>
    </cfRule>
    <cfRule type="expression" dxfId="872" priority="1546">
      <formula>C6=$B$110</formula>
    </cfRule>
    <cfRule type="expression" dxfId="871" priority="1547">
      <formula>C6=$B$109</formula>
    </cfRule>
    <cfRule type="expression" dxfId="870" priority="1548">
      <formula>C6=$B$108</formula>
    </cfRule>
    <cfRule type="expression" dxfId="869" priority="1549">
      <formula>C6=$B$106</formula>
    </cfRule>
    <cfRule type="expression" dxfId="868" priority="1550" stopIfTrue="1">
      <formula>C6=$B$107</formula>
    </cfRule>
    <cfRule type="expression" dxfId="867" priority="1551" stopIfTrue="1">
      <formula>C$5=TODAY()</formula>
    </cfRule>
  </conditionalFormatting>
  <conditionalFormatting sqref="J137">
    <cfRule type="cellIs" dxfId="866" priority="1495" operator="notEqual">
      <formula>$K137</formula>
    </cfRule>
  </conditionalFormatting>
  <conditionalFormatting sqref="C82:I83 H22:I22 C64:I65 C48:I49 H30:I30 H42:I42 C38:D38 I74 C91:I93 G90:I90 C98:I101 G80:H80 G86:I86 I94 F88:G88 D90:E90 E84 G84:I84 I88 F94:G94 E52 F54 D54 C56:I56 C10 C12 C84 C94 C96 C72 C74 C36:D36">
    <cfRule type="expression" dxfId="865" priority="1454">
      <formula>C10=$B$141</formula>
    </cfRule>
    <cfRule type="expression" dxfId="864" priority="1455">
      <formula>C10=$B$126</formula>
    </cfRule>
    <cfRule type="expression" dxfId="863" priority="1456">
      <formula>C10=$B$124</formula>
    </cfRule>
    <cfRule type="expression" dxfId="862" priority="1457">
      <formula>C10=$B$120</formula>
    </cfRule>
    <cfRule type="expression" dxfId="861" priority="1458">
      <formula>C10=$B$115</formula>
    </cfRule>
    <cfRule type="expression" dxfId="860" priority="1459">
      <formula>C10=$B$112</formula>
    </cfRule>
    <cfRule type="expression" dxfId="859" priority="1460">
      <formula>C10=$B$109</formula>
    </cfRule>
    <cfRule type="expression" dxfId="858" priority="1461">
      <formula>C10=$B$112</formula>
    </cfRule>
    <cfRule type="expression" dxfId="857" priority="1462">
      <formula>C10=$B$142</formula>
    </cfRule>
    <cfRule type="expression" dxfId="856" priority="1463">
      <formula>C10=$B$114</formula>
    </cfRule>
    <cfRule type="expression" dxfId="855" priority="1464">
      <formula>C10=$B$142</formula>
    </cfRule>
    <cfRule type="expression" dxfId="854" priority="1465">
      <formula>C10=$B$141</formula>
    </cfRule>
    <cfRule type="expression" dxfId="853" priority="1466">
      <formula>C10=$B$140</formula>
    </cfRule>
    <cfRule type="expression" dxfId="852" priority="1467">
      <formula>C10=$B$139</formula>
    </cfRule>
    <cfRule type="expression" dxfId="851" priority="1468">
      <formula>C10=$B$138</formula>
    </cfRule>
    <cfRule type="expression" dxfId="850" priority="1469">
      <formula>C10=$B$137</formula>
    </cfRule>
    <cfRule type="expression" dxfId="849" priority="1470">
      <formula>C10=$B$136</formula>
    </cfRule>
    <cfRule type="expression" dxfId="848" priority="1471">
      <formula>C10=$B$135</formula>
    </cfRule>
    <cfRule type="expression" dxfId="847" priority="1472">
      <formula>C10=$B$131</formula>
    </cfRule>
    <cfRule type="expression" dxfId="846" priority="1473">
      <formula>C10=$B$130</formula>
    </cfRule>
    <cfRule type="expression" dxfId="845" priority="1474">
      <formula>C10=$B$129</formula>
    </cfRule>
    <cfRule type="expression" dxfId="844" priority="1475">
      <formula>C10=$B$128</formula>
    </cfRule>
    <cfRule type="expression" dxfId="843" priority="1476">
      <formula>C10=$B$127</formula>
    </cfRule>
    <cfRule type="expression" dxfId="842" priority="1477" stopIfTrue="1">
      <formula>C10=$B$126</formula>
    </cfRule>
    <cfRule type="expression" dxfId="841" priority="1478">
      <formula>C10=$B$125</formula>
    </cfRule>
    <cfRule type="expression" dxfId="840" priority="1479" stopIfTrue="1">
      <formula>C10=$B$124</formula>
    </cfRule>
    <cfRule type="expression" dxfId="839" priority="1480">
      <formula>C10=$B$123</formula>
    </cfRule>
    <cfRule type="expression" dxfId="838" priority="1481">
      <formula>C10=$B$122</formula>
    </cfRule>
    <cfRule type="expression" dxfId="837" priority="1482">
      <formula>C10=$B$121</formula>
    </cfRule>
    <cfRule type="expression" dxfId="836" priority="1483" stopIfTrue="1">
      <formula>C10=$B$119</formula>
    </cfRule>
    <cfRule type="expression" dxfId="835" priority="1484" stopIfTrue="1">
      <formula>C10=$B$118</formula>
    </cfRule>
    <cfRule type="expression" dxfId="834" priority="1485" stopIfTrue="1">
      <formula>C10=$B$117</formula>
    </cfRule>
    <cfRule type="expression" dxfId="833" priority="1486">
      <formula>C10=$B$116</formula>
    </cfRule>
    <cfRule type="expression" dxfId="832" priority="1487">
      <formula>C10=$B$113</formula>
    </cfRule>
    <cfRule type="expression" dxfId="831" priority="1488" stopIfTrue="1">
      <formula>C10=$B$111</formula>
    </cfRule>
    <cfRule type="expression" dxfId="830" priority="1489">
      <formula>C10=$B$110</formula>
    </cfRule>
    <cfRule type="expression" dxfId="829" priority="1490">
      <formula>C10=$B$109</formula>
    </cfRule>
    <cfRule type="expression" dxfId="828" priority="1491">
      <formula>C10=$B$108</formula>
    </cfRule>
    <cfRule type="expression" dxfId="827" priority="1492">
      <formula>C10=$B$106</formula>
    </cfRule>
    <cfRule type="expression" dxfId="826" priority="1493" stopIfTrue="1">
      <formula>C10=$B$107</formula>
    </cfRule>
    <cfRule type="expression" dxfId="825" priority="1494" stopIfTrue="1">
      <formula>C$5=TODAY()</formula>
    </cfRule>
  </conditionalFormatting>
  <conditionalFormatting sqref="H48">
    <cfRule type="expression" dxfId="824" priority="1452">
      <formula>H48=$B$112</formula>
    </cfRule>
  </conditionalFormatting>
  <conditionalFormatting sqref="H48">
    <cfRule type="expression" dxfId="823" priority="1453">
      <formula>H48=$B$107</formula>
    </cfRule>
  </conditionalFormatting>
  <conditionalFormatting sqref="H82">
    <cfRule type="expression" dxfId="822" priority="1450">
      <formula>H82=$B$112</formula>
    </cfRule>
  </conditionalFormatting>
  <conditionalFormatting sqref="H82">
    <cfRule type="expression" dxfId="821" priority="1451">
      <formula>H82=$B$107</formula>
    </cfRule>
  </conditionalFormatting>
  <conditionalFormatting sqref="H92">
    <cfRule type="expression" dxfId="820" priority="1448">
      <formula>H92=$B$112</formula>
    </cfRule>
  </conditionalFormatting>
  <conditionalFormatting sqref="H92">
    <cfRule type="expression" dxfId="819" priority="1449">
      <formula>H92=$B$107</formula>
    </cfRule>
  </conditionalFormatting>
  <conditionalFormatting sqref="C74 C38 C59:I63 E74:I74 C102:I103 F90 F92 H92 I90 H64:I64 F46 C46:D46 H42 E44:I44 G38 H40 F40 C44 C40 C94:I97 C75:I81 C50:I57 C66:I73 C84:I89 E82:F82 C6:I35 C37:I37 C36:D36">
    <cfRule type="expression" dxfId="818" priority="1511">
      <formula>C6=$B$141</formula>
    </cfRule>
  </conditionalFormatting>
  <conditionalFormatting sqref="D46:I46 F90:I90 C92:I101 C47:I57 C59:I89 C6:I35 C37:I45 C36:D36">
    <cfRule type="expression" dxfId="817" priority="1445">
      <formula>C6=$B$133</formula>
    </cfRule>
    <cfRule type="expression" dxfId="816" priority="1446">
      <formula>C6=$B$134</formula>
    </cfRule>
    <cfRule type="expression" dxfId="815" priority="1447">
      <formula>C6=$B$132</formula>
    </cfRule>
  </conditionalFormatting>
  <conditionalFormatting sqref="H90">
    <cfRule type="expression" dxfId="814" priority="1443">
      <formula>H90=$B$112</formula>
    </cfRule>
  </conditionalFormatting>
  <conditionalFormatting sqref="H90">
    <cfRule type="expression" dxfId="813" priority="1444">
      <formula>H90=$B$107</formula>
    </cfRule>
  </conditionalFormatting>
  <conditionalFormatting sqref="C91:I91">
    <cfRule type="expression" dxfId="812" priority="1440">
      <formula>C91=$B$133</formula>
    </cfRule>
    <cfRule type="expression" dxfId="811" priority="1441">
      <formula>C91=$B$134</formula>
    </cfRule>
    <cfRule type="expression" dxfId="810" priority="1442">
      <formula>C91=$B$132</formula>
    </cfRule>
  </conditionalFormatting>
  <conditionalFormatting sqref="C90">
    <cfRule type="expression" dxfId="809" priority="1439">
      <formula>C90=$B$141</formula>
    </cfRule>
  </conditionalFormatting>
  <conditionalFormatting sqref="C90">
    <cfRule type="expression" dxfId="808" priority="1436">
      <formula>C90=$B$133</formula>
    </cfRule>
    <cfRule type="expression" dxfId="807" priority="1437">
      <formula>C90=$B$134</formula>
    </cfRule>
    <cfRule type="expression" dxfId="806" priority="1438">
      <formula>C90=$B$132</formula>
    </cfRule>
  </conditionalFormatting>
  <conditionalFormatting sqref="J134">
    <cfRule type="cellIs" dxfId="805" priority="1435" operator="notEqual">
      <formula>$K134</formula>
    </cfRule>
  </conditionalFormatting>
  <conditionalFormatting sqref="C58:D58">
    <cfRule type="expression" dxfId="804" priority="1429">
      <formula>C58=$B$141</formula>
    </cfRule>
  </conditionalFormatting>
  <conditionalFormatting sqref="C58:D58">
    <cfRule type="expression" dxfId="803" priority="1426">
      <formula>C58=$B$133</formula>
    </cfRule>
    <cfRule type="expression" dxfId="802" priority="1427">
      <formula>C58=$B$134</formula>
    </cfRule>
    <cfRule type="expression" dxfId="801" priority="1428">
      <formula>C58=$B$132</formula>
    </cfRule>
  </conditionalFormatting>
  <conditionalFormatting sqref="J132">
    <cfRule type="cellIs" dxfId="800" priority="1425" operator="notEqual">
      <formula>$K132</formula>
    </cfRule>
  </conditionalFormatting>
  <conditionalFormatting sqref="A6:A102">
    <cfRule type="cellIs" dxfId="799" priority="1423" operator="lessThan">
      <formula>5</formula>
    </cfRule>
    <cfRule type="cellIs" dxfId="798" priority="1424" operator="greaterThanOrEqual">
      <formula>5</formula>
    </cfRule>
  </conditionalFormatting>
  <conditionalFormatting sqref="J133">
    <cfRule type="cellIs" dxfId="797" priority="1422" operator="notEqual">
      <formula>$K133</formula>
    </cfRule>
  </conditionalFormatting>
  <conditionalFormatting sqref="H42:I42">
    <cfRule type="expression" dxfId="796" priority="1421">
      <formula>H42=$B$141</formula>
    </cfRule>
  </conditionalFormatting>
  <conditionalFormatting sqref="I46">
    <cfRule type="expression" dxfId="795" priority="1420">
      <formula>I46=$B$141</formula>
    </cfRule>
  </conditionalFormatting>
  <conditionalFormatting sqref="C46">
    <cfRule type="expression" dxfId="794" priority="1415">
      <formula>C46=$B$141</formula>
    </cfRule>
  </conditionalFormatting>
  <conditionalFormatting sqref="C46">
    <cfRule type="expression" dxfId="793" priority="1412">
      <formula>C46=$B$133</formula>
    </cfRule>
    <cfRule type="expression" dxfId="792" priority="1413">
      <formula>C46=$B$134</formula>
    </cfRule>
    <cfRule type="expression" dxfId="791" priority="1414">
      <formula>C46=$B$132</formula>
    </cfRule>
  </conditionalFormatting>
  <conditionalFormatting sqref="C72">
    <cfRule type="expression" dxfId="790" priority="1411">
      <formula>C72=$B$141</formula>
    </cfRule>
  </conditionalFormatting>
  <conditionalFormatting sqref="C72">
    <cfRule type="expression" dxfId="789" priority="1408">
      <formula>C72=$B$133</formula>
    </cfRule>
    <cfRule type="expression" dxfId="788" priority="1409">
      <formula>C72=$B$134</formula>
    </cfRule>
    <cfRule type="expression" dxfId="787" priority="1410">
      <formula>C72=$B$132</formula>
    </cfRule>
  </conditionalFormatting>
  <conditionalFormatting sqref="C82:I82">
    <cfRule type="expression" dxfId="786" priority="1326">
      <formula>C82=$B$141</formula>
    </cfRule>
  </conditionalFormatting>
  <conditionalFormatting sqref="D36">
    <cfRule type="expression" dxfId="785" priority="1237">
      <formula>D36=$B$112</formula>
    </cfRule>
  </conditionalFormatting>
  <conditionalFormatting sqref="D36">
    <cfRule type="expression" dxfId="784" priority="1238">
      <formula>D36=$B$107</formula>
    </cfRule>
  </conditionalFormatting>
  <conditionalFormatting sqref="D84">
    <cfRule type="expression" dxfId="783" priority="1155">
      <formula>D84=$B$141</formula>
    </cfRule>
    <cfRule type="expression" dxfId="782" priority="1156">
      <formula>D84=$B$126</formula>
    </cfRule>
    <cfRule type="expression" dxfId="781" priority="1157">
      <formula>D84=$B$124</formula>
    </cfRule>
    <cfRule type="expression" dxfId="780" priority="1158">
      <formula>D84=$B$120</formula>
    </cfRule>
    <cfRule type="expression" dxfId="779" priority="1159">
      <formula>D84=$B$115</formula>
    </cfRule>
    <cfRule type="expression" dxfId="778" priority="1160">
      <formula>D84=$B$112</formula>
    </cfRule>
    <cfRule type="expression" dxfId="777" priority="1161">
      <formula>D84=$B$109</formula>
    </cfRule>
    <cfRule type="expression" dxfId="776" priority="1162">
      <formula>D84=$B$112</formula>
    </cfRule>
    <cfRule type="expression" dxfId="775" priority="1163">
      <formula>D84=$B$142</formula>
    </cfRule>
    <cfRule type="expression" dxfId="774" priority="1164">
      <formula>D84=$B$114</formula>
    </cfRule>
    <cfRule type="expression" dxfId="773" priority="1165">
      <formula>D84=$B$142</formula>
    </cfRule>
    <cfRule type="expression" dxfId="772" priority="1166">
      <formula>D84=$B$141</formula>
    </cfRule>
    <cfRule type="expression" dxfId="771" priority="1167">
      <formula>D84=$B$140</formula>
    </cfRule>
    <cfRule type="expression" dxfId="770" priority="1168">
      <formula>D84=$B$139</formula>
    </cfRule>
    <cfRule type="expression" dxfId="769" priority="1169">
      <formula>D84=$B$138</formula>
    </cfRule>
    <cfRule type="expression" dxfId="768" priority="1170">
      <formula>D84=$B$137</formula>
    </cfRule>
    <cfRule type="expression" dxfId="767" priority="1171">
      <formula>D84=$B$136</formula>
    </cfRule>
    <cfRule type="expression" dxfId="766" priority="1172">
      <formula>D84=$B$135</formula>
    </cfRule>
    <cfRule type="expression" dxfId="765" priority="1173">
      <formula>D84=$B$131</formula>
    </cfRule>
    <cfRule type="expression" dxfId="764" priority="1174">
      <formula>D84=$B$130</formula>
    </cfRule>
    <cfRule type="expression" dxfId="763" priority="1175">
      <formula>D84=$B$129</formula>
    </cfRule>
    <cfRule type="expression" dxfId="762" priority="1176">
      <formula>D84=$B$128</formula>
    </cfRule>
    <cfRule type="expression" dxfId="761" priority="1177">
      <formula>D84=$B$127</formula>
    </cfRule>
    <cfRule type="expression" dxfId="760" priority="1178" stopIfTrue="1">
      <formula>D84=$B$126</formula>
    </cfRule>
    <cfRule type="expression" dxfId="759" priority="1179">
      <formula>D84=$B$125</formula>
    </cfRule>
    <cfRule type="expression" dxfId="758" priority="1180" stopIfTrue="1">
      <formula>D84=$B$124</formula>
    </cfRule>
    <cfRule type="expression" dxfId="757" priority="1181">
      <formula>D84=$B$123</formula>
    </cfRule>
    <cfRule type="expression" dxfId="756" priority="1182">
      <formula>D84=$B$122</formula>
    </cfRule>
    <cfRule type="expression" dxfId="755" priority="1183">
      <formula>D84=$B$121</formula>
    </cfRule>
    <cfRule type="expression" dxfId="754" priority="1184" stopIfTrue="1">
      <formula>D84=$B$119</formula>
    </cfRule>
    <cfRule type="expression" dxfId="753" priority="1185" stopIfTrue="1">
      <formula>D84=$B$118</formula>
    </cfRule>
    <cfRule type="expression" dxfId="752" priority="1186" stopIfTrue="1">
      <formula>D84=$B$117</formula>
    </cfRule>
    <cfRule type="expression" dxfId="751" priority="1187">
      <formula>D84=$B$116</formula>
    </cfRule>
    <cfRule type="expression" dxfId="750" priority="1188">
      <formula>D84=$B$113</formula>
    </cfRule>
    <cfRule type="expression" dxfId="749" priority="1189" stopIfTrue="1">
      <formula>D84=$B$111</formula>
    </cfRule>
    <cfRule type="expression" dxfId="748" priority="1190">
      <formula>D84=$B$110</formula>
    </cfRule>
    <cfRule type="expression" dxfId="747" priority="1191">
      <formula>D84=$B$109</formula>
    </cfRule>
    <cfRule type="expression" dxfId="746" priority="1192">
      <formula>D84=$B$108</formula>
    </cfRule>
    <cfRule type="expression" dxfId="745" priority="1193">
      <formula>D84=$B$106</formula>
    </cfRule>
    <cfRule type="expression" dxfId="744" priority="1194" stopIfTrue="1">
      <formula>D84=$B$107</formula>
    </cfRule>
    <cfRule type="expression" dxfId="743" priority="1195" stopIfTrue="1">
      <formula>D$5=TODAY()</formula>
    </cfRule>
  </conditionalFormatting>
  <conditionalFormatting sqref="C92">
    <cfRule type="expression" dxfId="742" priority="1154">
      <formula>C92=$B$141</formula>
    </cfRule>
  </conditionalFormatting>
  <conditionalFormatting sqref="C92">
    <cfRule type="expression" dxfId="741" priority="1114">
      <formula>C92=$B$126</formula>
    </cfRule>
    <cfRule type="expression" dxfId="740" priority="1115">
      <formula>C92=$B$124</formula>
    </cfRule>
    <cfRule type="expression" dxfId="739" priority="1116">
      <formula>C92=$B$120</formula>
    </cfRule>
    <cfRule type="expression" dxfId="738" priority="1117">
      <formula>C92=$B$115</formula>
    </cfRule>
    <cfRule type="expression" dxfId="737" priority="1118">
      <formula>C92=$B$112</formula>
    </cfRule>
    <cfRule type="expression" dxfId="736" priority="1119">
      <formula>C92=$B$109</formula>
    </cfRule>
    <cfRule type="expression" dxfId="735" priority="1120">
      <formula>C92=$B$112</formula>
    </cfRule>
    <cfRule type="expression" dxfId="734" priority="1121">
      <formula>C92=$B$142</formula>
    </cfRule>
    <cfRule type="expression" dxfId="733" priority="1122">
      <formula>C92=$B$114</formula>
    </cfRule>
    <cfRule type="expression" dxfId="732" priority="1123">
      <formula>C92=$B$142</formula>
    </cfRule>
    <cfRule type="expression" dxfId="731" priority="1124">
      <formula>C92=$B$141</formula>
    </cfRule>
    <cfRule type="expression" dxfId="730" priority="1125">
      <formula>C92=$B$140</formula>
    </cfRule>
    <cfRule type="expression" dxfId="729" priority="1126">
      <formula>C92=$B$139</formula>
    </cfRule>
    <cfRule type="expression" dxfId="728" priority="1127">
      <formula>C92=$B$138</formula>
    </cfRule>
    <cfRule type="expression" dxfId="727" priority="1128">
      <formula>C92=$B$137</formula>
    </cfRule>
    <cfRule type="expression" dxfId="726" priority="1129">
      <formula>C92=$B$136</formula>
    </cfRule>
    <cfRule type="expression" dxfId="725" priority="1130">
      <formula>C92=$B$135</formula>
    </cfRule>
    <cfRule type="expression" dxfId="724" priority="1131">
      <formula>C92=$B$131</formula>
    </cfRule>
    <cfRule type="expression" dxfId="723" priority="1132">
      <formula>C92=$B$130</formula>
    </cfRule>
    <cfRule type="expression" dxfId="722" priority="1133">
      <formula>C92=$B$129</formula>
    </cfRule>
    <cfRule type="expression" dxfId="721" priority="1134">
      <formula>C92=$B$128</formula>
    </cfRule>
    <cfRule type="expression" dxfId="720" priority="1135">
      <formula>C92=$B$127</formula>
    </cfRule>
    <cfRule type="expression" dxfId="719" priority="1136" stopIfTrue="1">
      <formula>C92=$B$126</formula>
    </cfRule>
    <cfRule type="expression" dxfId="718" priority="1137">
      <formula>C92=$B$125</formula>
    </cfRule>
    <cfRule type="expression" dxfId="717" priority="1138" stopIfTrue="1">
      <formula>C92=$B$124</formula>
    </cfRule>
    <cfRule type="expression" dxfId="716" priority="1139">
      <formula>C92=$B$123</formula>
    </cfRule>
    <cfRule type="expression" dxfId="715" priority="1140">
      <formula>C92=$B$122</formula>
    </cfRule>
    <cfRule type="expression" dxfId="714" priority="1141">
      <formula>C92=$B$121</formula>
    </cfRule>
    <cfRule type="expression" dxfId="713" priority="1142" stopIfTrue="1">
      <formula>C92=$B$119</formula>
    </cfRule>
    <cfRule type="expression" dxfId="712" priority="1143" stopIfTrue="1">
      <formula>C92=$B$118</formula>
    </cfRule>
    <cfRule type="expression" dxfId="711" priority="1144" stopIfTrue="1">
      <formula>C92=$B$117</formula>
    </cfRule>
    <cfRule type="expression" dxfId="710" priority="1145">
      <formula>C92=$B$116</formula>
    </cfRule>
    <cfRule type="expression" dxfId="709" priority="1146">
      <formula>C92=$B$113</formula>
    </cfRule>
    <cfRule type="expression" dxfId="708" priority="1147" stopIfTrue="1">
      <formula>C92=$B$111</formula>
    </cfRule>
    <cfRule type="expression" dxfId="707" priority="1148">
      <formula>C92=$B$110</formula>
    </cfRule>
    <cfRule type="expression" dxfId="706" priority="1149">
      <formula>C92=$B$109</formula>
    </cfRule>
    <cfRule type="expression" dxfId="705" priority="1150">
      <formula>C92=$B$108</formula>
    </cfRule>
    <cfRule type="expression" dxfId="704" priority="1151">
      <formula>C92=$B$106</formula>
    </cfRule>
    <cfRule type="expression" dxfId="703" priority="1152" stopIfTrue="1">
      <formula>C92=$B$107</formula>
    </cfRule>
    <cfRule type="expression" dxfId="702" priority="1153" stopIfTrue="1">
      <formula>C$5=TODAY()</formula>
    </cfRule>
  </conditionalFormatting>
  <conditionalFormatting sqref="C78:D78">
    <cfRule type="expression" dxfId="701" priority="1073">
      <formula>C78=$B$141</formula>
    </cfRule>
    <cfRule type="expression" dxfId="700" priority="1074">
      <formula>C78=$B$126</formula>
    </cfRule>
    <cfRule type="expression" dxfId="699" priority="1075">
      <formula>C78=$B$124</formula>
    </cfRule>
    <cfRule type="expression" dxfId="698" priority="1076">
      <formula>C78=$B$120</formula>
    </cfRule>
    <cfRule type="expression" dxfId="697" priority="1077">
      <formula>C78=$B$115</formula>
    </cfRule>
    <cfRule type="expression" dxfId="696" priority="1078">
      <formula>C78=$B$112</formula>
    </cfRule>
    <cfRule type="expression" dxfId="695" priority="1079">
      <formula>C78=$B$109</formula>
    </cfRule>
    <cfRule type="expression" dxfId="694" priority="1080">
      <formula>C78=$B$112</formula>
    </cfRule>
    <cfRule type="expression" dxfId="693" priority="1081">
      <formula>C78=$B$142</formula>
    </cfRule>
    <cfRule type="expression" dxfId="692" priority="1082">
      <formula>C78=$B$114</formula>
    </cfRule>
    <cfRule type="expression" dxfId="691" priority="1083">
      <formula>C78=$B$142</formula>
    </cfRule>
    <cfRule type="expression" dxfId="690" priority="1084">
      <formula>C78=$B$141</formula>
    </cfRule>
    <cfRule type="expression" dxfId="689" priority="1085">
      <formula>C78=$B$140</formula>
    </cfRule>
    <cfRule type="expression" dxfId="688" priority="1086">
      <formula>C78=$B$139</formula>
    </cfRule>
    <cfRule type="expression" dxfId="687" priority="1087">
      <formula>C78=$B$138</formula>
    </cfRule>
    <cfRule type="expression" dxfId="686" priority="1088">
      <formula>C78=$B$137</formula>
    </cfRule>
    <cfRule type="expression" dxfId="685" priority="1089">
      <formula>C78=$B$136</formula>
    </cfRule>
    <cfRule type="expression" dxfId="684" priority="1090">
      <formula>C78=$B$135</formula>
    </cfRule>
    <cfRule type="expression" dxfId="683" priority="1091">
      <formula>C78=$B$131</formula>
    </cfRule>
    <cfRule type="expression" dxfId="682" priority="1092">
      <formula>C78=$B$130</formula>
    </cfRule>
    <cfRule type="expression" dxfId="681" priority="1093">
      <formula>C78=$B$129</formula>
    </cfRule>
    <cfRule type="expression" dxfId="680" priority="1094">
      <formula>C78=$B$128</formula>
    </cfRule>
    <cfRule type="expression" dxfId="679" priority="1095">
      <formula>C78=$B$127</formula>
    </cfRule>
    <cfRule type="expression" dxfId="678" priority="1096" stopIfTrue="1">
      <formula>C78=$B$126</formula>
    </cfRule>
    <cfRule type="expression" dxfId="677" priority="1097">
      <formula>C78=$B$125</formula>
    </cfRule>
    <cfRule type="expression" dxfId="676" priority="1098" stopIfTrue="1">
      <formula>C78=$B$124</formula>
    </cfRule>
    <cfRule type="expression" dxfId="675" priority="1099">
      <formula>C78=$B$123</formula>
    </cfRule>
    <cfRule type="expression" dxfId="674" priority="1100">
      <formula>C78=$B$122</formula>
    </cfRule>
    <cfRule type="expression" dxfId="673" priority="1101">
      <formula>C78=$B$121</formula>
    </cfRule>
    <cfRule type="expression" dxfId="672" priority="1102" stopIfTrue="1">
      <formula>C78=$B$119</formula>
    </cfRule>
    <cfRule type="expression" dxfId="671" priority="1103" stopIfTrue="1">
      <formula>C78=$B$118</formula>
    </cfRule>
    <cfRule type="expression" dxfId="670" priority="1104" stopIfTrue="1">
      <formula>C78=$B$117</formula>
    </cfRule>
    <cfRule type="expression" dxfId="669" priority="1105">
      <formula>C78=$B$116</formula>
    </cfRule>
    <cfRule type="expression" dxfId="668" priority="1106">
      <formula>C78=$B$113</formula>
    </cfRule>
    <cfRule type="expression" dxfId="667" priority="1107" stopIfTrue="1">
      <formula>C78=$B$111</formula>
    </cfRule>
    <cfRule type="expression" dxfId="666" priority="1108">
      <formula>C78=$B$110</formula>
    </cfRule>
    <cfRule type="expression" dxfId="665" priority="1109">
      <formula>C78=$B$109</formula>
    </cfRule>
    <cfRule type="expression" dxfId="664" priority="1110">
      <formula>C78=$B$108</formula>
    </cfRule>
    <cfRule type="expression" dxfId="663" priority="1111">
      <formula>C78=$B$106</formula>
    </cfRule>
    <cfRule type="expression" dxfId="662" priority="1112" stopIfTrue="1">
      <formula>C78=$B$107</formula>
    </cfRule>
    <cfRule type="expression" dxfId="661" priority="1113" stopIfTrue="1">
      <formula>C$5=TODAY()</formula>
    </cfRule>
  </conditionalFormatting>
  <conditionalFormatting sqref="C78:D78">
    <cfRule type="expression" dxfId="660" priority="1072">
      <formula>C78=$B$141</formula>
    </cfRule>
  </conditionalFormatting>
  <conditionalFormatting sqref="I92">
    <cfRule type="expression" dxfId="659" priority="1032">
      <formula>I92=$B$126</formula>
    </cfRule>
    <cfRule type="expression" dxfId="658" priority="1033">
      <formula>I92=$B$124</formula>
    </cfRule>
    <cfRule type="expression" dxfId="657" priority="1034">
      <formula>I92=$B$120</formula>
    </cfRule>
    <cfRule type="expression" dxfId="656" priority="1035">
      <formula>I92=$B$115</formula>
    </cfRule>
    <cfRule type="expression" dxfId="655" priority="1036">
      <formula>I92=$B$112</formula>
    </cfRule>
    <cfRule type="expression" dxfId="654" priority="1037">
      <formula>I92=$B$109</formula>
    </cfRule>
    <cfRule type="expression" dxfId="653" priority="1038">
      <formula>I92=$B$112</formula>
    </cfRule>
    <cfRule type="expression" dxfId="652" priority="1039">
      <formula>I92=$B$142</formula>
    </cfRule>
    <cfRule type="expression" dxfId="651" priority="1040">
      <formula>I92=$B$114</formula>
    </cfRule>
    <cfRule type="expression" dxfId="650" priority="1041">
      <formula>I92=$B$142</formula>
    </cfRule>
    <cfRule type="expression" dxfId="649" priority="1042">
      <formula>I92=$B$141</formula>
    </cfRule>
    <cfRule type="expression" dxfId="648" priority="1043">
      <formula>I92=$B$140</formula>
    </cfRule>
    <cfRule type="expression" dxfId="647" priority="1044">
      <formula>I92=$B$139</formula>
    </cfRule>
    <cfRule type="expression" dxfId="646" priority="1045">
      <formula>I92=$B$138</formula>
    </cfRule>
    <cfRule type="expression" dxfId="645" priority="1046">
      <formula>I92=$B$137</formula>
    </cfRule>
    <cfRule type="expression" dxfId="644" priority="1047">
      <formula>I92=$B$136</formula>
    </cfRule>
    <cfRule type="expression" dxfId="643" priority="1048">
      <formula>I92=$B$135</formula>
    </cfRule>
    <cfRule type="expression" dxfId="642" priority="1049">
      <formula>I92=$B$131</formula>
    </cfRule>
    <cfRule type="expression" dxfId="641" priority="1050">
      <formula>I92=$B$130</formula>
    </cfRule>
    <cfRule type="expression" dxfId="640" priority="1051">
      <formula>I92=$B$129</formula>
    </cfRule>
    <cfRule type="expression" dxfId="639" priority="1052">
      <formula>I92=$B$128</formula>
    </cfRule>
    <cfRule type="expression" dxfId="638" priority="1053">
      <formula>I92=$B$127</formula>
    </cfRule>
    <cfRule type="expression" dxfId="637" priority="1054" stopIfTrue="1">
      <formula>I92=$B$126</formula>
    </cfRule>
    <cfRule type="expression" dxfId="636" priority="1055">
      <formula>I92=$B$125</formula>
    </cfRule>
    <cfRule type="expression" dxfId="635" priority="1056" stopIfTrue="1">
      <formula>I92=$B$124</formula>
    </cfRule>
    <cfRule type="expression" dxfId="634" priority="1057">
      <formula>I92=$B$123</formula>
    </cfRule>
    <cfRule type="expression" dxfId="633" priority="1058">
      <formula>I92=$B$122</formula>
    </cfRule>
    <cfRule type="expression" dxfId="632" priority="1059">
      <formula>I92=$B$121</formula>
    </cfRule>
    <cfRule type="expression" dxfId="631" priority="1060" stopIfTrue="1">
      <formula>I92=$B$119</formula>
    </cfRule>
    <cfRule type="expression" dxfId="630" priority="1061" stopIfTrue="1">
      <formula>I92=$B$118</formula>
    </cfRule>
    <cfRule type="expression" dxfId="629" priority="1062" stopIfTrue="1">
      <formula>I92=$B$117</formula>
    </cfRule>
    <cfRule type="expression" dxfId="628" priority="1063">
      <formula>I92=$B$116</formula>
    </cfRule>
    <cfRule type="expression" dxfId="627" priority="1064">
      <formula>I92=$B$113</formula>
    </cfRule>
    <cfRule type="expression" dxfId="626" priority="1065" stopIfTrue="1">
      <formula>I92=$B$111</formula>
    </cfRule>
    <cfRule type="expression" dxfId="625" priority="1066">
      <formula>I92=$B$110</formula>
    </cfRule>
    <cfRule type="expression" dxfId="624" priority="1067">
      <formula>I92=$B$109</formula>
    </cfRule>
    <cfRule type="expression" dxfId="623" priority="1068">
      <formula>I92=$B$108</formula>
    </cfRule>
    <cfRule type="expression" dxfId="622" priority="1069">
      <formula>I92=$B$106</formula>
    </cfRule>
    <cfRule type="expression" dxfId="621" priority="1070" stopIfTrue="1">
      <formula>I92=$B$107</formula>
    </cfRule>
    <cfRule type="expression" dxfId="620" priority="1071" stopIfTrue="1">
      <formula>I$5=TODAY()</formula>
    </cfRule>
  </conditionalFormatting>
  <conditionalFormatting sqref="I92">
    <cfRule type="expression" dxfId="619" priority="1031">
      <formula>I92=$B$141</formula>
    </cfRule>
  </conditionalFormatting>
  <conditionalFormatting sqref="E64">
    <cfRule type="expression" dxfId="618" priority="1030">
      <formula>E64=$B$141</formula>
    </cfRule>
  </conditionalFormatting>
  <conditionalFormatting sqref="C46">
    <cfRule type="expression" dxfId="617" priority="1027">
      <formula>C46=$B$133</formula>
    </cfRule>
    <cfRule type="expression" dxfId="616" priority="1028">
      <formula>C46=$B$134</formula>
    </cfRule>
    <cfRule type="expression" dxfId="615" priority="1029">
      <formula>C46=$B$132</formula>
    </cfRule>
  </conditionalFormatting>
  <conditionalFormatting sqref="D40">
    <cfRule type="expression" dxfId="614" priority="942">
      <formula>D40=$B$141</formula>
    </cfRule>
  </conditionalFormatting>
  <conditionalFormatting sqref="C88">
    <cfRule type="expression" dxfId="613" priority="901">
      <formula>C88=$B$141</formula>
    </cfRule>
    <cfRule type="expression" dxfId="612" priority="902">
      <formula>C88=$B$126</formula>
    </cfRule>
    <cfRule type="expression" dxfId="611" priority="903">
      <formula>C88=$B$124</formula>
    </cfRule>
    <cfRule type="expression" dxfId="610" priority="904">
      <formula>C88=$B$120</formula>
    </cfRule>
    <cfRule type="expression" dxfId="609" priority="905">
      <formula>C88=$B$115</formula>
    </cfRule>
    <cfRule type="expression" dxfId="608" priority="906">
      <formula>C88=$B$112</formula>
    </cfRule>
    <cfRule type="expression" dxfId="607" priority="907">
      <formula>C88=$B$109</formula>
    </cfRule>
    <cfRule type="expression" dxfId="606" priority="908">
      <formula>C88=$B$112</formula>
    </cfRule>
    <cfRule type="expression" dxfId="605" priority="909">
      <formula>C88=$B$142</formula>
    </cfRule>
    <cfRule type="expression" dxfId="604" priority="910">
      <formula>C88=$B$114</formula>
    </cfRule>
    <cfRule type="expression" dxfId="603" priority="911">
      <formula>C88=$B$142</formula>
    </cfRule>
    <cfRule type="expression" dxfId="602" priority="912">
      <formula>C88=$B$141</formula>
    </cfRule>
    <cfRule type="expression" dxfId="601" priority="913">
      <formula>C88=$B$140</formula>
    </cfRule>
    <cfRule type="expression" dxfId="600" priority="914">
      <formula>C88=$B$139</formula>
    </cfRule>
    <cfRule type="expression" dxfId="599" priority="915">
      <formula>C88=$B$138</formula>
    </cfRule>
    <cfRule type="expression" dxfId="598" priority="916">
      <formula>C88=$B$137</formula>
    </cfRule>
    <cfRule type="expression" dxfId="597" priority="917">
      <formula>C88=$B$136</formula>
    </cfRule>
    <cfRule type="expression" dxfId="596" priority="918">
      <formula>C88=$B$135</formula>
    </cfRule>
    <cfRule type="expression" dxfId="595" priority="919">
      <formula>C88=$B$131</formula>
    </cfRule>
    <cfRule type="expression" dxfId="594" priority="920">
      <formula>C88=$B$130</formula>
    </cfRule>
    <cfRule type="expression" dxfId="593" priority="921">
      <formula>C88=$B$129</formula>
    </cfRule>
    <cfRule type="expression" dxfId="592" priority="922">
      <formula>C88=$B$128</formula>
    </cfRule>
    <cfRule type="expression" dxfId="591" priority="923">
      <formula>C88=$B$127</formula>
    </cfRule>
    <cfRule type="expression" dxfId="590" priority="924" stopIfTrue="1">
      <formula>C88=$B$126</formula>
    </cfRule>
    <cfRule type="expression" dxfId="589" priority="925">
      <formula>C88=$B$125</formula>
    </cfRule>
    <cfRule type="expression" dxfId="588" priority="926" stopIfTrue="1">
      <formula>C88=$B$124</formula>
    </cfRule>
    <cfRule type="expression" dxfId="587" priority="927">
      <formula>C88=$B$123</formula>
    </cfRule>
    <cfRule type="expression" dxfId="586" priority="928">
      <formula>C88=$B$122</formula>
    </cfRule>
    <cfRule type="expression" dxfId="585" priority="929">
      <formula>C88=$B$121</formula>
    </cfRule>
    <cfRule type="expression" dxfId="584" priority="930" stopIfTrue="1">
      <formula>C88=$B$119</formula>
    </cfRule>
    <cfRule type="expression" dxfId="583" priority="931" stopIfTrue="1">
      <formula>C88=$B$118</formula>
    </cfRule>
    <cfRule type="expression" dxfId="582" priority="932" stopIfTrue="1">
      <formula>C88=$B$117</formula>
    </cfRule>
    <cfRule type="expression" dxfId="581" priority="933">
      <formula>C88=$B$116</formula>
    </cfRule>
    <cfRule type="expression" dxfId="580" priority="934">
      <formula>C88=$B$113</formula>
    </cfRule>
    <cfRule type="expression" dxfId="579" priority="935" stopIfTrue="1">
      <formula>C88=$B$111</formula>
    </cfRule>
    <cfRule type="expression" dxfId="578" priority="936">
      <formula>C88=$B$110</formula>
    </cfRule>
    <cfRule type="expression" dxfId="577" priority="937">
      <formula>C88=$B$109</formula>
    </cfRule>
    <cfRule type="expression" dxfId="576" priority="938">
      <formula>C88=$B$108</formula>
    </cfRule>
    <cfRule type="expression" dxfId="575" priority="939">
      <formula>C88=$B$106</formula>
    </cfRule>
    <cfRule type="expression" dxfId="574" priority="940" stopIfTrue="1">
      <formula>C88=$B$107</formula>
    </cfRule>
    <cfRule type="expression" dxfId="573" priority="941" stopIfTrue="1">
      <formula>C$5=TODAY()</formula>
    </cfRule>
  </conditionalFormatting>
  <conditionalFormatting sqref="D90:E90">
    <cfRule type="expression" dxfId="572" priority="898">
      <formula>D90=$B$133</formula>
    </cfRule>
    <cfRule type="expression" dxfId="571" priority="899">
      <formula>D90=$B$134</formula>
    </cfRule>
    <cfRule type="expression" dxfId="570" priority="900">
      <formula>D90=$B$132</formula>
    </cfRule>
  </conditionalFormatting>
  <conditionalFormatting sqref="C102:I102">
    <cfRule type="expression" dxfId="569" priority="690">
      <formula>C102=$B$133</formula>
    </cfRule>
    <cfRule type="expression" dxfId="568" priority="691">
      <formula>C102=$B$134</formula>
    </cfRule>
    <cfRule type="expression" dxfId="567" priority="692">
      <formula>C102=$B$132</formula>
    </cfRule>
  </conditionalFormatting>
  <conditionalFormatting sqref="C102">
    <cfRule type="expression" dxfId="566" priority="649">
      <formula>C102=$B$141</formula>
    </cfRule>
    <cfRule type="expression" dxfId="565" priority="650">
      <formula>C102=$B$126</formula>
    </cfRule>
    <cfRule type="expression" dxfId="564" priority="651">
      <formula>C102=$B$124</formula>
    </cfRule>
    <cfRule type="expression" dxfId="563" priority="652">
      <formula>C102=$B$120</formula>
    </cfRule>
    <cfRule type="expression" dxfId="562" priority="653">
      <formula>C102=$B$115</formula>
    </cfRule>
    <cfRule type="expression" dxfId="561" priority="654">
      <formula>C102=$B$112</formula>
    </cfRule>
    <cfRule type="expression" dxfId="560" priority="655">
      <formula>C102=$B$109</formula>
    </cfRule>
    <cfRule type="expression" dxfId="559" priority="656">
      <formula>C102=$B$112</formula>
    </cfRule>
    <cfRule type="expression" dxfId="558" priority="657">
      <formula>C102=$B$142</formula>
    </cfRule>
    <cfRule type="expression" dxfId="557" priority="658">
      <formula>C102=$B$114</formula>
    </cfRule>
    <cfRule type="expression" dxfId="556" priority="659">
      <formula>C102=$B$142</formula>
    </cfRule>
    <cfRule type="expression" dxfId="555" priority="660">
      <formula>C102=$B$141</formula>
    </cfRule>
    <cfRule type="expression" dxfId="554" priority="661">
      <formula>C102=$B$140</formula>
    </cfRule>
    <cfRule type="expression" dxfId="553" priority="662">
      <formula>C102=$B$139</formula>
    </cfRule>
    <cfRule type="expression" dxfId="552" priority="663">
      <formula>C102=$B$138</formula>
    </cfRule>
    <cfRule type="expression" dxfId="551" priority="664">
      <formula>C102=$B$137</formula>
    </cfRule>
    <cfRule type="expression" dxfId="550" priority="665">
      <formula>C102=$B$136</formula>
    </cfRule>
    <cfRule type="expression" dxfId="549" priority="666">
      <formula>C102=$B$135</formula>
    </cfRule>
    <cfRule type="expression" dxfId="548" priority="667">
      <formula>C102=$B$131</formula>
    </cfRule>
    <cfRule type="expression" dxfId="547" priority="668">
      <formula>C102=$B$130</formula>
    </cfRule>
    <cfRule type="expression" dxfId="546" priority="669">
      <formula>C102=$B$129</formula>
    </cfRule>
    <cfRule type="expression" dxfId="545" priority="670">
      <formula>C102=$B$128</formula>
    </cfRule>
    <cfRule type="expression" dxfId="544" priority="671">
      <formula>C102=$B$127</formula>
    </cfRule>
    <cfRule type="expression" dxfId="543" priority="672" stopIfTrue="1">
      <formula>C102=$B$126</formula>
    </cfRule>
    <cfRule type="expression" dxfId="542" priority="673">
      <formula>C102=$B$125</formula>
    </cfRule>
    <cfRule type="expression" dxfId="541" priority="674" stopIfTrue="1">
      <formula>C102=$B$124</formula>
    </cfRule>
    <cfRule type="expression" dxfId="540" priority="675">
      <formula>C102=$B$123</formula>
    </cfRule>
    <cfRule type="expression" dxfId="539" priority="676">
      <formula>C102=$B$122</formula>
    </cfRule>
    <cfRule type="expression" dxfId="538" priority="677">
      <formula>C102=$B$121</formula>
    </cfRule>
    <cfRule type="expression" dxfId="537" priority="678" stopIfTrue="1">
      <formula>C102=$B$119</formula>
    </cfRule>
    <cfRule type="expression" dxfId="536" priority="679" stopIfTrue="1">
      <formula>C102=$B$118</formula>
    </cfRule>
    <cfRule type="expression" dxfId="535" priority="680" stopIfTrue="1">
      <formula>C102=$B$117</formula>
    </cfRule>
    <cfRule type="expression" dxfId="534" priority="681">
      <formula>C102=$B$116</formula>
    </cfRule>
    <cfRule type="expression" dxfId="533" priority="682">
      <formula>C102=$B$113</formula>
    </cfRule>
    <cfRule type="expression" dxfId="532" priority="683" stopIfTrue="1">
      <formula>C102=$B$111</formula>
    </cfRule>
    <cfRule type="expression" dxfId="531" priority="684">
      <formula>C102=$B$110</formula>
    </cfRule>
    <cfRule type="expression" dxfId="530" priority="685">
      <formula>C102=$B$109</formula>
    </cfRule>
    <cfRule type="expression" dxfId="529" priority="686">
      <formula>C102=$B$108</formula>
    </cfRule>
    <cfRule type="expression" dxfId="528" priority="687">
      <formula>C102=$B$106</formula>
    </cfRule>
    <cfRule type="expression" dxfId="527" priority="688" stopIfTrue="1">
      <formula>C102=$B$107</formula>
    </cfRule>
    <cfRule type="expression" dxfId="526" priority="689" stopIfTrue="1">
      <formula>C$5=TODAY()</formula>
    </cfRule>
  </conditionalFormatting>
  <conditionalFormatting sqref="C100">
    <cfRule type="expression" dxfId="525" priority="609">
      <formula>C100=$B$126</formula>
    </cfRule>
    <cfRule type="expression" dxfId="524" priority="610">
      <formula>C100=$B$124</formula>
    </cfRule>
    <cfRule type="expression" dxfId="523" priority="611">
      <formula>C100=$B$120</formula>
    </cfRule>
    <cfRule type="expression" dxfId="522" priority="612">
      <formula>C100=$B$115</formula>
    </cfRule>
    <cfRule type="expression" dxfId="521" priority="613">
      <formula>C100=$B$112</formula>
    </cfRule>
    <cfRule type="expression" dxfId="520" priority="614">
      <formula>C100=$B$109</formula>
    </cfRule>
    <cfRule type="expression" dxfId="519" priority="615">
      <formula>C100=$B$112</formula>
    </cfRule>
    <cfRule type="expression" dxfId="518" priority="616">
      <formula>C100=$B$142</formula>
    </cfRule>
    <cfRule type="expression" dxfId="517" priority="617">
      <formula>C100=$B$114</formula>
    </cfRule>
    <cfRule type="expression" dxfId="516" priority="618">
      <formula>C100=$B$142</formula>
    </cfRule>
    <cfRule type="expression" dxfId="515" priority="619">
      <formula>C100=$B$141</formula>
    </cfRule>
    <cfRule type="expression" dxfId="514" priority="620">
      <formula>C100=$B$140</formula>
    </cfRule>
    <cfRule type="expression" dxfId="513" priority="621">
      <formula>C100=$B$139</formula>
    </cfRule>
    <cfRule type="expression" dxfId="512" priority="622">
      <formula>C100=$B$138</formula>
    </cfRule>
    <cfRule type="expression" dxfId="511" priority="623">
      <formula>C100=$B$137</formula>
    </cfRule>
    <cfRule type="expression" dxfId="510" priority="624">
      <formula>C100=$B$136</formula>
    </cfRule>
    <cfRule type="expression" dxfId="509" priority="625">
      <formula>C100=$B$135</formula>
    </cfRule>
    <cfRule type="expression" dxfId="508" priority="626">
      <formula>C100=$B$131</formula>
    </cfRule>
    <cfRule type="expression" dxfId="507" priority="627">
      <formula>C100=$B$130</formula>
    </cfRule>
    <cfRule type="expression" dxfId="506" priority="628">
      <formula>C100=$B$129</formula>
    </cfRule>
    <cfRule type="expression" dxfId="505" priority="629">
      <formula>C100=$B$128</formula>
    </cfRule>
    <cfRule type="expression" dxfId="504" priority="630">
      <formula>C100=$B$127</formula>
    </cfRule>
    <cfRule type="expression" dxfId="503" priority="631" stopIfTrue="1">
      <formula>C100=$B$126</formula>
    </cfRule>
    <cfRule type="expression" dxfId="502" priority="632">
      <formula>C100=$B$125</formula>
    </cfRule>
    <cfRule type="expression" dxfId="501" priority="633" stopIfTrue="1">
      <formula>C100=$B$124</formula>
    </cfRule>
    <cfRule type="expression" dxfId="500" priority="634">
      <formula>C100=$B$123</formula>
    </cfRule>
    <cfRule type="expression" dxfId="499" priority="635">
      <formula>C100=$B$122</formula>
    </cfRule>
    <cfRule type="expression" dxfId="498" priority="636">
      <formula>C100=$B$121</formula>
    </cfRule>
    <cfRule type="expression" dxfId="497" priority="637" stopIfTrue="1">
      <formula>C100=$B$119</formula>
    </cfRule>
    <cfRule type="expression" dxfId="496" priority="638" stopIfTrue="1">
      <formula>C100=$B$118</formula>
    </cfRule>
    <cfRule type="expression" dxfId="495" priority="639" stopIfTrue="1">
      <formula>C100=$B$117</formula>
    </cfRule>
    <cfRule type="expression" dxfId="494" priority="640">
      <formula>C100=$B$116</formula>
    </cfRule>
    <cfRule type="expression" dxfId="493" priority="641">
      <formula>C100=$B$113</formula>
    </cfRule>
    <cfRule type="expression" dxfId="492" priority="642" stopIfTrue="1">
      <formula>C100=$B$111</formula>
    </cfRule>
    <cfRule type="expression" dxfId="491" priority="643">
      <formula>C100=$B$110</formula>
    </cfRule>
    <cfRule type="expression" dxfId="490" priority="644">
      <formula>C100=$B$109</formula>
    </cfRule>
    <cfRule type="expression" dxfId="489" priority="645">
      <formula>C100=$B$108</formula>
    </cfRule>
    <cfRule type="expression" dxfId="488" priority="646">
      <formula>C100=$B$106</formula>
    </cfRule>
    <cfRule type="expression" dxfId="487" priority="647" stopIfTrue="1">
      <formula>C100=$B$107</formula>
    </cfRule>
    <cfRule type="expression" dxfId="486" priority="648" stopIfTrue="1">
      <formula>C$5=TODAY()</formula>
    </cfRule>
  </conditionalFormatting>
  <conditionalFormatting sqref="C100">
    <cfRule type="expression" dxfId="485" priority="608">
      <formula>C100=$B$141</formula>
    </cfRule>
  </conditionalFormatting>
  <conditionalFormatting sqref="C98">
    <cfRule type="expression" dxfId="484" priority="568">
      <formula>C98=$B$126</formula>
    </cfRule>
    <cfRule type="expression" dxfId="483" priority="569">
      <formula>C98=$B$124</formula>
    </cfRule>
    <cfRule type="expression" dxfId="482" priority="570">
      <formula>C98=$B$120</formula>
    </cfRule>
    <cfRule type="expression" dxfId="481" priority="571">
      <formula>C98=$B$115</formula>
    </cfRule>
    <cfRule type="expression" dxfId="480" priority="572">
      <formula>C98=$B$112</formula>
    </cfRule>
    <cfRule type="expression" dxfId="479" priority="573">
      <formula>C98=$B$109</formula>
    </cfRule>
    <cfRule type="expression" dxfId="478" priority="574">
      <formula>C98=$B$112</formula>
    </cfRule>
    <cfRule type="expression" dxfId="477" priority="575">
      <formula>C98=$B$142</formula>
    </cfRule>
    <cfRule type="expression" dxfId="476" priority="576">
      <formula>C98=$B$114</formula>
    </cfRule>
    <cfRule type="expression" dxfId="475" priority="577">
      <formula>C98=$B$142</formula>
    </cfRule>
    <cfRule type="expression" dxfId="474" priority="578">
      <formula>C98=$B$141</formula>
    </cfRule>
    <cfRule type="expression" dxfId="473" priority="579">
      <formula>C98=$B$140</formula>
    </cfRule>
    <cfRule type="expression" dxfId="472" priority="580">
      <formula>C98=$B$139</formula>
    </cfRule>
    <cfRule type="expression" dxfId="471" priority="581">
      <formula>C98=$B$138</formula>
    </cfRule>
    <cfRule type="expression" dxfId="470" priority="582">
      <formula>C98=$B$137</formula>
    </cfRule>
    <cfRule type="expression" dxfId="469" priority="583">
      <formula>C98=$B$136</formula>
    </cfRule>
    <cfRule type="expression" dxfId="468" priority="584">
      <formula>C98=$B$135</formula>
    </cfRule>
    <cfRule type="expression" dxfId="467" priority="585">
      <formula>C98=$B$131</formula>
    </cfRule>
    <cfRule type="expression" dxfId="466" priority="586">
      <formula>C98=$B$130</formula>
    </cfRule>
    <cfRule type="expression" dxfId="465" priority="587">
      <formula>C98=$B$129</formula>
    </cfRule>
    <cfRule type="expression" dxfId="464" priority="588">
      <formula>C98=$B$128</formula>
    </cfRule>
    <cfRule type="expression" dxfId="463" priority="589">
      <formula>C98=$B$127</formula>
    </cfRule>
    <cfRule type="expression" dxfId="462" priority="590" stopIfTrue="1">
      <formula>C98=$B$126</formula>
    </cfRule>
    <cfRule type="expression" dxfId="461" priority="591">
      <formula>C98=$B$125</formula>
    </cfRule>
    <cfRule type="expression" dxfId="460" priority="592" stopIfTrue="1">
      <formula>C98=$B$124</formula>
    </cfRule>
    <cfRule type="expression" dxfId="459" priority="593">
      <formula>C98=$B$123</formula>
    </cfRule>
    <cfRule type="expression" dxfId="458" priority="594">
      <formula>C98=$B$122</formula>
    </cfRule>
    <cfRule type="expression" dxfId="457" priority="595">
      <formula>C98=$B$121</formula>
    </cfRule>
    <cfRule type="expression" dxfId="456" priority="596" stopIfTrue="1">
      <formula>C98=$B$119</formula>
    </cfRule>
    <cfRule type="expression" dxfId="455" priority="597" stopIfTrue="1">
      <formula>C98=$B$118</formula>
    </cfRule>
    <cfRule type="expression" dxfId="454" priority="598" stopIfTrue="1">
      <formula>C98=$B$117</formula>
    </cfRule>
    <cfRule type="expression" dxfId="453" priority="599">
      <formula>C98=$B$116</formula>
    </cfRule>
    <cfRule type="expression" dxfId="452" priority="600">
      <formula>C98=$B$113</formula>
    </cfRule>
    <cfRule type="expression" dxfId="451" priority="601" stopIfTrue="1">
      <formula>C98=$B$111</formula>
    </cfRule>
    <cfRule type="expression" dxfId="450" priority="602">
      <formula>C98=$B$110</formula>
    </cfRule>
    <cfRule type="expression" dxfId="449" priority="603">
      <formula>C98=$B$109</formula>
    </cfRule>
    <cfRule type="expression" dxfId="448" priority="604">
      <formula>C98=$B$108</formula>
    </cfRule>
    <cfRule type="expression" dxfId="447" priority="605">
      <formula>C98=$B$106</formula>
    </cfRule>
    <cfRule type="expression" dxfId="446" priority="606" stopIfTrue="1">
      <formula>C98=$B$107</formula>
    </cfRule>
    <cfRule type="expression" dxfId="445" priority="607" stopIfTrue="1">
      <formula>C$5=TODAY()</formula>
    </cfRule>
  </conditionalFormatting>
  <conditionalFormatting sqref="C98">
    <cfRule type="expression" dxfId="444" priority="567">
      <formula>C98=$B$141</formula>
    </cfRule>
  </conditionalFormatting>
  <conditionalFormatting sqref="C102">
    <cfRule type="expression" dxfId="443" priority="564">
      <formula>C102=$B$133</formula>
    </cfRule>
    <cfRule type="expression" dxfId="442" priority="565">
      <formula>C102=$B$134</formula>
    </cfRule>
    <cfRule type="expression" dxfId="441" priority="566">
      <formula>C102=$B$132</formula>
    </cfRule>
  </conditionalFormatting>
  <conditionalFormatting sqref="C46">
    <cfRule type="expression" dxfId="440" priority="563">
      <formula>C46=$B$141</formula>
    </cfRule>
  </conditionalFormatting>
  <conditionalFormatting sqref="C46">
    <cfRule type="expression" dxfId="439" priority="560">
      <formula>C46=$B$133</formula>
    </cfRule>
    <cfRule type="expression" dxfId="438" priority="561">
      <formula>C46=$B$134</formula>
    </cfRule>
    <cfRule type="expression" dxfId="437" priority="562">
      <formula>C46=$B$132</formula>
    </cfRule>
  </conditionalFormatting>
  <conditionalFormatting sqref="D74">
    <cfRule type="expression" dxfId="436" priority="478">
      <formula>D74=$B$141</formula>
    </cfRule>
  </conditionalFormatting>
  <conditionalFormatting sqref="C46">
    <cfRule type="expression" dxfId="435" priority="477">
      <formula>C46=$B$141</formula>
    </cfRule>
  </conditionalFormatting>
  <conditionalFormatting sqref="C46">
    <cfRule type="expression" dxfId="434" priority="474">
      <formula>C46=$B$133</formula>
    </cfRule>
    <cfRule type="expression" dxfId="433" priority="475">
      <formula>C46=$B$134</formula>
    </cfRule>
    <cfRule type="expression" dxfId="432" priority="476">
      <formula>C46=$B$132</formula>
    </cfRule>
  </conditionalFormatting>
  <conditionalFormatting sqref="C102:G102">
    <cfRule type="expression" dxfId="431" priority="471">
      <formula>C102=$B$133</formula>
    </cfRule>
    <cfRule type="expression" dxfId="430" priority="472">
      <formula>C102=$B$134</formula>
    </cfRule>
    <cfRule type="expression" dxfId="429" priority="473">
      <formula>C102=$B$132</formula>
    </cfRule>
  </conditionalFormatting>
  <conditionalFormatting sqref="C80">
    <cfRule type="expression" dxfId="428" priority="430">
      <formula>C80=$B$141</formula>
    </cfRule>
    <cfRule type="expression" dxfId="427" priority="431">
      <formula>C80=$B$126</formula>
    </cfRule>
    <cfRule type="expression" dxfId="426" priority="432">
      <formula>C80=$B$124</formula>
    </cfRule>
    <cfRule type="expression" dxfId="425" priority="433">
      <formula>C80=$B$120</formula>
    </cfRule>
    <cfRule type="expression" dxfId="424" priority="434">
      <formula>C80=$B$115</formula>
    </cfRule>
    <cfRule type="expression" dxfId="423" priority="435">
      <formula>C80=$B$112</formula>
    </cfRule>
    <cfRule type="expression" dxfId="422" priority="436">
      <formula>C80=$B$109</formula>
    </cfRule>
    <cfRule type="expression" dxfId="421" priority="437">
      <formula>C80=$B$112</formula>
    </cfRule>
    <cfRule type="expression" dxfId="420" priority="438">
      <formula>C80=$B$142</formula>
    </cfRule>
    <cfRule type="expression" dxfId="419" priority="439">
      <formula>C80=$B$114</formula>
    </cfRule>
    <cfRule type="expression" dxfId="418" priority="440">
      <formula>C80=$B$142</formula>
    </cfRule>
    <cfRule type="expression" dxfId="417" priority="441">
      <formula>C80=$B$141</formula>
    </cfRule>
    <cfRule type="expression" dxfId="416" priority="442">
      <formula>C80=$B$140</formula>
    </cfRule>
    <cfRule type="expression" dxfId="415" priority="443">
      <formula>C80=$B$139</formula>
    </cfRule>
    <cfRule type="expression" dxfId="414" priority="444">
      <formula>C80=$B$138</formula>
    </cfRule>
    <cfRule type="expression" dxfId="413" priority="445">
      <formula>C80=$B$137</formula>
    </cfRule>
    <cfRule type="expression" dxfId="412" priority="446">
      <formula>C80=$B$136</formula>
    </cfRule>
    <cfRule type="expression" dxfId="411" priority="447">
      <formula>C80=$B$135</formula>
    </cfRule>
    <cfRule type="expression" dxfId="410" priority="448">
      <formula>C80=$B$131</formula>
    </cfRule>
    <cfRule type="expression" dxfId="409" priority="449">
      <formula>C80=$B$130</formula>
    </cfRule>
    <cfRule type="expression" dxfId="408" priority="450">
      <formula>C80=$B$129</formula>
    </cfRule>
    <cfRule type="expression" dxfId="407" priority="451">
      <formula>C80=$B$128</formula>
    </cfRule>
    <cfRule type="expression" dxfId="406" priority="452">
      <formula>C80=$B$127</formula>
    </cfRule>
    <cfRule type="expression" dxfId="405" priority="453" stopIfTrue="1">
      <formula>C80=$B$126</formula>
    </cfRule>
    <cfRule type="expression" dxfId="404" priority="454">
      <formula>C80=$B$125</formula>
    </cfRule>
    <cfRule type="expression" dxfId="403" priority="455" stopIfTrue="1">
      <formula>C80=$B$124</formula>
    </cfRule>
    <cfRule type="expression" dxfId="402" priority="456">
      <formula>C80=$B$123</formula>
    </cfRule>
    <cfRule type="expression" dxfId="401" priority="457">
      <formula>C80=$B$122</formula>
    </cfRule>
    <cfRule type="expression" dxfId="400" priority="458">
      <formula>C80=$B$121</formula>
    </cfRule>
    <cfRule type="expression" dxfId="399" priority="459" stopIfTrue="1">
      <formula>C80=$B$119</formula>
    </cfRule>
    <cfRule type="expression" dxfId="398" priority="460" stopIfTrue="1">
      <formula>C80=$B$118</formula>
    </cfRule>
    <cfRule type="expression" dxfId="397" priority="461" stopIfTrue="1">
      <formula>C80=$B$117</formula>
    </cfRule>
    <cfRule type="expression" dxfId="396" priority="462">
      <formula>C80=$B$116</formula>
    </cfRule>
    <cfRule type="expression" dxfId="395" priority="463">
      <formula>C80=$B$113</formula>
    </cfRule>
    <cfRule type="expression" dxfId="394" priority="464" stopIfTrue="1">
      <formula>C80=$B$111</formula>
    </cfRule>
    <cfRule type="expression" dxfId="393" priority="465">
      <formula>C80=$B$110</formula>
    </cfRule>
    <cfRule type="expression" dxfId="392" priority="466">
      <formula>C80=$B$109</formula>
    </cfRule>
    <cfRule type="expression" dxfId="391" priority="467">
      <formula>C80=$B$108</formula>
    </cfRule>
    <cfRule type="expression" dxfId="390" priority="468">
      <formula>C80=$B$106</formula>
    </cfRule>
    <cfRule type="expression" dxfId="389" priority="469" stopIfTrue="1">
      <formula>C80=$B$107</formula>
    </cfRule>
    <cfRule type="expression" dxfId="388" priority="470" stopIfTrue="1">
      <formula>C$5=TODAY()</formula>
    </cfRule>
  </conditionalFormatting>
  <conditionalFormatting sqref="I92">
    <cfRule type="expression" dxfId="387" priority="349">
      <formula>I92=$B$126</formula>
    </cfRule>
    <cfRule type="expression" dxfId="386" priority="350">
      <formula>I92=$B$124</formula>
    </cfRule>
    <cfRule type="expression" dxfId="385" priority="351">
      <formula>I92=$B$120</formula>
    </cfRule>
    <cfRule type="expression" dxfId="384" priority="352">
      <formula>I92=$B$115</formula>
    </cfRule>
    <cfRule type="expression" dxfId="383" priority="353">
      <formula>I92=$B$112</formula>
    </cfRule>
    <cfRule type="expression" dxfId="382" priority="354">
      <formula>I92=$B$109</formula>
    </cfRule>
    <cfRule type="expression" dxfId="381" priority="355">
      <formula>I92=$B$112</formula>
    </cfRule>
    <cfRule type="expression" dxfId="380" priority="356">
      <formula>I92=$B$142</formula>
    </cfRule>
    <cfRule type="expression" dxfId="379" priority="357">
      <formula>I92=$B$114</formula>
    </cfRule>
    <cfRule type="expression" dxfId="378" priority="358">
      <formula>I92=$B$142</formula>
    </cfRule>
    <cfRule type="expression" dxfId="377" priority="359">
      <formula>I92=$B$141</formula>
    </cfRule>
    <cfRule type="expression" dxfId="376" priority="360">
      <formula>I92=$B$140</formula>
    </cfRule>
    <cfRule type="expression" dxfId="375" priority="361">
      <formula>I92=$B$139</formula>
    </cfRule>
    <cfRule type="expression" dxfId="374" priority="362">
      <formula>I92=$B$138</formula>
    </cfRule>
    <cfRule type="expression" dxfId="373" priority="363">
      <formula>I92=$B$137</formula>
    </cfRule>
    <cfRule type="expression" dxfId="372" priority="364">
      <formula>I92=$B$136</formula>
    </cfRule>
    <cfRule type="expression" dxfId="371" priority="365">
      <formula>I92=$B$135</formula>
    </cfRule>
    <cfRule type="expression" dxfId="370" priority="366">
      <formula>I92=$B$131</formula>
    </cfRule>
    <cfRule type="expression" dxfId="369" priority="367">
      <formula>I92=$B$130</formula>
    </cfRule>
    <cfRule type="expression" dxfId="368" priority="368">
      <formula>I92=$B$129</formula>
    </cfRule>
    <cfRule type="expression" dxfId="367" priority="369">
      <formula>I92=$B$128</formula>
    </cfRule>
    <cfRule type="expression" dxfId="366" priority="370">
      <formula>I92=$B$127</formula>
    </cfRule>
    <cfRule type="expression" dxfId="365" priority="371" stopIfTrue="1">
      <formula>I92=$B$126</formula>
    </cfRule>
    <cfRule type="expression" dxfId="364" priority="372">
      <formula>I92=$B$125</formula>
    </cfRule>
    <cfRule type="expression" dxfId="363" priority="373" stopIfTrue="1">
      <formula>I92=$B$124</formula>
    </cfRule>
    <cfRule type="expression" dxfId="362" priority="374">
      <formula>I92=$B$123</formula>
    </cfRule>
    <cfRule type="expression" dxfId="361" priority="375">
      <formula>I92=$B$122</formula>
    </cfRule>
    <cfRule type="expression" dxfId="360" priority="376">
      <formula>I92=$B$121</formula>
    </cfRule>
    <cfRule type="expression" dxfId="359" priority="377" stopIfTrue="1">
      <formula>I92=$B$119</formula>
    </cfRule>
    <cfRule type="expression" dxfId="358" priority="378" stopIfTrue="1">
      <formula>I92=$B$118</formula>
    </cfRule>
    <cfRule type="expression" dxfId="357" priority="379" stopIfTrue="1">
      <formula>I92=$B$117</formula>
    </cfRule>
    <cfRule type="expression" dxfId="356" priority="380">
      <formula>I92=$B$116</formula>
    </cfRule>
    <cfRule type="expression" dxfId="355" priority="381">
      <formula>I92=$B$113</formula>
    </cfRule>
    <cfRule type="expression" dxfId="354" priority="382" stopIfTrue="1">
      <formula>I92=$B$111</formula>
    </cfRule>
    <cfRule type="expression" dxfId="353" priority="383">
      <formula>I92=$B$110</formula>
    </cfRule>
    <cfRule type="expression" dxfId="352" priority="384">
      <formula>I92=$B$109</formula>
    </cfRule>
    <cfRule type="expression" dxfId="351" priority="385">
      <formula>I92=$B$108</formula>
    </cfRule>
    <cfRule type="expression" dxfId="350" priority="386">
      <formula>I92=$B$106</formula>
    </cfRule>
    <cfRule type="expression" dxfId="349" priority="387" stopIfTrue="1">
      <formula>I92=$B$107</formula>
    </cfRule>
    <cfRule type="expression" dxfId="348" priority="388" stopIfTrue="1">
      <formula>I$5=TODAY()</formula>
    </cfRule>
  </conditionalFormatting>
  <conditionalFormatting sqref="I92">
    <cfRule type="expression" dxfId="347" priority="348">
      <formula>I92=$B$141</formula>
    </cfRule>
  </conditionalFormatting>
  <conditionalFormatting sqref="I82">
    <cfRule type="expression" dxfId="346" priority="347">
      <formula>I82=$B$141</formula>
    </cfRule>
  </conditionalFormatting>
  <conditionalFormatting sqref="D36">
    <cfRule type="expression" dxfId="345" priority="345">
      <formula>D36=$B$112</formula>
    </cfRule>
  </conditionalFormatting>
  <conditionalFormatting sqref="D36">
    <cfRule type="expression" dxfId="344" priority="346">
      <formula>D36=$B$107</formula>
    </cfRule>
  </conditionalFormatting>
  <conditionalFormatting sqref="E58:G58">
    <cfRule type="expression" dxfId="343" priority="302">
      <formula>E58=$B$112</formula>
    </cfRule>
  </conditionalFormatting>
  <conditionalFormatting sqref="E58:G58">
    <cfRule type="expression" dxfId="342" priority="303">
      <formula>E58=$B$107</formula>
    </cfRule>
  </conditionalFormatting>
  <conditionalFormatting sqref="E58:G58">
    <cfRule type="expression" dxfId="341" priority="305">
      <formula>E58=$B$126</formula>
    </cfRule>
    <cfRule type="expression" dxfId="340" priority="306">
      <formula>E58=$B$124</formula>
    </cfRule>
    <cfRule type="expression" dxfId="339" priority="307">
      <formula>E58=$B$120</formula>
    </cfRule>
    <cfRule type="expression" dxfId="338" priority="308">
      <formula>E58=$B$115</formula>
    </cfRule>
    <cfRule type="expression" dxfId="337" priority="309">
      <formula>E58=$B$112</formula>
    </cfRule>
    <cfRule type="expression" dxfId="336" priority="310">
      <formula>E58=$B$109</formula>
    </cfRule>
    <cfRule type="expression" dxfId="335" priority="311">
      <formula>E58=$B$112</formula>
    </cfRule>
    <cfRule type="expression" dxfId="334" priority="312">
      <formula>E58=$B$142</formula>
    </cfRule>
    <cfRule type="expression" dxfId="333" priority="313">
      <formula>E58=$B$114</formula>
    </cfRule>
    <cfRule type="expression" dxfId="332" priority="314">
      <formula>E58=$B$142</formula>
    </cfRule>
    <cfRule type="expression" dxfId="331" priority="315">
      <formula>E58=$B$141</formula>
    </cfRule>
    <cfRule type="expression" dxfId="330" priority="316">
      <formula>E58=$B$140</formula>
    </cfRule>
    <cfRule type="expression" dxfId="329" priority="317">
      <formula>E58=$B$139</formula>
    </cfRule>
    <cfRule type="expression" dxfId="328" priority="318">
      <formula>E58=$B$138</formula>
    </cfRule>
    <cfRule type="expression" dxfId="327" priority="319">
      <formula>E58=$B$137</formula>
    </cfRule>
    <cfRule type="expression" dxfId="326" priority="320">
      <formula>E58=$B$136</formula>
    </cfRule>
    <cfRule type="expression" dxfId="325" priority="321">
      <formula>E58=$B$135</formula>
    </cfRule>
    <cfRule type="expression" dxfId="324" priority="322">
      <formula>E58=$B$131</formula>
    </cfRule>
    <cfRule type="expression" dxfId="323" priority="323">
      <formula>E58=$B$130</formula>
    </cfRule>
    <cfRule type="expression" dxfId="322" priority="324">
      <formula>E58=$B$129</formula>
    </cfRule>
    <cfRule type="expression" dxfId="321" priority="325">
      <formula>E58=$B$128</formula>
    </cfRule>
    <cfRule type="expression" dxfId="320" priority="326">
      <formula>E58=$B$127</formula>
    </cfRule>
    <cfRule type="expression" dxfId="319" priority="327" stopIfTrue="1">
      <formula>E58=$B$126</formula>
    </cfRule>
    <cfRule type="expression" dxfId="318" priority="328">
      <formula>E58=$B$125</formula>
    </cfRule>
    <cfRule type="expression" dxfId="317" priority="329" stopIfTrue="1">
      <formula>E58=$B$124</formula>
    </cfRule>
    <cfRule type="expression" dxfId="316" priority="330">
      <formula>E58=$B$123</formula>
    </cfRule>
    <cfRule type="expression" dxfId="315" priority="331">
      <formula>E58=$B$122</formula>
    </cfRule>
    <cfRule type="expression" dxfId="314" priority="332">
      <formula>E58=$B$121</formula>
    </cfRule>
    <cfRule type="expression" dxfId="313" priority="333" stopIfTrue="1">
      <formula>E58=$B$119</formula>
    </cfRule>
    <cfRule type="expression" dxfId="312" priority="334" stopIfTrue="1">
      <formula>E58=$B$118</formula>
    </cfRule>
    <cfRule type="expression" dxfId="311" priority="335" stopIfTrue="1">
      <formula>E58=$B$117</formula>
    </cfRule>
    <cfRule type="expression" dxfId="310" priority="336">
      <formula>E58=$B$116</formula>
    </cfRule>
    <cfRule type="expression" dxfId="309" priority="337">
      <formula>E58=$B$113</formula>
    </cfRule>
    <cfRule type="expression" dxfId="308" priority="338" stopIfTrue="1">
      <formula>E58=$B$111</formula>
    </cfRule>
    <cfRule type="expression" dxfId="307" priority="339">
      <formula>E58=$B$110</formula>
    </cfRule>
    <cfRule type="expression" dxfId="306" priority="340">
      <formula>E58=$B$109</formula>
    </cfRule>
    <cfRule type="expression" dxfId="305" priority="341">
      <formula>E58=$B$108</formula>
    </cfRule>
    <cfRule type="expression" dxfId="304" priority="342">
      <formula>E58=$B$106</formula>
    </cfRule>
    <cfRule type="expression" dxfId="303" priority="343" stopIfTrue="1">
      <formula>E58=$B$107</formula>
    </cfRule>
    <cfRule type="expression" dxfId="302" priority="344" stopIfTrue="1">
      <formula>E$5=TODAY()</formula>
    </cfRule>
  </conditionalFormatting>
  <conditionalFormatting sqref="E58:G58">
    <cfRule type="expression" dxfId="301" priority="261">
      <formula>E58=$B$141</formula>
    </cfRule>
    <cfRule type="expression" dxfId="300" priority="262">
      <formula>E58=$B$126</formula>
    </cfRule>
    <cfRule type="expression" dxfId="299" priority="263">
      <formula>E58=$B$124</formula>
    </cfRule>
    <cfRule type="expression" dxfId="298" priority="264">
      <formula>E58=$B$120</formula>
    </cfRule>
    <cfRule type="expression" dxfId="297" priority="265">
      <formula>E58=$B$115</formula>
    </cfRule>
    <cfRule type="expression" dxfId="296" priority="266">
      <formula>E58=$B$112</formula>
    </cfRule>
    <cfRule type="expression" dxfId="295" priority="267">
      <formula>E58=$B$109</formula>
    </cfRule>
    <cfRule type="expression" dxfId="294" priority="268">
      <formula>E58=$B$112</formula>
    </cfRule>
    <cfRule type="expression" dxfId="293" priority="269">
      <formula>E58=$B$142</formula>
    </cfRule>
    <cfRule type="expression" dxfId="292" priority="270">
      <formula>E58=$B$114</formula>
    </cfRule>
    <cfRule type="expression" dxfId="291" priority="271">
      <formula>E58=$B$142</formula>
    </cfRule>
    <cfRule type="expression" dxfId="290" priority="272">
      <formula>E58=$B$141</formula>
    </cfRule>
    <cfRule type="expression" dxfId="289" priority="273">
      <formula>E58=$B$140</formula>
    </cfRule>
    <cfRule type="expression" dxfId="288" priority="274">
      <formula>E58=$B$139</formula>
    </cfRule>
    <cfRule type="expression" dxfId="287" priority="275">
      <formula>E58=$B$138</formula>
    </cfRule>
    <cfRule type="expression" dxfId="286" priority="276">
      <formula>E58=$B$137</formula>
    </cfRule>
    <cfRule type="expression" dxfId="285" priority="277">
      <formula>E58=$B$136</formula>
    </cfRule>
    <cfRule type="expression" dxfId="284" priority="278">
      <formula>E58=$B$135</formula>
    </cfRule>
    <cfRule type="expression" dxfId="283" priority="279">
      <formula>E58=$B$131</formula>
    </cfRule>
    <cfRule type="expression" dxfId="282" priority="280">
      <formula>E58=$B$130</formula>
    </cfRule>
    <cfRule type="expression" dxfId="281" priority="281">
      <formula>E58=$B$129</formula>
    </cfRule>
    <cfRule type="expression" dxfId="280" priority="282">
      <formula>E58=$B$128</formula>
    </cfRule>
    <cfRule type="expression" dxfId="279" priority="283">
      <formula>E58=$B$127</formula>
    </cfRule>
    <cfRule type="expression" dxfId="278" priority="284" stopIfTrue="1">
      <formula>E58=$B$126</formula>
    </cfRule>
    <cfRule type="expression" dxfId="277" priority="285">
      <formula>E58=$B$125</formula>
    </cfRule>
    <cfRule type="expression" dxfId="276" priority="286" stopIfTrue="1">
      <formula>E58=$B$124</formula>
    </cfRule>
    <cfRule type="expression" dxfId="275" priority="287">
      <formula>E58=$B$123</formula>
    </cfRule>
    <cfRule type="expression" dxfId="274" priority="288">
      <formula>E58=$B$122</formula>
    </cfRule>
    <cfRule type="expression" dxfId="273" priority="289">
      <formula>E58=$B$121</formula>
    </cfRule>
    <cfRule type="expression" dxfId="272" priority="290" stopIfTrue="1">
      <formula>E58=$B$119</formula>
    </cfRule>
    <cfRule type="expression" dxfId="271" priority="291" stopIfTrue="1">
      <formula>E58=$B$118</formula>
    </cfRule>
    <cfRule type="expression" dxfId="270" priority="292" stopIfTrue="1">
      <formula>E58=$B$117</formula>
    </cfRule>
    <cfRule type="expression" dxfId="269" priority="293">
      <formula>E58=$B$116</formula>
    </cfRule>
    <cfRule type="expression" dxfId="268" priority="294">
      <formula>E58=$B$113</formula>
    </cfRule>
    <cfRule type="expression" dxfId="267" priority="295" stopIfTrue="1">
      <formula>E58=$B$111</formula>
    </cfRule>
    <cfRule type="expression" dxfId="266" priority="296">
      <formula>E58=$B$110</formula>
    </cfRule>
    <cfRule type="expression" dxfId="265" priority="297">
      <formula>E58=$B$109</formula>
    </cfRule>
    <cfRule type="expression" dxfId="264" priority="298">
      <formula>E58=$B$108</formula>
    </cfRule>
    <cfRule type="expression" dxfId="263" priority="299">
      <formula>E58=$B$106</formula>
    </cfRule>
    <cfRule type="expression" dxfId="262" priority="300" stopIfTrue="1">
      <formula>E58=$B$107</formula>
    </cfRule>
    <cfRule type="expression" dxfId="261" priority="301" stopIfTrue="1">
      <formula>E$5=TODAY()</formula>
    </cfRule>
  </conditionalFormatting>
  <conditionalFormatting sqref="E58:G58">
    <cfRule type="expression" dxfId="260" priority="304">
      <formula>E58=$B$141</formula>
    </cfRule>
  </conditionalFormatting>
  <conditionalFormatting sqref="E58:G58">
    <cfRule type="expression" dxfId="259" priority="258">
      <formula>E58=$B$133</formula>
    </cfRule>
    <cfRule type="expression" dxfId="258" priority="259">
      <formula>E58=$B$134</formula>
    </cfRule>
    <cfRule type="expression" dxfId="257" priority="260">
      <formula>E58=$B$132</formula>
    </cfRule>
  </conditionalFormatting>
  <conditionalFormatting sqref="H58:I58">
    <cfRule type="expression" dxfId="256" priority="218">
      <formula>H58=$B$126</formula>
    </cfRule>
    <cfRule type="expression" dxfId="255" priority="219">
      <formula>H58=$B$124</formula>
    </cfRule>
    <cfRule type="expression" dxfId="254" priority="220">
      <formula>H58=$B$120</formula>
    </cfRule>
    <cfRule type="expression" dxfId="253" priority="221">
      <formula>H58=$B$115</formula>
    </cfRule>
    <cfRule type="expression" dxfId="252" priority="222">
      <formula>H58=$B$112</formula>
    </cfRule>
    <cfRule type="expression" dxfId="251" priority="223">
      <formula>H58=$B$109</formula>
    </cfRule>
    <cfRule type="expression" dxfId="250" priority="224">
      <formula>H58=$B$112</formula>
    </cfRule>
    <cfRule type="expression" dxfId="249" priority="225">
      <formula>H58=$B$142</formula>
    </cfRule>
    <cfRule type="expression" dxfId="248" priority="226">
      <formula>H58=$B$114</formula>
    </cfRule>
    <cfRule type="expression" dxfId="247" priority="227">
      <formula>H58=$B$142</formula>
    </cfRule>
    <cfRule type="expression" dxfId="246" priority="228">
      <formula>H58=$B$141</formula>
    </cfRule>
    <cfRule type="expression" dxfId="245" priority="229">
      <formula>H58=$B$140</formula>
    </cfRule>
    <cfRule type="expression" dxfId="244" priority="230">
      <formula>H58=$B$139</formula>
    </cfRule>
    <cfRule type="expression" dxfId="243" priority="231">
      <formula>H58=$B$138</formula>
    </cfRule>
    <cfRule type="expression" dxfId="242" priority="232">
      <formula>H58=$B$137</formula>
    </cfRule>
    <cfRule type="expression" dxfId="241" priority="233">
      <formula>H58=$B$136</formula>
    </cfRule>
    <cfRule type="expression" dxfId="240" priority="234">
      <formula>H58=$B$135</formula>
    </cfRule>
    <cfRule type="expression" dxfId="239" priority="235">
      <formula>H58=$B$131</formula>
    </cfRule>
    <cfRule type="expression" dxfId="238" priority="236">
      <formula>H58=$B$130</formula>
    </cfRule>
    <cfRule type="expression" dxfId="237" priority="237">
      <formula>H58=$B$129</formula>
    </cfRule>
    <cfRule type="expression" dxfId="236" priority="238">
      <formula>H58=$B$128</formula>
    </cfRule>
    <cfRule type="expression" dxfId="235" priority="239">
      <formula>H58=$B$127</formula>
    </cfRule>
    <cfRule type="expression" dxfId="234" priority="240" stopIfTrue="1">
      <formula>H58=$B$126</formula>
    </cfRule>
    <cfRule type="expression" dxfId="233" priority="241">
      <formula>H58=$B$125</formula>
    </cfRule>
    <cfRule type="expression" dxfId="232" priority="242" stopIfTrue="1">
      <formula>H58=$B$124</formula>
    </cfRule>
    <cfRule type="expression" dxfId="231" priority="243">
      <formula>H58=$B$123</formula>
    </cfRule>
    <cfRule type="expression" dxfId="230" priority="244">
      <formula>H58=$B$122</formula>
    </cfRule>
    <cfRule type="expression" dxfId="229" priority="245">
      <formula>H58=$B$121</formula>
    </cfRule>
    <cfRule type="expression" dxfId="228" priority="246" stopIfTrue="1">
      <formula>H58=$B$119</formula>
    </cfRule>
    <cfRule type="expression" dxfId="227" priority="247" stopIfTrue="1">
      <formula>H58=$B$118</formula>
    </cfRule>
    <cfRule type="expression" dxfId="226" priority="248" stopIfTrue="1">
      <formula>H58=$B$117</formula>
    </cfRule>
    <cfRule type="expression" dxfId="225" priority="249">
      <formula>H58=$B$116</formula>
    </cfRule>
    <cfRule type="expression" dxfId="224" priority="250">
      <formula>H58=$B$113</formula>
    </cfRule>
    <cfRule type="expression" dxfId="223" priority="251" stopIfTrue="1">
      <formula>H58=$B$111</formula>
    </cfRule>
    <cfRule type="expression" dxfId="222" priority="252">
      <formula>H58=$B$110</formula>
    </cfRule>
    <cfRule type="expression" dxfId="221" priority="253">
      <formula>H58=$B$109</formula>
    </cfRule>
    <cfRule type="expression" dxfId="220" priority="254">
      <formula>H58=$B$108</formula>
    </cfRule>
    <cfRule type="expression" dxfId="219" priority="255">
      <formula>H58=$B$106</formula>
    </cfRule>
    <cfRule type="expression" dxfId="218" priority="256" stopIfTrue="1">
      <formula>H58=$B$107</formula>
    </cfRule>
    <cfRule type="expression" dxfId="217" priority="257" stopIfTrue="1">
      <formula>H$5=TODAY()</formula>
    </cfRule>
  </conditionalFormatting>
  <conditionalFormatting sqref="H58:I58">
    <cfRule type="expression" dxfId="216" priority="176">
      <formula>H58=$B$141</formula>
    </cfRule>
    <cfRule type="expression" dxfId="215" priority="177">
      <formula>H58=$B$126</formula>
    </cfRule>
    <cfRule type="expression" dxfId="214" priority="178">
      <formula>H58=$B$124</formula>
    </cfRule>
    <cfRule type="expression" dxfId="213" priority="179">
      <formula>H58=$B$120</formula>
    </cfRule>
    <cfRule type="expression" dxfId="212" priority="180">
      <formula>H58=$B$115</formula>
    </cfRule>
    <cfRule type="expression" dxfId="211" priority="181">
      <formula>H58=$B$112</formula>
    </cfRule>
    <cfRule type="expression" dxfId="210" priority="182">
      <formula>H58=$B$109</formula>
    </cfRule>
    <cfRule type="expression" dxfId="209" priority="183">
      <formula>H58=$B$112</formula>
    </cfRule>
    <cfRule type="expression" dxfId="208" priority="184">
      <formula>H58=$B$142</formula>
    </cfRule>
    <cfRule type="expression" dxfId="207" priority="185">
      <formula>H58=$B$114</formula>
    </cfRule>
    <cfRule type="expression" dxfId="206" priority="186">
      <formula>H58=$B$142</formula>
    </cfRule>
    <cfRule type="expression" dxfId="205" priority="187">
      <formula>H58=$B$141</formula>
    </cfRule>
    <cfRule type="expression" dxfId="204" priority="188">
      <formula>H58=$B$140</formula>
    </cfRule>
    <cfRule type="expression" dxfId="203" priority="189">
      <formula>H58=$B$139</formula>
    </cfRule>
    <cfRule type="expression" dxfId="202" priority="190">
      <formula>H58=$B$138</formula>
    </cfRule>
    <cfRule type="expression" dxfId="201" priority="191">
      <formula>H58=$B$137</formula>
    </cfRule>
    <cfRule type="expression" dxfId="200" priority="192">
      <formula>H58=$B$136</formula>
    </cfRule>
    <cfRule type="expression" dxfId="199" priority="193">
      <formula>H58=$B$135</formula>
    </cfRule>
    <cfRule type="expression" dxfId="198" priority="194">
      <formula>H58=$B$131</formula>
    </cfRule>
    <cfRule type="expression" dxfId="197" priority="195">
      <formula>H58=$B$130</formula>
    </cfRule>
    <cfRule type="expression" dxfId="196" priority="196">
      <formula>H58=$B$129</formula>
    </cfRule>
    <cfRule type="expression" dxfId="195" priority="197">
      <formula>H58=$B$128</formula>
    </cfRule>
    <cfRule type="expression" dxfId="194" priority="198">
      <formula>H58=$B$127</formula>
    </cfRule>
    <cfRule type="expression" dxfId="193" priority="199" stopIfTrue="1">
      <formula>H58=$B$126</formula>
    </cfRule>
    <cfRule type="expression" dxfId="192" priority="200">
      <formula>H58=$B$125</formula>
    </cfRule>
    <cfRule type="expression" dxfId="191" priority="201" stopIfTrue="1">
      <formula>H58=$B$124</formula>
    </cfRule>
    <cfRule type="expression" dxfId="190" priority="202">
      <formula>H58=$B$123</formula>
    </cfRule>
    <cfRule type="expression" dxfId="189" priority="203">
      <formula>H58=$B$122</formula>
    </cfRule>
    <cfRule type="expression" dxfId="188" priority="204">
      <formula>H58=$B$121</formula>
    </cfRule>
    <cfRule type="expression" dxfId="187" priority="205" stopIfTrue="1">
      <formula>H58=$B$119</formula>
    </cfRule>
    <cfRule type="expression" dxfId="186" priority="206" stopIfTrue="1">
      <formula>H58=$B$118</formula>
    </cfRule>
    <cfRule type="expression" dxfId="185" priority="207" stopIfTrue="1">
      <formula>H58=$B$117</formula>
    </cfRule>
    <cfRule type="expression" dxfId="184" priority="208">
      <formula>H58=$B$116</formula>
    </cfRule>
    <cfRule type="expression" dxfId="183" priority="209">
      <formula>H58=$B$113</formula>
    </cfRule>
    <cfRule type="expression" dxfId="182" priority="210" stopIfTrue="1">
      <formula>H58=$B$111</formula>
    </cfRule>
    <cfRule type="expression" dxfId="181" priority="211">
      <formula>H58=$B$110</formula>
    </cfRule>
    <cfRule type="expression" dxfId="180" priority="212">
      <formula>H58=$B$109</formula>
    </cfRule>
    <cfRule type="expression" dxfId="179" priority="213">
      <formula>H58=$B$108</formula>
    </cfRule>
    <cfRule type="expression" dxfId="178" priority="214">
      <formula>H58=$B$106</formula>
    </cfRule>
    <cfRule type="expression" dxfId="177" priority="215" stopIfTrue="1">
      <formula>H58=$B$107</formula>
    </cfRule>
    <cfRule type="expression" dxfId="176" priority="216" stopIfTrue="1">
      <formula>H$5=TODAY()</formula>
    </cfRule>
  </conditionalFormatting>
  <conditionalFormatting sqref="H58:I58">
    <cfRule type="expression" dxfId="175" priority="217">
      <formula>H58=$B$141</formula>
    </cfRule>
  </conditionalFormatting>
  <conditionalFormatting sqref="H58:I58">
    <cfRule type="expression" dxfId="174" priority="173">
      <formula>H58=$B$133</formula>
    </cfRule>
    <cfRule type="expression" dxfId="173" priority="174">
      <formula>H58=$B$134</formula>
    </cfRule>
    <cfRule type="expression" dxfId="172" priority="175">
      <formula>H58=$B$132</formula>
    </cfRule>
  </conditionalFormatting>
  <conditionalFormatting sqref="E36:G36">
    <cfRule type="expression" dxfId="171" priority="130">
      <formula>E36=$B$112</formula>
    </cfRule>
  </conditionalFormatting>
  <conditionalFormatting sqref="E36:G36">
    <cfRule type="expression" dxfId="170" priority="131">
      <formula>E36=$B$107</formula>
    </cfRule>
  </conditionalFormatting>
  <conditionalFormatting sqref="E36:G36">
    <cfRule type="expression" dxfId="169" priority="133">
      <formula>E36=$B$126</formula>
    </cfRule>
    <cfRule type="expression" dxfId="168" priority="134">
      <formula>E36=$B$124</formula>
    </cfRule>
    <cfRule type="expression" dxfId="167" priority="135">
      <formula>E36=$B$120</formula>
    </cfRule>
    <cfRule type="expression" dxfId="166" priority="136">
      <formula>E36=$B$115</formula>
    </cfRule>
    <cfRule type="expression" dxfId="165" priority="137">
      <formula>E36=$B$112</formula>
    </cfRule>
    <cfRule type="expression" dxfId="164" priority="138">
      <formula>E36=$B$109</formula>
    </cfRule>
    <cfRule type="expression" dxfId="163" priority="139">
      <formula>E36=$B$112</formula>
    </cfRule>
    <cfRule type="expression" dxfId="162" priority="140">
      <formula>E36=$B$142</formula>
    </cfRule>
    <cfRule type="expression" dxfId="161" priority="141">
      <formula>E36=$B$114</formula>
    </cfRule>
    <cfRule type="expression" dxfId="160" priority="142">
      <formula>E36=$B$142</formula>
    </cfRule>
    <cfRule type="expression" dxfId="159" priority="143">
      <formula>E36=$B$141</formula>
    </cfRule>
    <cfRule type="expression" dxfId="158" priority="144">
      <formula>E36=$B$140</formula>
    </cfRule>
    <cfRule type="expression" dxfId="157" priority="145">
      <formula>E36=$B$139</formula>
    </cfRule>
    <cfRule type="expression" dxfId="156" priority="146">
      <formula>E36=$B$138</formula>
    </cfRule>
    <cfRule type="expression" dxfId="155" priority="147">
      <formula>E36=$B$137</formula>
    </cfRule>
    <cfRule type="expression" dxfId="154" priority="148">
      <formula>E36=$B$136</formula>
    </cfRule>
    <cfRule type="expression" dxfId="153" priority="149">
      <formula>E36=$B$135</formula>
    </cfRule>
    <cfRule type="expression" dxfId="152" priority="150">
      <formula>E36=$B$131</formula>
    </cfRule>
    <cfRule type="expression" dxfId="151" priority="151">
      <formula>E36=$B$130</formula>
    </cfRule>
    <cfRule type="expression" dxfId="150" priority="152">
      <formula>E36=$B$129</formula>
    </cfRule>
    <cfRule type="expression" dxfId="149" priority="153">
      <formula>E36=$B$128</formula>
    </cfRule>
    <cfRule type="expression" dxfId="148" priority="154">
      <formula>E36=$B$127</formula>
    </cfRule>
    <cfRule type="expression" dxfId="147" priority="155" stopIfTrue="1">
      <formula>E36=$B$126</formula>
    </cfRule>
    <cfRule type="expression" dxfId="146" priority="156">
      <formula>E36=$B$125</formula>
    </cfRule>
    <cfRule type="expression" dxfId="145" priority="157" stopIfTrue="1">
      <formula>E36=$B$124</formula>
    </cfRule>
    <cfRule type="expression" dxfId="144" priority="158">
      <formula>E36=$B$123</formula>
    </cfRule>
    <cfRule type="expression" dxfId="143" priority="159">
      <formula>E36=$B$122</formula>
    </cfRule>
    <cfRule type="expression" dxfId="142" priority="160">
      <formula>E36=$B$121</formula>
    </cfRule>
    <cfRule type="expression" dxfId="141" priority="161" stopIfTrue="1">
      <formula>E36=$B$119</formula>
    </cfRule>
    <cfRule type="expression" dxfId="140" priority="162" stopIfTrue="1">
      <formula>E36=$B$118</formula>
    </cfRule>
    <cfRule type="expression" dxfId="139" priority="163" stopIfTrue="1">
      <formula>E36=$B$117</formula>
    </cfRule>
    <cfRule type="expression" dxfId="138" priority="164">
      <formula>E36=$B$116</formula>
    </cfRule>
    <cfRule type="expression" dxfId="137" priority="165">
      <formula>E36=$B$113</formula>
    </cfRule>
    <cfRule type="expression" dxfId="136" priority="166" stopIfTrue="1">
      <formula>E36=$B$111</formula>
    </cfRule>
    <cfRule type="expression" dxfId="135" priority="167">
      <formula>E36=$B$110</formula>
    </cfRule>
    <cfRule type="expression" dxfId="134" priority="168">
      <formula>E36=$B$109</formula>
    </cfRule>
    <cfRule type="expression" dxfId="133" priority="169">
      <formula>E36=$B$108</formula>
    </cfRule>
    <cfRule type="expression" dxfId="132" priority="170">
      <formula>E36=$B$106</formula>
    </cfRule>
    <cfRule type="expression" dxfId="131" priority="171" stopIfTrue="1">
      <formula>E36=$B$107</formula>
    </cfRule>
    <cfRule type="expression" dxfId="130" priority="172" stopIfTrue="1">
      <formula>E$5=TODAY()</formula>
    </cfRule>
  </conditionalFormatting>
  <conditionalFormatting sqref="E36:G36">
    <cfRule type="expression" dxfId="129" priority="89">
      <formula>E36=$B$141</formula>
    </cfRule>
    <cfRule type="expression" dxfId="128" priority="90">
      <formula>E36=$B$126</formula>
    </cfRule>
    <cfRule type="expression" dxfId="127" priority="91">
      <formula>E36=$B$124</formula>
    </cfRule>
    <cfRule type="expression" dxfId="126" priority="92">
      <formula>E36=$B$120</formula>
    </cfRule>
    <cfRule type="expression" dxfId="125" priority="93">
      <formula>E36=$B$115</formula>
    </cfRule>
    <cfRule type="expression" dxfId="124" priority="94">
      <formula>E36=$B$112</formula>
    </cfRule>
    <cfRule type="expression" dxfId="123" priority="95">
      <formula>E36=$B$109</formula>
    </cfRule>
    <cfRule type="expression" dxfId="122" priority="96">
      <formula>E36=$B$112</formula>
    </cfRule>
    <cfRule type="expression" dxfId="121" priority="97">
      <formula>E36=$B$142</formula>
    </cfRule>
    <cfRule type="expression" dxfId="120" priority="98">
      <formula>E36=$B$114</formula>
    </cfRule>
    <cfRule type="expression" dxfId="119" priority="99">
      <formula>E36=$B$142</formula>
    </cfRule>
    <cfRule type="expression" dxfId="118" priority="100">
      <formula>E36=$B$141</formula>
    </cfRule>
    <cfRule type="expression" dxfId="117" priority="101">
      <formula>E36=$B$140</formula>
    </cfRule>
    <cfRule type="expression" dxfId="116" priority="102">
      <formula>E36=$B$139</formula>
    </cfRule>
    <cfRule type="expression" dxfId="115" priority="103">
      <formula>E36=$B$138</formula>
    </cfRule>
    <cfRule type="expression" dxfId="114" priority="104">
      <formula>E36=$B$137</formula>
    </cfRule>
    <cfRule type="expression" dxfId="113" priority="105">
      <formula>E36=$B$136</formula>
    </cfRule>
    <cfRule type="expression" dxfId="112" priority="106">
      <formula>E36=$B$135</formula>
    </cfRule>
    <cfRule type="expression" dxfId="111" priority="107">
      <formula>E36=$B$131</formula>
    </cfRule>
    <cfRule type="expression" dxfId="110" priority="108">
      <formula>E36=$B$130</formula>
    </cfRule>
    <cfRule type="expression" dxfId="109" priority="109">
      <formula>E36=$B$129</formula>
    </cfRule>
    <cfRule type="expression" dxfId="108" priority="110">
      <formula>E36=$B$128</formula>
    </cfRule>
    <cfRule type="expression" dxfId="107" priority="111">
      <formula>E36=$B$127</formula>
    </cfRule>
    <cfRule type="expression" dxfId="106" priority="112" stopIfTrue="1">
      <formula>E36=$B$126</formula>
    </cfRule>
    <cfRule type="expression" dxfId="105" priority="113">
      <formula>E36=$B$125</formula>
    </cfRule>
    <cfRule type="expression" dxfId="104" priority="114" stopIfTrue="1">
      <formula>E36=$B$124</formula>
    </cfRule>
    <cfRule type="expression" dxfId="103" priority="115">
      <formula>E36=$B$123</formula>
    </cfRule>
    <cfRule type="expression" dxfId="102" priority="116">
      <formula>E36=$B$122</formula>
    </cfRule>
    <cfRule type="expression" dxfId="101" priority="117">
      <formula>E36=$B$121</formula>
    </cfRule>
    <cfRule type="expression" dxfId="100" priority="118" stopIfTrue="1">
      <formula>E36=$B$119</formula>
    </cfRule>
    <cfRule type="expression" dxfId="99" priority="119" stopIfTrue="1">
      <formula>E36=$B$118</formula>
    </cfRule>
    <cfRule type="expression" dxfId="98" priority="120" stopIfTrue="1">
      <formula>E36=$B$117</formula>
    </cfRule>
    <cfRule type="expression" dxfId="97" priority="121">
      <formula>E36=$B$116</formula>
    </cfRule>
    <cfRule type="expression" dxfId="96" priority="122">
      <formula>E36=$B$113</formula>
    </cfRule>
    <cfRule type="expression" dxfId="95" priority="123" stopIfTrue="1">
      <formula>E36=$B$111</formula>
    </cfRule>
    <cfRule type="expression" dxfId="94" priority="124">
      <formula>E36=$B$110</formula>
    </cfRule>
    <cfRule type="expression" dxfId="93" priority="125">
      <formula>E36=$B$109</formula>
    </cfRule>
    <cfRule type="expression" dxfId="92" priority="126">
      <formula>E36=$B$108</formula>
    </cfRule>
    <cfRule type="expression" dxfId="91" priority="127">
      <formula>E36=$B$106</formula>
    </cfRule>
    <cfRule type="expression" dxfId="90" priority="128" stopIfTrue="1">
      <formula>E36=$B$107</formula>
    </cfRule>
    <cfRule type="expression" dxfId="89" priority="129" stopIfTrue="1">
      <formula>E$5=TODAY()</formula>
    </cfRule>
  </conditionalFormatting>
  <conditionalFormatting sqref="E36:G36">
    <cfRule type="expression" dxfId="88" priority="132">
      <formula>E36=$B$141</formula>
    </cfRule>
  </conditionalFormatting>
  <conditionalFormatting sqref="E36:G36">
    <cfRule type="expression" dxfId="87" priority="86">
      <formula>E36=$B$133</formula>
    </cfRule>
    <cfRule type="expression" dxfId="86" priority="87">
      <formula>E36=$B$134</formula>
    </cfRule>
    <cfRule type="expression" dxfId="85" priority="88">
      <formula>E36=$B$132</formula>
    </cfRule>
  </conditionalFormatting>
  <conditionalFormatting sqref="H36:I36">
    <cfRule type="expression" dxfId="84" priority="46">
      <formula>H36=$B$126</formula>
    </cfRule>
    <cfRule type="expression" dxfId="83" priority="47">
      <formula>H36=$B$124</formula>
    </cfRule>
    <cfRule type="expression" dxfId="82" priority="48">
      <formula>H36=$B$120</formula>
    </cfRule>
    <cfRule type="expression" dxfId="81" priority="49">
      <formula>H36=$B$115</formula>
    </cfRule>
    <cfRule type="expression" dxfId="80" priority="50">
      <formula>H36=$B$112</formula>
    </cfRule>
    <cfRule type="expression" dxfId="79" priority="51">
      <formula>H36=$B$109</formula>
    </cfRule>
    <cfRule type="expression" dxfId="78" priority="52">
      <formula>H36=$B$112</formula>
    </cfRule>
    <cfRule type="expression" dxfId="77" priority="53">
      <formula>H36=$B$142</formula>
    </cfRule>
    <cfRule type="expression" dxfId="76" priority="54">
      <formula>H36=$B$114</formula>
    </cfRule>
    <cfRule type="expression" dxfId="75" priority="55">
      <formula>H36=$B$142</formula>
    </cfRule>
    <cfRule type="expression" dxfId="74" priority="56">
      <formula>H36=$B$141</formula>
    </cfRule>
    <cfRule type="expression" dxfId="73" priority="57">
      <formula>H36=$B$140</formula>
    </cfRule>
    <cfRule type="expression" dxfId="72" priority="58">
      <formula>H36=$B$139</formula>
    </cfRule>
    <cfRule type="expression" dxfId="71" priority="59">
      <formula>H36=$B$138</formula>
    </cfRule>
    <cfRule type="expression" dxfId="70" priority="60">
      <formula>H36=$B$137</formula>
    </cfRule>
    <cfRule type="expression" dxfId="69" priority="61">
      <formula>H36=$B$136</formula>
    </cfRule>
    <cfRule type="expression" dxfId="68" priority="62">
      <formula>H36=$B$135</formula>
    </cfRule>
    <cfRule type="expression" dxfId="67" priority="63">
      <formula>H36=$B$131</formula>
    </cfRule>
    <cfRule type="expression" dxfId="66" priority="64">
      <formula>H36=$B$130</formula>
    </cfRule>
    <cfRule type="expression" dxfId="65" priority="65">
      <formula>H36=$B$129</formula>
    </cfRule>
    <cfRule type="expression" dxfId="64" priority="66">
      <formula>H36=$B$128</formula>
    </cfRule>
    <cfRule type="expression" dxfId="63" priority="67">
      <formula>H36=$B$127</formula>
    </cfRule>
    <cfRule type="expression" dxfId="62" priority="68" stopIfTrue="1">
      <formula>H36=$B$126</formula>
    </cfRule>
    <cfRule type="expression" dxfId="61" priority="69">
      <formula>H36=$B$125</formula>
    </cfRule>
    <cfRule type="expression" dxfId="60" priority="70" stopIfTrue="1">
      <formula>H36=$B$124</formula>
    </cfRule>
    <cfRule type="expression" dxfId="59" priority="71">
      <formula>H36=$B$123</formula>
    </cfRule>
    <cfRule type="expression" dxfId="58" priority="72">
      <formula>H36=$B$122</formula>
    </cfRule>
    <cfRule type="expression" dxfId="57" priority="73">
      <formula>H36=$B$121</formula>
    </cfRule>
    <cfRule type="expression" dxfId="56" priority="74" stopIfTrue="1">
      <formula>H36=$B$119</formula>
    </cfRule>
    <cfRule type="expression" dxfId="55" priority="75" stopIfTrue="1">
      <formula>H36=$B$118</formula>
    </cfRule>
    <cfRule type="expression" dxfId="54" priority="76" stopIfTrue="1">
      <formula>H36=$B$117</formula>
    </cfRule>
    <cfRule type="expression" dxfId="53" priority="77">
      <formula>H36=$B$116</formula>
    </cfRule>
    <cfRule type="expression" dxfId="52" priority="78">
      <formula>H36=$B$113</formula>
    </cfRule>
    <cfRule type="expression" dxfId="51" priority="79" stopIfTrue="1">
      <formula>H36=$B$111</formula>
    </cfRule>
    <cfRule type="expression" dxfId="50" priority="80">
      <formula>H36=$B$110</formula>
    </cfRule>
    <cfRule type="expression" dxfId="49" priority="81">
      <formula>H36=$B$109</formula>
    </cfRule>
    <cfRule type="expression" dxfId="48" priority="82">
      <formula>H36=$B$108</formula>
    </cfRule>
    <cfRule type="expression" dxfId="47" priority="83">
      <formula>H36=$B$106</formula>
    </cfRule>
    <cfRule type="expression" dxfId="46" priority="84" stopIfTrue="1">
      <formula>H36=$B$107</formula>
    </cfRule>
    <cfRule type="expression" dxfId="45" priority="85" stopIfTrue="1">
      <formula>H$5=TODAY()</formula>
    </cfRule>
  </conditionalFormatting>
  <conditionalFormatting sqref="H36:I36">
    <cfRule type="expression" dxfId="44" priority="4">
      <formula>H36=$B$141</formula>
    </cfRule>
    <cfRule type="expression" dxfId="43" priority="5">
      <formula>H36=$B$126</formula>
    </cfRule>
    <cfRule type="expression" dxfId="42" priority="6">
      <formula>H36=$B$124</formula>
    </cfRule>
    <cfRule type="expression" dxfId="41" priority="7">
      <formula>H36=$B$120</formula>
    </cfRule>
    <cfRule type="expression" dxfId="40" priority="8">
      <formula>H36=$B$115</formula>
    </cfRule>
    <cfRule type="expression" dxfId="39" priority="9">
      <formula>H36=$B$112</formula>
    </cfRule>
    <cfRule type="expression" dxfId="38" priority="10">
      <formula>H36=$B$109</formula>
    </cfRule>
    <cfRule type="expression" dxfId="37" priority="11">
      <formula>H36=$B$112</formula>
    </cfRule>
    <cfRule type="expression" dxfId="36" priority="12">
      <formula>H36=$B$142</formula>
    </cfRule>
    <cfRule type="expression" dxfId="35" priority="13">
      <formula>H36=$B$114</formula>
    </cfRule>
    <cfRule type="expression" dxfId="34" priority="14">
      <formula>H36=$B$142</formula>
    </cfRule>
    <cfRule type="expression" dxfId="33" priority="15">
      <formula>H36=$B$141</formula>
    </cfRule>
    <cfRule type="expression" dxfId="32" priority="16">
      <formula>H36=$B$140</formula>
    </cfRule>
    <cfRule type="expression" dxfId="31" priority="17">
      <formula>H36=$B$139</formula>
    </cfRule>
    <cfRule type="expression" dxfId="30" priority="18">
      <formula>H36=$B$138</formula>
    </cfRule>
    <cfRule type="expression" dxfId="29" priority="19">
      <formula>H36=$B$137</formula>
    </cfRule>
    <cfRule type="expression" dxfId="28" priority="20">
      <formula>H36=$B$136</formula>
    </cfRule>
    <cfRule type="expression" dxfId="27" priority="21">
      <formula>H36=$B$135</formula>
    </cfRule>
    <cfRule type="expression" dxfId="26" priority="22">
      <formula>H36=$B$131</formula>
    </cfRule>
    <cfRule type="expression" dxfId="25" priority="23">
      <formula>H36=$B$130</formula>
    </cfRule>
    <cfRule type="expression" dxfId="24" priority="24">
      <formula>H36=$B$129</formula>
    </cfRule>
    <cfRule type="expression" dxfId="23" priority="25">
      <formula>H36=$B$128</formula>
    </cfRule>
    <cfRule type="expression" dxfId="22" priority="26">
      <formula>H36=$B$127</formula>
    </cfRule>
    <cfRule type="expression" dxfId="21" priority="27" stopIfTrue="1">
      <formula>H36=$B$126</formula>
    </cfRule>
    <cfRule type="expression" dxfId="20" priority="28">
      <formula>H36=$B$125</formula>
    </cfRule>
    <cfRule type="expression" dxfId="19" priority="29" stopIfTrue="1">
      <formula>H36=$B$124</formula>
    </cfRule>
    <cfRule type="expression" dxfId="18" priority="30">
      <formula>H36=$B$123</formula>
    </cfRule>
    <cfRule type="expression" dxfId="17" priority="31">
      <formula>H36=$B$122</formula>
    </cfRule>
    <cfRule type="expression" dxfId="16" priority="32">
      <formula>H36=$B$121</formula>
    </cfRule>
    <cfRule type="expression" dxfId="15" priority="33" stopIfTrue="1">
      <formula>H36=$B$119</formula>
    </cfRule>
    <cfRule type="expression" dxfId="14" priority="34" stopIfTrue="1">
      <formula>H36=$B$118</formula>
    </cfRule>
    <cfRule type="expression" dxfId="13" priority="35" stopIfTrue="1">
      <formula>H36=$B$117</formula>
    </cfRule>
    <cfRule type="expression" dxfId="12" priority="36">
      <formula>H36=$B$116</formula>
    </cfRule>
    <cfRule type="expression" dxfId="11" priority="37">
      <formula>H36=$B$113</formula>
    </cfRule>
    <cfRule type="expression" dxfId="10" priority="38" stopIfTrue="1">
      <formula>H36=$B$111</formula>
    </cfRule>
    <cfRule type="expression" dxfId="9" priority="39">
      <formula>H36=$B$110</formula>
    </cfRule>
    <cfRule type="expression" dxfId="8" priority="40">
      <formula>H36=$B$109</formula>
    </cfRule>
    <cfRule type="expression" dxfId="7" priority="41">
      <formula>H36=$B$108</formula>
    </cfRule>
    <cfRule type="expression" dxfId="6" priority="42">
      <formula>H36=$B$106</formula>
    </cfRule>
    <cfRule type="expression" dxfId="5" priority="43" stopIfTrue="1">
      <formula>H36=$B$107</formula>
    </cfRule>
    <cfRule type="expression" dxfId="4" priority="44" stopIfTrue="1">
      <formula>H$5=TODAY()</formula>
    </cfRule>
  </conditionalFormatting>
  <conditionalFormatting sqref="H36:I36">
    <cfRule type="expression" dxfId="3" priority="45">
      <formula>H36=$B$141</formula>
    </cfRule>
  </conditionalFormatting>
  <conditionalFormatting sqref="H36:I36">
    <cfRule type="expression" dxfId="2" priority="1">
      <formula>H36=$B$133</formula>
    </cfRule>
    <cfRule type="expression" dxfId="1" priority="2">
      <formula>H36=$B$134</formula>
    </cfRule>
    <cfRule type="expression" dxfId="0" priority="3">
      <formula>H36=$B$132</formula>
    </cfRule>
  </conditionalFormatting>
  <dataValidations count="1">
    <dataValidation type="list" allowBlank="1" showInputMessage="1" showErrorMessage="1" sqref="C26:I26 C100:I100 C12:I12 C84:I84 C28:I28 C54:I54 C102:I102 C64:I64 C46:I46 C10:I10 C38:I38 C62:I62 C72:I72 C82:I82 C56:I56 C98:I98 C16:I16 C18:I18 C92:I92 C88:I88 C58:I58 C8:I8 C68:I68 C78:I78 C40:I40 C14:I14 C80:I80 C50:I50 C60:I60 C22:I22 C42:I42 C86:I86 C90:I90 C66:I66 C44:I44 C34:I34 C32:I32 C96:I96 C24:I24 C30:I30 C76:I76 C74:I74 C52:I52 C48:I48 C94:I94 C20:I20 C6:I6 C70:I70 C36:I36" xr:uid="{00000000-0002-0000-0A00-000000000000}">
      <formula1>Actions</formula1>
    </dataValidation>
  </dataValidations>
  <pageMargins left="0.7" right="0.7" top="0.75" bottom="0.75" header="0.3" footer="0.3"/>
  <pageSetup paperSize="9" scale="44" orientation="portrait"/>
  <colBreaks count="1" manualBreakCount="1">
    <brk id="10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</vt:i4>
      </vt:variant>
    </vt:vector>
  </HeadingPairs>
  <TitlesOfParts>
    <vt:vector size="36" baseType="lpstr">
      <vt:lpstr>S01</vt:lpstr>
      <vt:lpstr>S02</vt:lpstr>
      <vt:lpstr>S03</vt:lpstr>
      <vt:lpstr>S04</vt:lpstr>
      <vt:lpstr>S05</vt:lpstr>
      <vt:lpstr>S06</vt:lpstr>
      <vt:lpstr>S07</vt:lpstr>
      <vt:lpstr>S08</vt:lpstr>
      <vt:lpstr>S09</vt:lpstr>
      <vt:lpstr>S10</vt:lpstr>
      <vt:lpstr>S11</vt:lpstr>
      <vt:lpstr>S12</vt:lpstr>
      <vt:lpstr>'S01'!Actions</vt:lpstr>
      <vt:lpstr>'S02'!Actions</vt:lpstr>
      <vt:lpstr>'S03'!Actions</vt:lpstr>
      <vt:lpstr>'S04'!Actions</vt:lpstr>
      <vt:lpstr>'S05'!Actions</vt:lpstr>
      <vt:lpstr>'S06'!Actions</vt:lpstr>
      <vt:lpstr>'S07'!Actions</vt:lpstr>
      <vt:lpstr>'S08'!Actions</vt:lpstr>
      <vt:lpstr>'S09'!Actions</vt:lpstr>
      <vt:lpstr>'S10'!Actions</vt:lpstr>
      <vt:lpstr>'S11'!Actions</vt:lpstr>
      <vt:lpstr>'S12'!Actions</vt:lpstr>
      <vt:lpstr>'S01'!Heures</vt:lpstr>
      <vt:lpstr>'S02'!Heures</vt:lpstr>
      <vt:lpstr>'S03'!Heures</vt:lpstr>
      <vt:lpstr>'S04'!Heures</vt:lpstr>
      <vt:lpstr>'S05'!Heures</vt:lpstr>
      <vt:lpstr>'S06'!Heures</vt:lpstr>
      <vt:lpstr>'S07'!Heures</vt:lpstr>
      <vt:lpstr>'S08'!Heures</vt:lpstr>
      <vt:lpstr>'S09'!Heures</vt:lpstr>
      <vt:lpstr>'S10'!Heures</vt:lpstr>
      <vt:lpstr>'S11'!Heures</vt:lpstr>
      <vt:lpstr>'S12'!Heures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FA03577S</dc:creator>
  <cp:lastModifiedBy>AKITANI Eunice</cp:lastModifiedBy>
  <cp:lastPrinted>2016-05-22T11:04:24Z</cp:lastPrinted>
  <dcterms:created xsi:type="dcterms:W3CDTF">2016-04-14T11:43:17Z</dcterms:created>
  <dcterms:modified xsi:type="dcterms:W3CDTF">2018-03-05T03:04:39Z</dcterms:modified>
</cp:coreProperties>
</file>